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Input" sheetId="1" r:id="rId5"/>
    <sheet state="visible" name="Net Worth" sheetId="2" r:id="rId6"/>
    <sheet state="visible" name="Transactions Raw" sheetId="3" r:id="rId7"/>
    <sheet state="visible" name="Expenses" sheetId="4" r:id="rId8"/>
    <sheet state="visible" name="Retirement Accounts" sheetId="5" r:id="rId9"/>
    <sheet state="visible" name="Taxable Accounts" sheetId="6" r:id="rId10"/>
    <sheet state="visible" name="Education Accounts" sheetId="7" r:id="rId11"/>
  </sheets>
  <definedNames>
    <definedName localSheetId="0" name="ClientFirstName">'Data Input'!$C$6</definedName>
    <definedName localSheetId="0" name="ClientState">'Data Input'!$I$6</definedName>
    <definedName localSheetId="0" name="ClientEmployer">'Data Input'!$J$6</definedName>
    <definedName localSheetId="0" name="hcAccounts">#REF!</definedName>
    <definedName localSheetId="0" name="ClientRetirementAge">'Data Input'!$G$6</definedName>
    <definedName localSheetId="0" name="ClientJobTitle">'Data Input'!$K$6</definedName>
    <definedName localSheetId="0" name="ClientTaxFilingStatus">'Data Input'!$H$6</definedName>
    <definedName localSheetId="0" name="hcNotes">#REF!</definedName>
    <definedName localSheetId="0" name="ClientDOB">'Data Input'!$E$6</definedName>
    <definedName localSheetId="0" name="Child1FirstName">'Data Input'!$C$10</definedName>
    <definedName localSheetId="0" name="ClientUUID">#REF!</definedName>
    <definedName hidden="1" localSheetId="2" name="_xlnm._FilterDatabase">'Transactions Raw'!$A$1:$F$1766</definedName>
  </definedNames>
  <calcPr/>
</workbook>
</file>

<file path=xl/sharedStrings.xml><?xml version="1.0" encoding="utf-8"?>
<sst xmlns="http://schemas.openxmlformats.org/spreadsheetml/2006/main" count="5896" uniqueCount="1244">
  <si>
    <t>Client Profile 👤</t>
  </si>
  <si>
    <t>Profile</t>
  </si>
  <si>
    <t>First Name</t>
  </si>
  <si>
    <t>Last Name</t>
  </si>
  <si>
    <t>Birthdate (mm/dd/yy)</t>
  </si>
  <si>
    <t>Age</t>
  </si>
  <si>
    <t>Retirement Age</t>
  </si>
  <si>
    <t>Tax Filing Status</t>
  </si>
  <si>
    <t>State</t>
  </si>
  <si>
    <t>Employer</t>
  </si>
  <si>
    <t>Job Title</t>
  </si>
  <si>
    <t>Client 1</t>
  </si>
  <si>
    <t>Client 2</t>
  </si>
  <si>
    <t>Children</t>
  </si>
  <si>
    <t>Kindergarten Year</t>
  </si>
  <si>
    <t>Child 1</t>
  </si>
  <si>
    <t>Child 2</t>
  </si>
  <si>
    <t>Child 3</t>
  </si>
  <si>
    <t>Child 4</t>
  </si>
  <si>
    <t>Net Worth 📈</t>
  </si>
  <si>
    <t>Accounts</t>
  </si>
  <si>
    <t>Type</t>
  </si>
  <si>
    <t>Client / Child Name</t>
  </si>
  <si>
    <t>Account Type/Number</t>
  </si>
  <si>
    <t>APY</t>
  </si>
  <si>
    <t>Institution</t>
  </si>
  <si>
    <t>Balance</t>
  </si>
  <si>
    <t>Monthly Contributions</t>
  </si>
  <si>
    <t>Last Updated</t>
  </si>
  <si>
    <t>Notes</t>
  </si>
  <si>
    <t>Income Scenarios</t>
  </si>
  <si>
    <t>Projected Net Income Scenarios</t>
  </si>
  <si>
    <t>From Paycheck</t>
  </si>
  <si>
    <t>Annualized</t>
  </si>
  <si>
    <t>Pay Periods per Year</t>
  </si>
  <si>
    <t>Income Sources</t>
  </si>
  <si>
    <t>Annual Wage Calculations</t>
  </si>
  <si>
    <t>Base Salary (Gross)</t>
  </si>
  <si>
    <t>Bonus</t>
  </si>
  <si>
    <t>Commission</t>
  </si>
  <si>
    <t>RSU's</t>
  </si>
  <si>
    <t>Severance</t>
  </si>
  <si>
    <t>Total Gross Wage Income</t>
  </si>
  <si>
    <t>Other Income</t>
  </si>
  <si>
    <t>Self Employment 1099/K1 Distributions/Royalties</t>
  </si>
  <si>
    <t>S-Corp Profit Sharing Distributions</t>
  </si>
  <si>
    <t>1099 Investment Income</t>
  </si>
  <si>
    <t>Rental Income</t>
  </si>
  <si>
    <t>Total Rental Income, 1099, Distributions, Royalties, etc.</t>
  </si>
  <si>
    <t>Deductions</t>
  </si>
  <si>
    <t>Pre Tax Deductions</t>
  </si>
  <si>
    <t>Pre-Tax Retirement Contributions</t>
  </si>
  <si>
    <t>Medical</t>
  </si>
  <si>
    <t>Dental</t>
  </si>
  <si>
    <t>Vision</t>
  </si>
  <si>
    <t>Dependent Care</t>
  </si>
  <si>
    <t>Flexible Spending Account (FSA)</t>
  </si>
  <si>
    <t>Health Savings Account (HSA)</t>
  </si>
  <si>
    <t>Total Pre Tax Deductions</t>
  </si>
  <si>
    <t>Total Net Wage Taxable Income</t>
  </si>
  <si>
    <t>Post Tax Deductions</t>
  </si>
  <si>
    <t>Roth Contributions</t>
  </si>
  <si>
    <t>After-tax Mega Backdoor Roth Contributions</t>
  </si>
  <si>
    <t>Employee Stock Purchase Plan (ESPP)</t>
  </si>
  <si>
    <t>Life Insurance</t>
  </si>
  <si>
    <t>Disability Insurance</t>
  </si>
  <si>
    <t>Other (E.g., post tax supplemental benefits, etc.)</t>
  </si>
  <si>
    <t>Total Post Tax Deductions</t>
  </si>
  <si>
    <t>Total Net Income</t>
  </si>
  <si>
    <t>Savings</t>
  </si>
  <si>
    <t>After Paycheck Savings</t>
  </si>
  <si>
    <t>Savings Account (Enter annual number)</t>
  </si>
  <si>
    <t>Roth / Traditional IRA (Enter annual number)</t>
  </si>
  <si>
    <t>Brokerage (Enter annual number)</t>
  </si>
  <si>
    <t>529 (Enter annual number)</t>
  </si>
  <si>
    <t>Total After Paycheck Savings</t>
  </si>
  <si>
    <t>Taxes</t>
  </si>
  <si>
    <t>Federal Taxes (Inc. SE Tax, AMT, and Other Taxes)</t>
  </si>
  <si>
    <t>Federal Income Tax</t>
  </si>
  <si>
    <t>Social Security</t>
  </si>
  <si>
    <t>Medicare</t>
  </si>
  <si>
    <t>Total Social Security &amp; Medicare</t>
  </si>
  <si>
    <t>Total Federal Taxes</t>
  </si>
  <si>
    <t>State Taxes (Inc. SDI, PFL, LTC)</t>
  </si>
  <si>
    <t>State Income Taxes</t>
  </si>
  <si>
    <t>State SDI Tax</t>
  </si>
  <si>
    <t>State PFL Tax</t>
  </si>
  <si>
    <t>State LTC Tax</t>
  </si>
  <si>
    <t>Total SDI, PFL, LTC Tax</t>
  </si>
  <si>
    <t>Total State Taxes</t>
  </si>
  <si>
    <t>City Taxes</t>
  </si>
  <si>
    <t>City Income Taxes</t>
  </si>
  <si>
    <t>Total State &amp; City Taxes</t>
  </si>
  <si>
    <t>Family Balance Sheet</t>
  </si>
  <si>
    <t>Assets</t>
  </si>
  <si>
    <t xml:space="preserve">Account </t>
  </si>
  <si>
    <t>Value</t>
  </si>
  <si>
    <t>Total Assets</t>
  </si>
  <si>
    <t>Liabilities</t>
  </si>
  <si>
    <t>Total Liabilities</t>
  </si>
  <si>
    <t>Net Worth</t>
  </si>
  <si>
    <t>account</t>
  </si>
  <si>
    <t>date_posted</t>
  </si>
  <si>
    <t>amount</t>
  </si>
  <si>
    <t>merchant</t>
  </si>
  <si>
    <t>description</t>
  </si>
  <si>
    <t>default category</t>
  </si>
  <si>
    <t>Amex Joint</t>
  </si>
  <si>
    <t>Preschool Smiles</t>
  </si>
  <si>
    <t>BT*PRESCHOOL SMILES EDEN PRAIRIE        MN</t>
  </si>
  <si>
    <t>Aftercare/Childcare/Tuition</t>
  </si>
  <si>
    <t>Coffee Pond School</t>
  </si>
  <si>
    <t>COFFEE POND SCHOOL PFRAMINGHAM          MA</t>
  </si>
  <si>
    <t>Expedia</t>
  </si>
  <si>
    <t>EXPEDIA.COM TRAVEL  SEATTLE             WA</t>
  </si>
  <si>
    <t>Airfare/Transportation</t>
  </si>
  <si>
    <t>Croton Reservoinew</t>
  </si>
  <si>
    <t>TST* CROTON RESERVOINEW YORK            NY</t>
  </si>
  <si>
    <t>TAP Air Portugal</t>
  </si>
  <si>
    <t>TAP AIR PORTUGAL    LISBOA              PR</t>
  </si>
  <si>
    <t>Amazon</t>
  </si>
  <si>
    <t>AMAZON.COM          AMZN.COM/BILL       WA</t>
  </si>
  <si>
    <t>AMAZON MARKEPLACE NA  PA</t>
  </si>
  <si>
    <t>CapitalOne Alicia</t>
  </si>
  <si>
    <t>Amazon.com*RV95Q6BX2</t>
  </si>
  <si>
    <t>AMZN MKTP US*R00E494Y2</t>
  </si>
  <si>
    <t>AMZN Mktp US*TF8231XF1</t>
  </si>
  <si>
    <t>AMAZON MARK* ZR2KI4T03</t>
  </si>
  <si>
    <t>AMZN Mktp US*IU92P5P73</t>
  </si>
  <si>
    <t>AMZN Mktp US*KI0KL83S3</t>
  </si>
  <si>
    <t>AMZN Mktp US*9026M3503</t>
  </si>
  <si>
    <t>AMZN Mktp US*FA95W86E3</t>
  </si>
  <si>
    <t>AMAZON MKTPL*RF81O0LZ2</t>
  </si>
  <si>
    <t>Citicard Tom</t>
  </si>
  <si>
    <t>AMZN Mktp US*1H4113OQ3 Amzn.com/bill WA null XXXXXXXXXXXX7024</t>
  </si>
  <si>
    <t>AMZN Mktp US*059Q17H63 Amzn.com/bill WA null XXXXXXXXXXXX7024</t>
  </si>
  <si>
    <t>Amazon.com*R05T95SZ1 Amzn.com/bill WA null XXXXXXXXXXXX7024</t>
  </si>
  <si>
    <t>AMAZON MARK* R43ZX7AB2 SEATTLE WA null XXXXXXXXXXXX7024</t>
  </si>
  <si>
    <t>AMAZON MKTPL*KY04544A3 Amzn.com/bill WA null XXXXXXXXXXXX7024</t>
  </si>
  <si>
    <t>AMZN Mktp US*668DC8PY3 Amzn.com/bill WA null XXXXXXXXXXXX7024</t>
  </si>
  <si>
    <t>AMZN Mktp US*RB1ZY9RF2 Amzn.com/bill WA null XXXXXXXXXXXX7024</t>
  </si>
  <si>
    <t>AMZN MKTP US*Y989T6M03 SEATTLE WA</t>
  </si>
  <si>
    <t>Amazon.com*BL6MQ8323 Amzn.com/bill WA null XXXXXXXXXXXX7024</t>
  </si>
  <si>
    <t>Amazon.com*R899V2B42 Amzn.com/bill WA null XXXXXXXXXXXX7024</t>
  </si>
  <si>
    <t>AMZN Mktp US*RT8D53YT2 Amzn.com/bill WA</t>
  </si>
  <si>
    <t>Amazon.com*R22OK3N81 Amzn.com/bill WA null XXXXXXXXXXXX7024</t>
  </si>
  <si>
    <t>Amazon.com*R843N4Q00 Amzn.com/bill WA null XXXXXXXXXXXX7024</t>
  </si>
  <si>
    <t>Glenn's Garage</t>
  </si>
  <si>
    <t>GLENN'S GARAGE      NORWALK             CT</t>
  </si>
  <si>
    <t>Automotive</t>
  </si>
  <si>
    <t>Town Fair Tire</t>
  </si>
  <si>
    <t>TOWN FAIR TIRE      NORWALK             CT</t>
  </si>
  <si>
    <t>Vioc Ge</t>
  </si>
  <si>
    <t>VIOC GE1608 GE16    NORWALK             CT</t>
  </si>
  <si>
    <t>Carlyn Paint And Harn</t>
  </si>
  <si>
    <t>CARLYN PAINT AND HARNORWALK             CT</t>
  </si>
  <si>
    <t>Smitty's Svc Ctr Inc</t>
  </si>
  <si>
    <t>SMITTY'S SVC CTR INCNORWALK             CT</t>
  </si>
  <si>
    <t>Chase Checking Joint</t>
  </si>
  <si>
    <t>Accurate Auto Repair</t>
  </si>
  <si>
    <t>ACCURATE AUTO REPAIR NORWALK CT              06/11</t>
  </si>
  <si>
    <t>ACCURATE AUTO REPAIR NORWALK CT              06/19</t>
  </si>
  <si>
    <t>ACCURATE AUTO REPAIR NORWALK CT              01/11</t>
  </si>
  <si>
    <t>Cordova Plumbing &amp; Heating</t>
  </si>
  <si>
    <t>CORDOVA PLUMBING &amp; HWOODBURY            CT</t>
  </si>
  <si>
    <t>Business Services</t>
  </si>
  <si>
    <t>Intuit</t>
  </si>
  <si>
    <t>INTUIT *TURBOTAX    800-446-8848        CA</t>
  </si>
  <si>
    <t>RENEWAL MEMBERSHIP FEE</t>
  </si>
  <si>
    <t>U.S. Post Office</t>
  </si>
  <si>
    <t>USPS PO 0834290852 0NORWALK             CT</t>
  </si>
  <si>
    <t>1Password</t>
  </si>
  <si>
    <t>1PASSWORD</t>
  </si>
  <si>
    <t>Chase Alicia</t>
  </si>
  <si>
    <t>CHECK # 0020      PASSPORTSERVICES PAYMENT           ARC ID: 1900000163</t>
  </si>
  <si>
    <t>Kickstarter</t>
  </si>
  <si>
    <t>KICKSTARTER.COM LONDON GBR null XXXXXXXXXXXX3534</t>
  </si>
  <si>
    <t>KICKSTARTER.COM NEW YORK NY null XXXXXXXXXXXX3534</t>
  </si>
  <si>
    <t>KICKSTARTER.COM CAMBERLEY GBR null XXXXXXXXXXXX3534</t>
  </si>
  <si>
    <t>MidJourney</t>
  </si>
  <si>
    <t>MIDJOURNEY INC. SOUTH SAN FRA CA</t>
  </si>
  <si>
    <t>OLIFEHELP.COM 5143341887 CA</t>
  </si>
  <si>
    <t>Storage 4029357733 Ca Null Xxxxxxxxxxxx8924</t>
  </si>
  <si>
    <t>PP*GOOGLE STORAGE 4029357733 CA null XXXXXXXXXXXX8924</t>
  </si>
  <si>
    <t>ATM WITHDRAWAL                       000408  06/14515 W AVE</t>
  </si>
  <si>
    <t>Cash/ATM</t>
  </si>
  <si>
    <t>WITHDRAWAL 10/15</t>
  </si>
  <si>
    <t>ATM WITHDRAWAL                       009407  11/30515 W AVE</t>
  </si>
  <si>
    <t>ATM WITHDRAWAL                       003358  07/12515 W AVE</t>
  </si>
  <si>
    <t>ATM WITHDRAWAL                       001167  08/0950 WASHIN</t>
  </si>
  <si>
    <t>ONLINE PAYMENT - THANK YOU</t>
  </si>
  <si>
    <t>CC Payment</t>
  </si>
  <si>
    <t>Capital One</t>
  </si>
  <si>
    <t>CAPITAL ONE ONLINE PYMT</t>
  </si>
  <si>
    <t>CAPITAL ONE      ONLINE PMT 3YD71RX050N5HPN WEB ID: 9279744391</t>
  </si>
  <si>
    <t>CAPITAL ONE      ONLINE PMT 3XGHIO6HS5G0GKR WEB ID: 9279744391</t>
  </si>
  <si>
    <t>CAPITAL ONE      ONLINE PMT 3WQ3ZCXKEVDDGX7 WEB ID: 9279744391</t>
  </si>
  <si>
    <t>CAPITAL ONE      ONLINE PMT 3SPBHCN14OTAACR WEB ID: 9279744391</t>
  </si>
  <si>
    <t>CAPITAL ONE      ONLINE PMT 3XL4L8UJIHIEJFV WEB ID: 9279744391</t>
  </si>
  <si>
    <t>CAPITAL ONE      ONLINE PMT 3X6RSPO2Q9Z2WH7 WEB ID: 9279744391</t>
  </si>
  <si>
    <t>CAPITAL ONE      ONLINE PMT 3WWFW9GQ03G6YGB WEB ID: 9279744391</t>
  </si>
  <si>
    <t>CAPITAL ONE      ONLINE PMT 3XQEIF08S337OQ3 WEB ID: 9279744391</t>
  </si>
  <si>
    <t>CAPITAL ONE      ONLINE PMT 3Y20AJWTSAQ35D7 WEB ID: 9279744391</t>
  </si>
  <si>
    <t>CAPITAL ONE      ONLINE PMT 3STBZJ6KPDRXL2J WEB ID: 9279744391</t>
  </si>
  <si>
    <t>CAPITAL ONE      ONLINE PMT 3X1P8ZFP64MBGTN WEB ID: 9279744391</t>
  </si>
  <si>
    <t>CAPITAL ONE      ONLINE PMT 3XW3CRI4HIA2SQ3 WEB ID: 9279744391</t>
  </si>
  <si>
    <t>American Express</t>
  </si>
  <si>
    <t>AMERICAN EXPRESS ACH PMT    W8560           WEB ID: 2005032111</t>
  </si>
  <si>
    <t>AMERICAN EXPRESS ACH PMT    W4154           WEB ID: 2005032111</t>
  </si>
  <si>
    <t>AMERICAN EXPRESS ACH PMT    W8360           WEB ID: 2005032111</t>
  </si>
  <si>
    <t>AMERICAN EXPRESS ACH PMT    W2208           WEB ID: 2005032111</t>
  </si>
  <si>
    <t>AMERICAN EXPRESS ACH PMT    W8872           WEB ID: 2005032111</t>
  </si>
  <si>
    <t>AMERICAN EXPRESS ACH PMT    W2022           WEB ID: 2005032111</t>
  </si>
  <si>
    <t>AMERICAN EXPRESS ACH PMT    W9234           WEB ID: 2005032111</t>
  </si>
  <si>
    <t>AMERICAN EXPRESS ACH PMT    W0438           WEB ID: 2005032111</t>
  </si>
  <si>
    <t>AMERICAN EXPRESS ACH PMT    W0640           WEB ID: 2005032111</t>
  </si>
  <si>
    <t>AMERICAN EXPRESS ACH PMT    W7192           WEB ID: 2005032111</t>
  </si>
  <si>
    <t>AMERICAN EXPRESS ACH PMT    W8974           WEB ID: 2005032111</t>
  </si>
  <si>
    <t>AMERICAN EXPRESS ACH PMT    W0300           WEB ID: 2005032111</t>
  </si>
  <si>
    <t>AMERICAN EXPRESS ACH PMT    W7648           WEB ID: 2005032111</t>
  </si>
  <si>
    <t>AMERICAN EXPRESS ACH PMT    W8676           WEB ID: 2005032111</t>
  </si>
  <si>
    <t>Chase Tom</t>
  </si>
  <si>
    <t>Citibank</t>
  </si>
  <si>
    <t>CITI CARD ONLINE PAYMENT    431303581295524 WEB ID: CITICTP</t>
  </si>
  <si>
    <t>CITI CARD ONLINE PAYMENT    421249652675612 WEB ID: CITICTP</t>
  </si>
  <si>
    <t>CITI CARD ONLINE PAYMENT    431299729955066 WEB ID: CITICTP</t>
  </si>
  <si>
    <t>CITI CARD ONLINE PAYMENT    431290713988173 WEB ID: CITICTP</t>
  </si>
  <si>
    <t>CITI CARD ONLINE PAYMENT    431495047569351 WEB ID: CITICTP</t>
  </si>
  <si>
    <t>CITI CARD ONLINE PAYMENT    421222165220312 WEB ID: CITICTP</t>
  </si>
  <si>
    <t>CITI CARD ONLINE PAYMENT    421352397927619 WEB ID: CITICTP</t>
  </si>
  <si>
    <t>CITI CARD ONLINE PAYMENT    421284223840234 WEB ID: CITICTP</t>
  </si>
  <si>
    <t>CITI CARD ONLINE PAYMENT    421231084293931 WEB ID: CITICTP</t>
  </si>
  <si>
    <t>CITI CARD ONLINE PAYMENT    421240123133654 WEB ID: CITICTP</t>
  </si>
  <si>
    <t>CITI CARD ONLINE PAYMENT    421272147601267 WEB ID: CITICTP</t>
  </si>
  <si>
    <t>CITI CARD ONLINE PAYMENT    431278471578648 WEB ID: CITICTP</t>
  </si>
  <si>
    <t>CITI CARD ONLINE PAYMENT    421262870641745 WEB ID: CITICTP</t>
  </si>
  <si>
    <t>CITI CARD ONLINE PAYMENT    421294942019134 WEB ID: CITICTP</t>
  </si>
  <si>
    <t>CITI CARD ONLINE PAYMENT    431508290866484 WEB ID: CITICTP</t>
  </si>
  <si>
    <t>CITI CARD ONLINE PAYMENT    421329576257620 WEB ID: CITICTP</t>
  </si>
  <si>
    <t>CITI CARD ONLINE PAYMENT    431463111230360 WEB ID: CITICTP</t>
  </si>
  <si>
    <t>CITI CARD ONLINE PAYMENT    421403750135595 WEB ID: CITICTP</t>
  </si>
  <si>
    <t>CITI CARD ONLINE PAYMENT    431360451895085 WEB ID: CITICTP</t>
  </si>
  <si>
    <t>CITI CARD ONLINE PAYMENT    421469406554151 WEB ID: CITICTP</t>
  </si>
  <si>
    <t>CITI CARD ONLINE PAYMENT    421417581135646 WEB ID: CITICTP</t>
  </si>
  <si>
    <t>CITI CARD ONLINE PAYMENT    431514305642758 WEB ID: CITICTP</t>
  </si>
  <si>
    <t>CITI CARD ONLINE PAYMENT    421385347524671 WEB ID: CITICTP</t>
  </si>
  <si>
    <t>CITI CARD ONLINE PAYMENT    431296264610303 WEB ID: CITICTP</t>
  </si>
  <si>
    <t>CITI CARD ONLINE PAYMENT    421524329828190 WEB ID: CITICTP</t>
  </si>
  <si>
    <t>CITI CARD ONLINE PAYMENT    431482304664592 WEB ID: CITICTP</t>
  </si>
  <si>
    <t>CITI CARD ONLINE PAYMENT    421251593731112 WEB ID: CITICTP</t>
  </si>
  <si>
    <t>CITI CARD ONLINE PAYMENT    421490116458014 WEB ID: CITICTP</t>
  </si>
  <si>
    <t>CITI CARD ONLINE PAYMENT    421377083888411 WEB ID: CITICTP</t>
  </si>
  <si>
    <t>CITI CARD ONLINE PAYMENT    431267920935532 WEB ID: CITICTP</t>
  </si>
  <si>
    <t>CITI CARD ONLINE PAYMENT    431280202821884 WEB ID: CITICTP</t>
  </si>
  <si>
    <t>CITI CARD ONLINE PAYMENT    431451024400492 WEB ID: CITICTP</t>
  </si>
  <si>
    <t>CITI CARD ONLINE PAYMENT    421416682336407 WEB ID: CITICTP</t>
  </si>
  <si>
    <t>CITI CARD ONLINE PAYMENT    421314911241338 WEB ID: CITICTP</t>
  </si>
  <si>
    <t>CITI CARD ONLINE PAYMENT    431455330745056 WEB ID: CITICTP</t>
  </si>
  <si>
    <t>CITI CARD ONLINE PAYMENT    421274409634113 WEB ID: CITICTP</t>
  </si>
  <si>
    <t>CITI CARD ONLINE PAYMENT    431281875969658 WEB ID: CITICTP</t>
  </si>
  <si>
    <t>CITI CARD ONLINE PAYMENT    431320421970851 WEB ID: CITICTP</t>
  </si>
  <si>
    <t>CITI CARD ONLINE PAYMENT    421441742817327 WEB ID: CITICTP</t>
  </si>
  <si>
    <t>ONLINE PAYMENT, THANK YOU</t>
  </si>
  <si>
    <t>PAYMENT THANK YOU</t>
  </si>
  <si>
    <t>Give Local Ct Comm</t>
  </si>
  <si>
    <t>GIVE LOCAL CT COMM FWATERBURY           CT</t>
  </si>
  <si>
    <t>Charity</t>
  </si>
  <si>
    <t>ActBlue</t>
  </si>
  <si>
    <t>ACTBLUE* HARRIS.VICTBOSTON              MA</t>
  </si>
  <si>
    <t>Girl Scouts</t>
  </si>
  <si>
    <t>BT*GIRL SCOUTS OF THNEW YORK            NY</t>
  </si>
  <si>
    <t>Hilton Global Foundation</t>
  </si>
  <si>
    <t>HILTON GLOBAL FND/TMMEMPHIS             TN</t>
  </si>
  <si>
    <t>Benevity Donations</t>
  </si>
  <si>
    <t>BENEVITY DONATIONS</t>
  </si>
  <si>
    <t>GoFundMe</t>
  </si>
  <si>
    <t>GFM*GoFundMe</t>
  </si>
  <si>
    <t>CHECK 173</t>
  </si>
  <si>
    <t>Checks</t>
  </si>
  <si>
    <t>CHECK 172</t>
  </si>
  <si>
    <t>CHECK 131</t>
  </si>
  <si>
    <t>CHECK 170</t>
  </si>
  <si>
    <t>CHECK 169</t>
  </si>
  <si>
    <t>CHECK 132</t>
  </si>
  <si>
    <t>CHECK 175</t>
  </si>
  <si>
    <t>CHECK 171</t>
  </si>
  <si>
    <t>CHECK 174</t>
  </si>
  <si>
    <t>CHECK 133</t>
  </si>
  <si>
    <t>CHECK 1022</t>
  </si>
  <si>
    <t>Carter's</t>
  </si>
  <si>
    <t>CARTER'S #763 000000NORWALK             CT</t>
  </si>
  <si>
    <t>Clothing</t>
  </si>
  <si>
    <t>carters, Inc. 000000Atlanta             GA</t>
  </si>
  <si>
    <t>Ls Kidcity Childrens</t>
  </si>
  <si>
    <t>LS KIDCITY CHILDRENSMIDDLETOWN          CT</t>
  </si>
  <si>
    <t>Little Ish</t>
  </si>
  <si>
    <t>SP LITTLE-ISH       LITCHFIELD          CT</t>
  </si>
  <si>
    <t>Banana Republic On-lin</t>
  </si>
  <si>
    <t>BANANA REPUBLIC ON-LIN</t>
  </si>
  <si>
    <t>J.Crew</t>
  </si>
  <si>
    <t>J CREW</t>
  </si>
  <si>
    <t>Onequince</t>
  </si>
  <si>
    <t>SP ONEQUINCE</t>
  </si>
  <si>
    <t>Klar Vintage</t>
  </si>
  <si>
    <t>SQ *KLAR VINTAGE</t>
  </si>
  <si>
    <t>Forever 21</t>
  </si>
  <si>
    <t>PAYPAL *FOREVER21 4029357733 CA null XXXXXXXXXXXX8924</t>
  </si>
  <si>
    <t>Poshmark</t>
  </si>
  <si>
    <t>PAYPAL *POSHMARK 4029357733 CA null XXXXXXXXXXXX8924</t>
  </si>
  <si>
    <t>H&amp;M</t>
  </si>
  <si>
    <t>HM.COM New York NY</t>
  </si>
  <si>
    <t>City Of</t>
  </si>
  <si>
    <t>CITY OF NORWALK 6500NORWALK             CT</t>
  </si>
  <si>
    <t>Commute/Parking</t>
  </si>
  <si>
    <t>Premium Parking</t>
  </si>
  <si>
    <t>PREMIUM PARKING P222NORWALK             CT</t>
  </si>
  <si>
    <t>LAZ Parking</t>
  </si>
  <si>
    <t>LAZ PARKING M04311 0NORWALK             CT</t>
  </si>
  <si>
    <t>LAZ PARKING M04310 0NORWALK             CT</t>
  </si>
  <si>
    <t>LAZ PARKING 540311 0NORWALK             CT</t>
  </si>
  <si>
    <t>Mnr Station Tix</t>
  </si>
  <si>
    <t>MTA*MNR STATION TIX</t>
  </si>
  <si>
    <t>LAZ PARKING M04308</t>
  </si>
  <si>
    <t>LAZ PARKING M04311</t>
  </si>
  <si>
    <t>LAZ PARKING M04301</t>
  </si>
  <si>
    <t>PREMIUM PARKING</t>
  </si>
  <si>
    <t>CITY OF TORRINGTON "PA</t>
  </si>
  <si>
    <t>City of Middletown</t>
  </si>
  <si>
    <t>CITY OF MIDDLETOWN PAR</t>
  </si>
  <si>
    <t>LAZ PARKING 540314</t>
  </si>
  <si>
    <t>LAZ PARKING 540306</t>
  </si>
  <si>
    <t>LAZ PARKING M04306</t>
  </si>
  <si>
    <t>LAZ PARKING M04313</t>
  </si>
  <si>
    <t>Parkmobile</t>
  </si>
  <si>
    <t>PARKMOBILE</t>
  </si>
  <si>
    <t>E-ZPass NY</t>
  </si>
  <si>
    <t>EZPASSNYREBILL   REBILL_EZP 5357684         WEB ID: 0000322938</t>
  </si>
  <si>
    <t>EZPASSNYREBILL   REBILL_EZP 4586573         WEB ID: 0000322938</t>
  </si>
  <si>
    <t>Hart Hosp Park</t>
  </si>
  <si>
    <t>HART HOSP PARK MOB HARTFORD CT               08/30</t>
  </si>
  <si>
    <t>HART HOSP PARK MOB HARTFORD CT               07/02</t>
  </si>
  <si>
    <t>Laz Nrwlk Pkg Enfrcmnt</t>
  </si>
  <si>
    <t>LAZ NRWLK PKG ENFRCMNT NORWALK CT</t>
  </si>
  <si>
    <t>White Plains Park Dpt</t>
  </si>
  <si>
    <t>WHITE PLAINS PARK DPT WHITE PLAINS NY</t>
  </si>
  <si>
    <t>Village Nyack Parkin</t>
  </si>
  <si>
    <t>MSB*VILLAGENYACKPARKIN NYACK NY</t>
  </si>
  <si>
    <t>Ccmc Corporation</t>
  </si>
  <si>
    <t>MED*CCMC CORPORATIONHARTFORD            CT</t>
  </si>
  <si>
    <t>Doctor/Medical</t>
  </si>
  <si>
    <t>Norwalk Hospital</t>
  </si>
  <si>
    <t>NORWALK HOSPITAL 436NORWALK             CT</t>
  </si>
  <si>
    <t>Norwalk Hospital Ass</t>
  </si>
  <si>
    <t>NORWALK HOSPITAL ASS203-739-7000        CT</t>
  </si>
  <si>
    <t>Advanced Specialty Care Danbury Office</t>
  </si>
  <si>
    <t>PHR*ADVANCEDSPECIALTDANBURY             CT</t>
  </si>
  <si>
    <t>Diana Donovan NP</t>
  </si>
  <si>
    <t>DONOVANS 06888002146NORWALK             CT</t>
  </si>
  <si>
    <t>The Stamford Hospital Print Shop</t>
  </si>
  <si>
    <t>THE STAMFORD HOSPITASTAMFORD            CT</t>
  </si>
  <si>
    <t>Premier Imaging LLC</t>
  </si>
  <si>
    <t>PREMIER IMAGING LLC DANBURY             CT</t>
  </si>
  <si>
    <t>Eyecare Associatetrumbull</t>
  </si>
  <si>
    <t>PHR*EYECAREASSOCIATETRUMBULL            CT</t>
  </si>
  <si>
    <t>The Center For Advan</t>
  </si>
  <si>
    <t>THE CENTER FOR ADVANNORWALK             CT</t>
  </si>
  <si>
    <t>Children's Dental Care of Norwalk LLC</t>
  </si>
  <si>
    <t>CHILDRENS DENTAL CARNORWALK             CT</t>
  </si>
  <si>
    <t>Skin Care Physicians of Fairfield County</t>
  </si>
  <si>
    <t>SKINCARE PHYSICIANS NORWALK             CT</t>
  </si>
  <si>
    <t>The Stamford Hospita</t>
  </si>
  <si>
    <t>THE STAMFORD HOSPITA203-2767463         CT</t>
  </si>
  <si>
    <t>Apple</t>
  </si>
  <si>
    <t>APPLE.COM/BILL</t>
  </si>
  <si>
    <t>Electronics</t>
  </si>
  <si>
    <t>PP*APPLE.COM/BILL 4029357733 CA null XXXXXXXXXXXX8924</t>
  </si>
  <si>
    <t>Tickets At Work</t>
  </si>
  <si>
    <t>TICKETS AT WORK     AVENTURA            FL</t>
  </si>
  <si>
    <t>Entertainment - General</t>
  </si>
  <si>
    <t>Community Theatre</t>
  </si>
  <si>
    <t>COMMUNITY THEATRE- SFAIRFIELD           CT</t>
  </si>
  <si>
    <t>Stepping Stones Museum For Children</t>
  </si>
  <si>
    <t>STEPPING STONES MUSENORWALK             CT</t>
  </si>
  <si>
    <t>Metro Movies 12</t>
  </si>
  <si>
    <t>METRO MOVIES 12 - REMIDDLETOWN          CT</t>
  </si>
  <si>
    <t>Met Museum Online Trnew</t>
  </si>
  <si>
    <t>MET MUSEUM ONLINE TRNEW YORK CITY       NY</t>
  </si>
  <si>
    <t>AMC Theatres</t>
  </si>
  <si>
    <t>AMC 9640 ONLINE*9640LEAWOOD             KS</t>
  </si>
  <si>
    <t>Norwalk Cove Marina</t>
  </si>
  <si>
    <t>NORWALK COVE MARINA NORWALK             CT</t>
  </si>
  <si>
    <t>Ticketmaster</t>
  </si>
  <si>
    <t>TM *TICKETMASTER</t>
  </si>
  <si>
    <t>The Maritime Aquarium</t>
  </si>
  <si>
    <t>AMC 0628 ROYALE 6</t>
  </si>
  <si>
    <t>D G Patrimonio Cult</t>
  </si>
  <si>
    <t>D G PATRIMONIO CULT</t>
  </si>
  <si>
    <t>Dncss Nash Arena Con</t>
  </si>
  <si>
    <t>DNCSS NASH ARENA CON NASHVILLE TN</t>
  </si>
  <si>
    <t>AMC 0628 ROYALE 6 NORWALK CT</t>
  </si>
  <si>
    <t>AMC 0630 SONO 8 NORWALK CT</t>
  </si>
  <si>
    <t>Amusement Machine</t>
  </si>
  <si>
    <t>AMUSEMENT MACHINE MILLER PLACE NY</t>
  </si>
  <si>
    <t>MONTHLY SERVICE FEE</t>
  </si>
  <si>
    <t>Fees/Interest</t>
  </si>
  <si>
    <t>Costco</t>
  </si>
  <si>
    <t>COSTCO *ANNUAL RENEWA 800-774-2678 WA        06/02</t>
  </si>
  <si>
    <t>FOREIGN EXCHANGE RATE ADJUSTMENT FEE         10/07DRIVE ON</t>
  </si>
  <si>
    <t>COSTCO MEMBERSHIP FEE 800-774-2678 WA        06/21</t>
  </si>
  <si>
    <t>FOREIGN TRANSACTION FEE</t>
  </si>
  <si>
    <t>MEMBERSHIP FEE SEP 24-AUG 25</t>
  </si>
  <si>
    <t>Third Taxing Distric</t>
  </si>
  <si>
    <t>THIRD TAXING DISTRICNORWALK             CT</t>
  </si>
  <si>
    <t>Gas and Electric</t>
  </si>
  <si>
    <t>Eversource</t>
  </si>
  <si>
    <t>EVERSOURCE       WEB_PAY                    PPD ID: 0201810503</t>
  </si>
  <si>
    <t>Sunoco</t>
  </si>
  <si>
    <t>SUNOCO 8000712102 80NORWALK             CT</t>
  </si>
  <si>
    <t>Gas/Convenience Stores</t>
  </si>
  <si>
    <t>Citgo</t>
  </si>
  <si>
    <t>EAST AVENUE CITGO 00NORWALK             CT</t>
  </si>
  <si>
    <t>Norwalk Sinclair &amp; D</t>
  </si>
  <si>
    <t>NORWALK SINCLAIR &amp; DNORWALK             CT</t>
  </si>
  <si>
    <t>Wheels</t>
  </si>
  <si>
    <t>WHEELS #175 00013821NORWALK             CT</t>
  </si>
  <si>
    <t>ExxonMobil</t>
  </si>
  <si>
    <t>EXXONMOBIL 9754     NORWALK             CT</t>
  </si>
  <si>
    <t>EXXONMOBIL 9922     NORWALK             CT</t>
  </si>
  <si>
    <t>Glen's Variety Plus</t>
  </si>
  <si>
    <t>GLENS VARIETY PLUS  NORWALK             CT</t>
  </si>
  <si>
    <t>Highland General Store</t>
  </si>
  <si>
    <t>HIGHLAND GENERAL STOHIGHLAND LAKES      NJ</t>
  </si>
  <si>
    <t>Shell</t>
  </si>
  <si>
    <t>SHELL SERVICE STATIONORWALK             CT</t>
  </si>
  <si>
    <t>Cumberland Farms</t>
  </si>
  <si>
    <t>CUMBERLAND FARMS 4766</t>
  </si>
  <si>
    <t>El Segundo</t>
  </si>
  <si>
    <t>TST* EL SEGUNDO</t>
  </si>
  <si>
    <t>Standard Oil Web Pay Oil</t>
  </si>
  <si>
    <t>Standard Oil     WEB PAY    Oil             WEB ID: 1060665104</t>
  </si>
  <si>
    <t>Md Alliance</t>
  </si>
  <si>
    <t>MD Alliance Norwalk CT</t>
  </si>
  <si>
    <t>GLENS VARIETY PLUS NORWALK CT</t>
  </si>
  <si>
    <t>Stop &amp; Shop</t>
  </si>
  <si>
    <t>STOP &amp; SHOP 662     800-573-2763        CT</t>
  </si>
  <si>
    <t>Groceries</t>
  </si>
  <si>
    <t>STOP &amp; SHOP 640     800-573-2763        CT</t>
  </si>
  <si>
    <t>Acme Markets</t>
  </si>
  <si>
    <t>ACME 2820 2820      VERNON              NJ</t>
  </si>
  <si>
    <t>STOP&amp;SHOP           NORWALK             CT</t>
  </si>
  <si>
    <t>Stew Leonard's</t>
  </si>
  <si>
    <t>STEW LEONARD'S      NORWALK             CT</t>
  </si>
  <si>
    <t>Spicewalla</t>
  </si>
  <si>
    <t>SP SPICEWALLA       ASHEVILLE           NC</t>
  </si>
  <si>
    <t>STOP &amp; SHOP         NORWALK             CT</t>
  </si>
  <si>
    <t>Old Post Spirit LLC</t>
  </si>
  <si>
    <t>OLD POST SPIRIT LLC NORWALK             CT</t>
  </si>
  <si>
    <t>Wine Basket</t>
  </si>
  <si>
    <t>THE WINE BASKET 1467EAST NORWALK        CT</t>
  </si>
  <si>
    <t>Mac &amp; Lindy's Fine Wine &amp; Spir</t>
  </si>
  <si>
    <t>MAC &amp; LINDYS FINE WIVERNON              NJ</t>
  </si>
  <si>
    <t>Hsp Mercado Ribeira Lisboa</t>
  </si>
  <si>
    <t>HSP MERCADO RIBEIRA LISBOA</t>
  </si>
  <si>
    <t>Meliora Cln Prod</t>
  </si>
  <si>
    <t>SP MELIORA CLN PRODSCHICAGO             IL</t>
  </si>
  <si>
    <t>Blackbear Wine &amp; Spi</t>
  </si>
  <si>
    <t>BLACKBEAR WINE &amp; SPIWESTPORT            CT</t>
  </si>
  <si>
    <t>Lyman Grocery Apple</t>
  </si>
  <si>
    <t>LYMAN GROCERY - APPLMIDDLEFIELD         CT</t>
  </si>
  <si>
    <t>Centre For Natural Healing</t>
  </si>
  <si>
    <t>CENTRE FOR NATURAL HNORWALK             CT</t>
  </si>
  <si>
    <t>The Fresh Market</t>
  </si>
  <si>
    <t>THE FRESH MARKET    SARATOGA SPRINGS    NY</t>
  </si>
  <si>
    <t>Price Chopper Supermarkets</t>
  </si>
  <si>
    <t>PRICE CHOPPER #232 2MIDDLETOWN          CT</t>
  </si>
  <si>
    <t>STOP &amp; SHOP         WATERFORD           CT</t>
  </si>
  <si>
    <t>Silverman's Farm</t>
  </si>
  <si>
    <t>SILVERMANS FARM 0688EASTON              CT</t>
  </si>
  <si>
    <t>Advance Vending</t>
  </si>
  <si>
    <t>ADVANCE VENDING CT 0HARTFORD            CT</t>
  </si>
  <si>
    <t>Silvas Package Store</t>
  </si>
  <si>
    <t>SILVAS PACKAGE STORE</t>
  </si>
  <si>
    <t>Copps Island Oysters</t>
  </si>
  <si>
    <t>TST* COPPS ISLAND OYST</t>
  </si>
  <si>
    <t>STEW LEONARDS-NORWALK</t>
  </si>
  <si>
    <t>Drink Lmnt Inc.</t>
  </si>
  <si>
    <t>SP DRINK LMNT, INC.</t>
  </si>
  <si>
    <t>Wave Hill Breads</t>
  </si>
  <si>
    <t>TST* WAVE HILL BREADS</t>
  </si>
  <si>
    <t>STOP &amp; SHOP 0640</t>
  </si>
  <si>
    <t>CMS Vending</t>
  </si>
  <si>
    <t>CMSVEND*CV FARMINGDALE</t>
  </si>
  <si>
    <t>Waterhouse Vending So</t>
  </si>
  <si>
    <t>WATERHOUSE VENDING SO</t>
  </si>
  <si>
    <t>COSTCO WHSE #0324 NORWALK CT         963545  10/28</t>
  </si>
  <si>
    <t>COSTCO WHSE #0324 NORWALK CT         508682  06/21</t>
  </si>
  <si>
    <t>COSTCO WHSE #0324 NORWALK CT         006513  01/05</t>
  </si>
  <si>
    <t>COSTCO WHSE #0324 NORWALK CT         221003  07/12</t>
  </si>
  <si>
    <t>WWW COSTCO COM 800-955-2292 WA               12/06</t>
  </si>
  <si>
    <t>Sl Norwalk Wine</t>
  </si>
  <si>
    <t>SL-NORWALK WINE NORWALK CT</t>
  </si>
  <si>
    <t>Little People's Creative Workshop Eastern NC</t>
  </si>
  <si>
    <t>LITTLE PEOPLE'S CREAGREENVILLE          NC</t>
  </si>
  <si>
    <t>Gym/Fitness</t>
  </si>
  <si>
    <t>Kidstrong 00norwalk</t>
  </si>
  <si>
    <t>KIDSTRONG NORWALK 00NORWALK             CT</t>
  </si>
  <si>
    <t>Als Greater</t>
  </si>
  <si>
    <t>ALS GREATER CHICAGO CHICAGO             IL</t>
  </si>
  <si>
    <t>Yoga 203 LLC</t>
  </si>
  <si>
    <t>YOGA 203 LLC</t>
  </si>
  <si>
    <t>Travelers Insurance</t>
  </si>
  <si>
    <t>TRAVELERS        PER INSUR                  PPD ID: 4069827007</t>
  </si>
  <si>
    <t>Hazard Insurance</t>
  </si>
  <si>
    <t>Gutter Guys</t>
  </si>
  <si>
    <t>GUTTER GUYS 00000000STAMFORD            CT</t>
  </si>
  <si>
    <t>Home Improvement/Shopping</t>
  </si>
  <si>
    <t>Lowe's</t>
  </si>
  <si>
    <t>LOWE'S OF NORWALK, CNORWALK             CT</t>
  </si>
  <si>
    <t>Wayfair</t>
  </si>
  <si>
    <t>Wayfair             866-263-8325        MA</t>
  </si>
  <si>
    <t>The Home Depot</t>
  </si>
  <si>
    <t>HOMEDEPOT.COM       800-430-3376        GA</t>
  </si>
  <si>
    <t>Solar Dos Nunes Lisboa</t>
  </si>
  <si>
    <t>SOLAR DOS NUNES     LISBOA</t>
  </si>
  <si>
    <t>Ring</t>
  </si>
  <si>
    <t>RING YEARLY PLAN    SANTA MONICA        CA</t>
  </si>
  <si>
    <t>THE HOME DEPOT #6204NORWALK             CT</t>
  </si>
  <si>
    <t>Wells Fargo</t>
  </si>
  <si>
    <t>WF WAYFAIR4209058905 8662638325 MA</t>
  </si>
  <si>
    <t>Mvbilling</t>
  </si>
  <si>
    <t>MVBILLING.COM 302-5205120 DE</t>
  </si>
  <si>
    <t>MVBILLING.COM 3028040253 DE</t>
  </si>
  <si>
    <t>MVBILLING.COM 302-520-5120 DE</t>
  </si>
  <si>
    <t>Optimum</t>
  </si>
  <si>
    <t>OPTIMUM 7808        203-870-2583        NY</t>
  </si>
  <si>
    <t>Internet</t>
  </si>
  <si>
    <t>Northwestern Mu Pymnt</t>
  </si>
  <si>
    <t>NORTHWESTERN MU  PYMNT WEB  1338409         WEB ID: 9000596067</t>
  </si>
  <si>
    <t>Life &amp; Disability Insurance</t>
  </si>
  <si>
    <t>NORTHWESTERN MU  PYMNT WEB  1338372         WEB ID: 9000596067</t>
  </si>
  <si>
    <t>Northwestern Mu Rqst Tel</t>
  </si>
  <si>
    <t>NORTHWESTERN MU  RQST TEL   1338409         TEL ID: 9000596067</t>
  </si>
  <si>
    <t>Northwestern Mu Rqst</t>
  </si>
  <si>
    <t>NORTHWESTERN MU  RQST PYMT                  PPD ID: 9000596067</t>
  </si>
  <si>
    <t>Airbnb</t>
  </si>
  <si>
    <t>AIRBNB * HMT8S5MJJP SAN FRANCISCO       CA</t>
  </si>
  <si>
    <t>Lodging</t>
  </si>
  <si>
    <t>AIRBNB * HMR29WKMMD SAN FRANCISCO       CA</t>
  </si>
  <si>
    <t>AIRBNB * HME3XHHYXA SAN FRANCISCO       CA</t>
  </si>
  <si>
    <t>AIRBNB * HMQ9BYXZ9Y SAN FRANCISCO       CA</t>
  </si>
  <si>
    <t>Hilton Saratoga Sprisar</t>
  </si>
  <si>
    <t>HILTON SARATOGA SPRISARATOGA SPRI       NY</t>
  </si>
  <si>
    <t>Tufano Amusements</t>
  </si>
  <si>
    <t>TUFANO AMUSEMENTS INCHESHIRE            CT</t>
  </si>
  <si>
    <t>Courtyard By Marriott</t>
  </si>
  <si>
    <t>COURTYARD           NEW YORK            NY</t>
  </si>
  <si>
    <t>AIRBNB * HMZJD2QSJT</t>
  </si>
  <si>
    <t>Drive On Holidays Prior Velho</t>
  </si>
  <si>
    <t>DRIVE ON HOLIDAYS PRIOR VELHO                10/07 Euro       23.26 X 1.104041 (EXCHG RTE)</t>
  </si>
  <si>
    <t>Le Meridien</t>
  </si>
  <si>
    <t>LE MERIDIEN TAMPA TAMPA FL PHONE NUMBER: 8132219555 FOLIO NUMBER: 314249 ARRIVE: 01/26/2024 DEPART:01/30/2024</t>
  </si>
  <si>
    <t>Marriott</t>
  </si>
  <si>
    <t>MARRIOTT PHILAD DTOWN PHILADELPHIA PA PHONE NUMBER: 8664357627 FOLIO NUMBER: 38119 ARRIVE: 04/04/2024 DEPART:04/08/2024</t>
  </si>
  <si>
    <t>IDAHO HOUSING    MTGPMT     0901601112      WEB ID: 1820302333</t>
  </si>
  <si>
    <t>Mortgage</t>
  </si>
  <si>
    <t>FACTSET RESEARCH DV01DC2312                 PPD ID: 2431912740</t>
  </si>
  <si>
    <t>FACTSET RESEARCH DV01DC2403                 PPD ID: 2431912740</t>
  </si>
  <si>
    <t>FACTSET RESEARCH DV01DC2406                 PPD ID: 2431912740</t>
  </si>
  <si>
    <t>FACTSET RESEARCH DV01DC2409                 PPD ID: 2431912740</t>
  </si>
  <si>
    <t>ATM CHECK DEPOSIT 01/11 515 W AVE M NORWALK CT</t>
  </si>
  <si>
    <t>ATM CHECK DEPOSIT 07/12 515 W AVE M NORWALK CT</t>
  </si>
  <si>
    <t>WEX HEALTH INC   CLAIM REIM                 PPD ID: 1900058554</t>
  </si>
  <si>
    <t>WWELOCKBOX       EXP AP PMT                 PPD ID: 9740310001</t>
  </si>
  <si>
    <t>ATM CHECK DEPOSIT 08/09 50 WASHINGTON ST NORWALK CT</t>
  </si>
  <si>
    <t>FACTSET RESEARCH DIRECT DEP                 PPD ID: 9111111101</t>
  </si>
  <si>
    <t>WWF DBA EVENTS   DIRECT DEP                 PPD ID: 9111111103</t>
  </si>
  <si>
    <t>WWF DBA EVENTS   DIRECT DEP                 PPD ID: 9111111101</t>
  </si>
  <si>
    <t>Wall Street Barber And Beauty Studio</t>
  </si>
  <si>
    <t>WALL ST BARBER AND BNorwalk             CT</t>
  </si>
  <si>
    <t>Personal Care</t>
  </si>
  <si>
    <t>Lifestyle Barber Bean</t>
  </si>
  <si>
    <t>LIFESTYLE BARBER BEANORWALK             CT</t>
  </si>
  <si>
    <t>Earth Breeze</t>
  </si>
  <si>
    <t>BT*EARTH BREEZE INC MEDFORD             OR</t>
  </si>
  <si>
    <t>Best Time Ever</t>
  </si>
  <si>
    <t>BEST TIME EVER      STAMFORD            CT</t>
  </si>
  <si>
    <t>Wall St Barber And</t>
  </si>
  <si>
    <t>SQ *WALL ST BARBER AND</t>
  </si>
  <si>
    <t>Movida Doh</t>
  </si>
  <si>
    <t>MOVIDA DOH</t>
  </si>
  <si>
    <t>Beyond Beauty Salon</t>
  </si>
  <si>
    <t>SQ *BEYOND BEAUTY SALO</t>
  </si>
  <si>
    <t>SQ *WALL ST BARBER AND Norwalk CT</t>
  </si>
  <si>
    <t>Rite Aid</t>
  </si>
  <si>
    <t>RITE AID 03440 0344 NORWALK             CT</t>
  </si>
  <si>
    <t>Pharmacy</t>
  </si>
  <si>
    <t>Walgreens</t>
  </si>
  <si>
    <t>WALGREENS           NORWALK             CT</t>
  </si>
  <si>
    <t>CVS</t>
  </si>
  <si>
    <t>CVS PHARMACY        NORWALK             CT</t>
  </si>
  <si>
    <t>RITE AID 03440</t>
  </si>
  <si>
    <t>CVS/PHARMACY #00854</t>
  </si>
  <si>
    <t>WALGREENS #6308</t>
  </si>
  <si>
    <t>CVS/PHARMACY #07856</t>
  </si>
  <si>
    <t>CVS/PHARMACY #01149</t>
  </si>
  <si>
    <t>Farmacia Infante Santo</t>
  </si>
  <si>
    <t>RITE AID 03440 NORWALK CT                    07/27 Purchase $1.69 Cash Back $20.00</t>
  </si>
  <si>
    <t>RITE AID 03440 NORWALK CT</t>
  </si>
  <si>
    <t>Mint Mobile</t>
  </si>
  <si>
    <t>MINT MOBILE         COSTA MESA          CA</t>
  </si>
  <si>
    <t>Phone</t>
  </si>
  <si>
    <t>Docnetwork</t>
  </si>
  <si>
    <t>DOCNETWORK INC 0    ANN ARBOR           MI</t>
  </si>
  <si>
    <t>Restaurants/Delivery/Take Out</t>
  </si>
  <si>
    <t>Viva Zapata</t>
  </si>
  <si>
    <t>GRUBHUB*VIVAZAPATA  NEW YORK            NY</t>
  </si>
  <si>
    <t>Sl 0000norwalk Wine</t>
  </si>
  <si>
    <t>SL-NORWALK WINE 0000NORWALK             CT</t>
  </si>
  <si>
    <t>Barcelona Waypointe</t>
  </si>
  <si>
    <t>BARCELONA WAYPOINTE NORWALK             CT</t>
  </si>
  <si>
    <t>Leonardo's Pizza</t>
  </si>
  <si>
    <t>LEONARDO'S PIZZA LLCNORWALK             CT</t>
  </si>
  <si>
    <t>Diamond's Deli And B</t>
  </si>
  <si>
    <t>DIAMOND'S DELI AND BNORWALK             CT</t>
  </si>
  <si>
    <t>Nolan Interior</t>
  </si>
  <si>
    <t>SP NOLAN INTERIOR   CHEYENNE            WY</t>
  </si>
  <si>
    <t>O'neill's</t>
  </si>
  <si>
    <t>TST* O'NEILL'S 30053NORWALK             CT</t>
  </si>
  <si>
    <t>Wildricerestnew</t>
  </si>
  <si>
    <t>GRUBHUB*WILDRICERESTNEW YORK            NY</t>
  </si>
  <si>
    <t>Drydockbarannew</t>
  </si>
  <si>
    <t>GRUBHUB*DRYDOCKBARANNEW YORK            NY</t>
  </si>
  <si>
    <t>Classicapizza</t>
  </si>
  <si>
    <t>SLICE*CLASSICAPIZZA NEW YORK CITY       NY</t>
  </si>
  <si>
    <t>Villagegourmnew</t>
  </si>
  <si>
    <t>GRUBHUB*VILLAGEGOURMNEW YORK            NY</t>
  </si>
  <si>
    <t>The Cube Inn</t>
  </si>
  <si>
    <t>THE CUBE INN 0000   TARRYTOWN           NY</t>
  </si>
  <si>
    <t>Total Wine &amp; More</t>
  </si>
  <si>
    <t>TOTAL WINE AND MORE NORWALK             CT</t>
  </si>
  <si>
    <t>Good Inside</t>
  </si>
  <si>
    <t>GOOD INSIDE         NEW YORK            NY</t>
  </si>
  <si>
    <t>Bjryansbanchnew</t>
  </si>
  <si>
    <t>GRUBHUB*BJRYANSBANCHNEW YORK            NY</t>
  </si>
  <si>
    <t>Happywokwiltnew</t>
  </si>
  <si>
    <t>GRUBHUB*HAPPYWOKWILTNEW YORK            NY</t>
  </si>
  <si>
    <t>Bjryans</t>
  </si>
  <si>
    <t>GRUBHUB*BJRYANS     NEW YORK            NY</t>
  </si>
  <si>
    <t>Taco House</t>
  </si>
  <si>
    <t>Taco House          Norwalk             CT</t>
  </si>
  <si>
    <t>Tainosmokehonew</t>
  </si>
  <si>
    <t>GRUBHUB*TAINOSMOKEHONEW YORK            NY</t>
  </si>
  <si>
    <t>O'Connors Public House</t>
  </si>
  <si>
    <t>OCONNORS PUBLIC HOUSMOUNT KISCO         NY</t>
  </si>
  <si>
    <t>Thaispice</t>
  </si>
  <si>
    <t>GRUBHUB*THAISPICE   NEW YORK            NY</t>
  </si>
  <si>
    <t>Classica Pizza</t>
  </si>
  <si>
    <t>TST* CLASSICA PIZZA NORWALK             CT</t>
  </si>
  <si>
    <t>Classicapizznew</t>
  </si>
  <si>
    <t>GRUBHUB*CLASSICAPIZZNEW YORK            NY</t>
  </si>
  <si>
    <t>Eatarry</t>
  </si>
  <si>
    <t>EATARRY 0000        SLEEPY HOLLOW       NY</t>
  </si>
  <si>
    <t>Leonardo's</t>
  </si>
  <si>
    <t>GRUBHUB*LEONARDOS   NEW YORK            NY</t>
  </si>
  <si>
    <t>Crownpizzaofnew</t>
  </si>
  <si>
    <t>GRUBHUB*CROWNPIZZAOFNEW YORK            NY</t>
  </si>
  <si>
    <t>Garden Cater Inew</t>
  </si>
  <si>
    <t>GRUBHUB*GARDENCATERINEW YORK            NY</t>
  </si>
  <si>
    <t>Rainbow Thai</t>
  </si>
  <si>
    <t>GRUBHUB*RAINBOWTHAI NEW YORK            NY</t>
  </si>
  <si>
    <t>Diamondsbricnew</t>
  </si>
  <si>
    <t>GRUBHUB*DIAMONDSBRICNEW YORK            NY</t>
  </si>
  <si>
    <t>The Iron Horse</t>
  </si>
  <si>
    <t>TST* THE IRON HORSE WESTWOOD            NJ</t>
  </si>
  <si>
    <t>Oishi Sushi &amp; Izakaya</t>
  </si>
  <si>
    <t>OISHI SUSHI AND IZAKNORWALK             CT</t>
  </si>
  <si>
    <t>Pinstripes</t>
  </si>
  <si>
    <t>PINSTRIPES - 13 NORWNORWALK             CT</t>
  </si>
  <si>
    <t>Mike's Deli</t>
  </si>
  <si>
    <t>MIKE'S DELI         Norwalk             CT</t>
  </si>
  <si>
    <t>Viva Zapata Mexican Restaurant</t>
  </si>
  <si>
    <t>VIVA ZAPATA 0927    WESTPORT            CT</t>
  </si>
  <si>
    <t>O &amp; B Inc</t>
  </si>
  <si>
    <t>O &amp; B INC           WESTPORT            CT</t>
  </si>
  <si>
    <t>Metro-north Tomtvm</t>
  </si>
  <si>
    <t>METRO-NORTH TOMTVM2</t>
  </si>
  <si>
    <t>Giftcarencino</t>
  </si>
  <si>
    <t>LGC*DOORDASH GIFTCARENCINO              CA</t>
  </si>
  <si>
    <t>Liquor Center</t>
  </si>
  <si>
    <t>THE LIQUOR CENTER 92NORWALK             CT</t>
  </si>
  <si>
    <t>The Galley</t>
  </si>
  <si>
    <t>TST* THE GALLEY AT CNORWALK             CT</t>
  </si>
  <si>
    <t>Dunkin'</t>
  </si>
  <si>
    <t>DD/BR #330826 Q35 33NORWALK             CT</t>
  </si>
  <si>
    <t>Wendy's</t>
  </si>
  <si>
    <t>WENDYS #11140 000011NORWALK             CT</t>
  </si>
  <si>
    <t>Little Pub Two</t>
  </si>
  <si>
    <t>LITTLE PUB TWO      WILTON              CT</t>
  </si>
  <si>
    <t>GRUBHUB* BJRYANS    CHICAGO             IL</t>
  </si>
  <si>
    <t>Thelime</t>
  </si>
  <si>
    <t>GRUBHUB*THELIME     NEW YORK            NY</t>
  </si>
  <si>
    <t>Penny's Diner Iii</t>
  </si>
  <si>
    <t>PENNY'S DINER III 43NORWALK             CT</t>
  </si>
  <si>
    <t>Norwalk Pizza &amp; Pasta</t>
  </si>
  <si>
    <t>NORWALK PIZZA &amp; PASTNORWALK             CT</t>
  </si>
  <si>
    <t>Solar Dos Nunes</t>
  </si>
  <si>
    <t>SOLAR DOS NUNES     LISBOA              LI</t>
  </si>
  <si>
    <t>Newcrossroadnew</t>
  </si>
  <si>
    <t>GRUBHUB*NEWCROSSROADNEW YORK            NY</t>
  </si>
  <si>
    <t>Francesca's Cafe &amp; G</t>
  </si>
  <si>
    <t>FRANCESCA'S CAFE &amp; GNORWALK             CT</t>
  </si>
  <si>
    <t>Little Tokyo Japanese Restaurant</t>
  </si>
  <si>
    <t>LITTLE TOKYO        NORWALK             CT</t>
  </si>
  <si>
    <t>Classicapiz</t>
  </si>
  <si>
    <t>GRUBHUB* CLASSICAPIZCHICAGO             IL</t>
  </si>
  <si>
    <t>Pokemoto</t>
  </si>
  <si>
    <t>GRUBHUB*POKMOTO     NEW YORK            NY</t>
  </si>
  <si>
    <t>POKEMOTO            Norwalk             CT</t>
  </si>
  <si>
    <t>Totsy Turvy Cafe And</t>
  </si>
  <si>
    <t>TOTSY TURVY CAFE ANDWILTON              CT</t>
  </si>
  <si>
    <t>DUNKIN #330826 Q35 3NORWALK             CT</t>
  </si>
  <si>
    <t>Harbor Harvest</t>
  </si>
  <si>
    <t>HARBOR HARVEST 0000 NORWALK             CT</t>
  </si>
  <si>
    <t>Chipotle Mexican Grill</t>
  </si>
  <si>
    <t>CHIPOTLE 2444 0000  DARIEN              CT</t>
  </si>
  <si>
    <t>HARBOR HARVEST      NORWALK             CT</t>
  </si>
  <si>
    <t>The Liquor Center</t>
  </si>
  <si>
    <t>THE LIQUOR CENTER 92203-8663666         CT</t>
  </si>
  <si>
    <t>CHIPOTLE 1583 0000  FAIRFIELD           CT</t>
  </si>
  <si>
    <t>BLT Deli</t>
  </si>
  <si>
    <t>BLT DELI - NORWALK 0NORWALK             CT</t>
  </si>
  <si>
    <t>Cold Stone Creamery</t>
  </si>
  <si>
    <t>WGC*COLDSTONE CREAMESCOTTSDALE          AZ</t>
  </si>
  <si>
    <t>Dream Donuts</t>
  </si>
  <si>
    <t>DREAM DONUTS 0000   WARWICK             NY</t>
  </si>
  <si>
    <t>Zucker's Bagelsnew</t>
  </si>
  <si>
    <t>TST* ZUCKER'S BAGELSNEW YORK            NY</t>
  </si>
  <si>
    <t>MIKE'S DELI         NORWALK             CT</t>
  </si>
  <si>
    <t>Sweet Ashley's</t>
  </si>
  <si>
    <t>SWEET ASHLEY'S 0000 NORWALK             CT</t>
  </si>
  <si>
    <t>Ipms</t>
  </si>
  <si>
    <t>IPMS 000000001      EAST HARTFORD       CT</t>
  </si>
  <si>
    <t>Cafe Dolce</t>
  </si>
  <si>
    <t>CAFE DOLCE          Norwalk             CT</t>
  </si>
  <si>
    <t>Haagen-Dazs</t>
  </si>
  <si>
    <t>HAAGEN DAZS 1401 650NORWALK             CT</t>
  </si>
  <si>
    <t>WAVE HILL BREADS - NNorwalk             CT</t>
  </si>
  <si>
    <t>Pretzelmaker</t>
  </si>
  <si>
    <t>PRETZELMAKER - NORWANORWALK             CT</t>
  </si>
  <si>
    <t>Kim's Cottage Confections</t>
  </si>
  <si>
    <t>TST* KIMS COTTAGE COMIDDLEFIELD         CT</t>
  </si>
  <si>
    <t>Camp Nyc Inc</t>
  </si>
  <si>
    <t>SP CAMP NYC INC     NEW YORK            NY</t>
  </si>
  <si>
    <t>Soul Food Kitchen Ll</t>
  </si>
  <si>
    <t>SOUL FOOD KITCHEN LLNorwalk             CT</t>
  </si>
  <si>
    <t>A Vida Portuguesa Lisboa</t>
  </si>
  <si>
    <t>A VIDA PORTUGUESA   LISBOA</t>
  </si>
  <si>
    <t>Market Place Tave</t>
  </si>
  <si>
    <t>TST* MARKET PLACE TAVE</t>
  </si>
  <si>
    <t>Batifol</t>
  </si>
  <si>
    <t>TST* BATIFOL - CAMBRID</t>
  </si>
  <si>
    <t>Washington Prime</t>
  </si>
  <si>
    <t>TST* WASHINGTON PRIME</t>
  </si>
  <si>
    <t>Restaurante Drogaria</t>
  </si>
  <si>
    <t>RESTAURANTE DROGARIA</t>
  </si>
  <si>
    <t>Lillys White Plain</t>
  </si>
  <si>
    <t>TST*LILLYS WHITE PLAIN</t>
  </si>
  <si>
    <t>Amaze Asian Fusion Cui</t>
  </si>
  <si>
    <t>AMAZE ASIAN FUSION CUI</t>
  </si>
  <si>
    <t>The Corner Restaurant</t>
  </si>
  <si>
    <t>@ THE CORNER RESTAURAN</t>
  </si>
  <si>
    <t>West Shore Seafood</t>
  </si>
  <si>
    <t>TST* WEST SHORE SEAFOO</t>
  </si>
  <si>
    <t>Uptown Market Gate</t>
  </si>
  <si>
    <t>SQ *UPTOWN MARKET GATE</t>
  </si>
  <si>
    <t>Praia De Petalas Lda</t>
  </si>
  <si>
    <t>PRAIA DE PETALAS LDA</t>
  </si>
  <si>
    <t>Bacalhau Com Todos</t>
  </si>
  <si>
    <t>BACALHAU COM TODOS</t>
  </si>
  <si>
    <t>Taproot</t>
  </si>
  <si>
    <t>TST* TAPROOT</t>
  </si>
  <si>
    <t>Petraroia Deli LLC</t>
  </si>
  <si>
    <t>PETRAROIA DELI LLC</t>
  </si>
  <si>
    <t>HARBOR HARVEST</t>
  </si>
  <si>
    <t>Factset Cafe</t>
  </si>
  <si>
    <t>FACTSET CAFE       QPS</t>
  </si>
  <si>
    <t>DUNKIN' MOBILE</t>
  </si>
  <si>
    <t>Towers Cafe</t>
  </si>
  <si>
    <t>TOWERS CAFE        QPS</t>
  </si>
  <si>
    <t>SQ *THE GALLEY</t>
  </si>
  <si>
    <t>The Galley At Cov</t>
  </si>
  <si>
    <t>TST* THE GALLEY AT COV</t>
  </si>
  <si>
    <t>SQ *CAFE DOLCE</t>
  </si>
  <si>
    <t>Caffe Nero Darien</t>
  </si>
  <si>
    <t>1029 CAFFE NERO DARIEN</t>
  </si>
  <si>
    <t>Pausa Caffe</t>
  </si>
  <si>
    <t>SQ *PAUSA CAFFE</t>
  </si>
  <si>
    <t>Wayback Burgers</t>
  </si>
  <si>
    <t>WAYBACK BURGERS</t>
  </si>
  <si>
    <t>Alberto's</t>
  </si>
  <si>
    <t>TST* ALBERT'S</t>
  </si>
  <si>
    <t>WENDYS #11140</t>
  </si>
  <si>
    <t>SQ *MIKE'S DELI</t>
  </si>
  <si>
    <t>The Art Space Cafe</t>
  </si>
  <si>
    <t>TST* THE ART SPACE CAF</t>
  </si>
  <si>
    <t>POKEMOTO (NORWALK)</t>
  </si>
  <si>
    <t>DUNKIN #330826 Q35</t>
  </si>
  <si>
    <t>Krafted Brew Lab</t>
  </si>
  <si>
    <t>SQ *KRAFTED BREW LAB</t>
  </si>
  <si>
    <t>WENDY'S #67</t>
  </si>
  <si>
    <t>THE CORNER RESTAURANT</t>
  </si>
  <si>
    <t>O'Neills</t>
  </si>
  <si>
    <t>TST* O'NEILL'S</t>
  </si>
  <si>
    <t>Scandinavian Butik</t>
  </si>
  <si>
    <t>SQ *SCANDINAVIAN BUTIK</t>
  </si>
  <si>
    <t>Met Great Hall Cafe</t>
  </si>
  <si>
    <t>MET GREAT HALL CAFEQPS</t>
  </si>
  <si>
    <t>Francesca's Italian De</t>
  </si>
  <si>
    <t>FRANCESCA'S ITALIAN DE</t>
  </si>
  <si>
    <t>Gelato &amp; Cioccolato</t>
  </si>
  <si>
    <t>GELATO CIOCCOLATO</t>
  </si>
  <si>
    <t>Soul Food Kitchen</t>
  </si>
  <si>
    <t>SQ *SOUL FOOD KITCHEN</t>
  </si>
  <si>
    <t>KFC</t>
  </si>
  <si>
    <t>KFC C160042</t>
  </si>
  <si>
    <t>Captain D's</t>
  </si>
  <si>
    <t>FSP*CAPTAIN LAWRENCE B</t>
  </si>
  <si>
    <t>Liz Sue Bagels Ii</t>
  </si>
  <si>
    <t>LIZ SUE BAGELS II</t>
  </si>
  <si>
    <t>Eli Zabar Bread</t>
  </si>
  <si>
    <t>TST* ELI ZABAR BREAD A</t>
  </si>
  <si>
    <t>Silvermine Coffee</t>
  </si>
  <si>
    <t>SP SILVERMINE COFFEE</t>
  </si>
  <si>
    <t>DUNKIN #340041 Q35</t>
  </si>
  <si>
    <t>Allora Coffee &amp; Bites</t>
  </si>
  <si>
    <t>ALLORA COFFEE &amp; BITES</t>
  </si>
  <si>
    <t>DD/BR #330826 Q35</t>
  </si>
  <si>
    <t>DUNKIN #352115 Q35</t>
  </si>
  <si>
    <t>Starbucks</t>
  </si>
  <si>
    <t>STARBUCKS 65347</t>
  </si>
  <si>
    <t>Norwalk Historical</t>
  </si>
  <si>
    <t>SQ *NORWALK HISTORICAL</t>
  </si>
  <si>
    <t>Butt Tuckers Craft</t>
  </si>
  <si>
    <t>WPY*BUTT TUCKERS CRAFT</t>
  </si>
  <si>
    <t>DUNKIN #348429 Q35</t>
  </si>
  <si>
    <t>Gelato Davvero</t>
  </si>
  <si>
    <t>GELATO DAVVERO</t>
  </si>
  <si>
    <t>Zaros</t>
  </si>
  <si>
    <t>TST* ZAROS - GCT TRACK</t>
  </si>
  <si>
    <t>TOWERS CAFE NORWALK CT                       10/16</t>
  </si>
  <si>
    <t>ALLORA COFFEE &amp; BITES NORWALK CT             06/14</t>
  </si>
  <si>
    <t>El Vez</t>
  </si>
  <si>
    <t>EL VEZ PHILADELPHIA PA</t>
  </si>
  <si>
    <t>Bobby Vs</t>
  </si>
  <si>
    <t>TST* BOBBY VS STAMFORD Stamford CT</t>
  </si>
  <si>
    <t>Fetch Bar &amp; Grill</t>
  </si>
  <si>
    <t>TST* FETCH BAR &amp; GRILL WARWICK NY</t>
  </si>
  <si>
    <t>Diamonds Pizzeria</t>
  </si>
  <si>
    <t>DIAMONDS PIZZERIA NORWALK CT</t>
  </si>
  <si>
    <t>The Boatyard at Smokey Joe's BBQ</t>
  </si>
  <si>
    <t>THE BOATYARD AT SMOKEY STAMFORD CT</t>
  </si>
  <si>
    <t>Valencia Luncheria</t>
  </si>
  <si>
    <t>TST* VALENCIA LUNCHERI Norwalk CT</t>
  </si>
  <si>
    <t>TST*BOBBY VS STAMFORD Stamford CT</t>
  </si>
  <si>
    <t>Honky Tonk Central</t>
  </si>
  <si>
    <t>HONKY TONK CENTRAL NASHVILLE TN</t>
  </si>
  <si>
    <t>Germantown Pub</t>
  </si>
  <si>
    <t>TST* Germantown Pub Nashville TN</t>
  </si>
  <si>
    <t>Little Pub Wilton</t>
  </si>
  <si>
    <t>TST* LITTLE PUB WILTON WILTON CT</t>
  </si>
  <si>
    <t>Legends Corner</t>
  </si>
  <si>
    <t>LEGENDS CORNER NASHVILLE TN</t>
  </si>
  <si>
    <t>Bistro</t>
  </si>
  <si>
    <t>534 BISTRO SARATOGA SPRI NY</t>
  </si>
  <si>
    <t>Jason Aldean's Kitchen Rooftop Bar</t>
  </si>
  <si>
    <t>JASON ALDEANS NASHVILLE TN</t>
  </si>
  <si>
    <t>FGL House</t>
  </si>
  <si>
    <t>FGL HOUSE NASHVILLE TN</t>
  </si>
  <si>
    <t>Nashville Undergr</t>
  </si>
  <si>
    <t>TST* NASHVILLE UNDERGR NASHVILLE TN</t>
  </si>
  <si>
    <t>Lucky Bastard Saloon</t>
  </si>
  <si>
    <t>LUCKY BASTARD SALOON NASHVILLE TN</t>
  </si>
  <si>
    <t>McDonald's</t>
  </si>
  <si>
    <t>MCDONALD'S F7474 DARIEN CT</t>
  </si>
  <si>
    <t>The Olde Village</t>
  </si>
  <si>
    <t>THE OLDE VILLAGE INNE NYACK NY</t>
  </si>
  <si>
    <t>The Stage on Broadway</t>
  </si>
  <si>
    <t>THE STAGE ON BROADWAY NASHVILLE TN</t>
  </si>
  <si>
    <t>WENDYS #11140 NORWALK CT</t>
  </si>
  <si>
    <t>SQ *MIKE'S DELI Norwalk CT</t>
  </si>
  <si>
    <t>CHIPOTLE 2444 DARIEN CT</t>
  </si>
  <si>
    <t>SQ *MIKE'S DELI NORWALK CT</t>
  </si>
  <si>
    <t>DUNKIN #340041 Q35 NORWALK CT</t>
  </si>
  <si>
    <t>Domain Money</t>
  </si>
  <si>
    <t>DOMAIN MONEY        MANHATTAN           NY</t>
  </si>
  <si>
    <t>Shopping - General</t>
  </si>
  <si>
    <t>Walmart</t>
  </si>
  <si>
    <t>WALMART.COM AA 099208009666546          AR</t>
  </si>
  <si>
    <t>eBay</t>
  </si>
  <si>
    <t>EBAY O*23-10764-0911SAN JOSE            CA</t>
  </si>
  <si>
    <t>Groupon</t>
  </si>
  <si>
    <t>GROUPON, INC.       CHICAGO</t>
  </si>
  <si>
    <t>Dollar Tree</t>
  </si>
  <si>
    <t>DOLLARTREE 000008306WILTON              CT</t>
  </si>
  <si>
    <t>Simplemodern</t>
  </si>
  <si>
    <t>SP SIMPLEMODERN     MOORE               OK</t>
  </si>
  <si>
    <t>Marshalls</t>
  </si>
  <si>
    <t>MARSHALLS           NORWALK             CT</t>
  </si>
  <si>
    <t>Kohl's</t>
  </si>
  <si>
    <t>KOHL'S              NORWALK             CT</t>
  </si>
  <si>
    <t>Photoaffections</t>
  </si>
  <si>
    <t>BT*PHOTOAFFECTIONS  CALABASAS           CA</t>
  </si>
  <si>
    <t>Michaels</t>
  </si>
  <si>
    <t>MICHAELS STORES 1174WILTON              CT</t>
  </si>
  <si>
    <t>Goodwill</t>
  </si>
  <si>
    <t>GOODWILL NORWALK STONORWALK             CT</t>
  </si>
  <si>
    <t>Staples</t>
  </si>
  <si>
    <t>STAPLES 00048       NORWALK             CT</t>
  </si>
  <si>
    <t>Party City</t>
  </si>
  <si>
    <t>PARTY CITY          NORWALK             CT</t>
  </si>
  <si>
    <t>Marvin Pta</t>
  </si>
  <si>
    <t>MARVIN PTA          NORWALK             CT</t>
  </si>
  <si>
    <t>EBAY O*25-11557-9668SAN JOSE            CA</t>
  </si>
  <si>
    <t>MARSHALLS #825</t>
  </si>
  <si>
    <t>Greer New</t>
  </si>
  <si>
    <t>TST* GREER NEW</t>
  </si>
  <si>
    <t>TJ Maxx</t>
  </si>
  <si>
    <t>TJMAXX #0109</t>
  </si>
  <si>
    <t>L.L.Bean</t>
  </si>
  <si>
    <t>LLBEAN-DIRECT</t>
  </si>
  <si>
    <t>KOHL'S #0398</t>
  </si>
  <si>
    <t>Eco Evolution</t>
  </si>
  <si>
    <t>SP ECO EVOLUTION</t>
  </si>
  <si>
    <t>Target</t>
  </si>
  <si>
    <t>TARGET.COM  *</t>
  </si>
  <si>
    <t>Barron Collection</t>
  </si>
  <si>
    <t>SQ *BARONY COLLECTION</t>
  </si>
  <si>
    <t>PARTY CITY BOPIS</t>
  </si>
  <si>
    <t>STAPLES       00100487</t>
  </si>
  <si>
    <t>Muhammad Sakib Khan</t>
  </si>
  <si>
    <t>MUHAMMAD SAKIB KHAN</t>
  </si>
  <si>
    <t>Eco Evolution Co.</t>
  </si>
  <si>
    <t>SQ *ECO EVOLUTION CO.</t>
  </si>
  <si>
    <t>Stepping Stones</t>
  </si>
  <si>
    <t>SQ *STEPPING STONES MU</t>
  </si>
  <si>
    <t>Nos E Mais Bolos</t>
  </si>
  <si>
    <t>NOS E MAIS BOLOS</t>
  </si>
  <si>
    <t>eBay IncMHNNN8RR PAYMENTS   QH5PO5QOWXINIB2 WEB ID: 8194689000</t>
  </si>
  <si>
    <t>eBay IncXFUP72DJ PAYMENTS   VRKI1IRTLOUQ0B4 CCD ID: 8194689000</t>
  </si>
  <si>
    <t>eBay ComMBFKGAWS PAYMENTS   GG9BLXKSEYHKJ68 CCD ID: 1618206000</t>
  </si>
  <si>
    <t>eBay ComBVODJ8KS PAYMENTS   S7CUMXQ9KWQMZ6N CCD ID: 1618206000</t>
  </si>
  <si>
    <t>KOHL'S #0398 NORWALK CT</t>
  </si>
  <si>
    <t>Mohegan Smoke Shop Wes</t>
  </si>
  <si>
    <t>MOHEGAN SMOKE SHOP WES NORWALK CT</t>
  </si>
  <si>
    <t>JCPenney</t>
  </si>
  <si>
    <t>JCPENNEY.COM 800-221-0827 OH</t>
  </si>
  <si>
    <t>Google Stora 4029357733 Ca Null Xxxxxxxxxxxx8924</t>
  </si>
  <si>
    <t>PP*GOOGLE GOOGLE STORA 4029357733 CA null XXXXXXXXXXXX8924</t>
  </si>
  <si>
    <t>eBay C 16767121248 San Jose CA null XXXXXXXXXXXX7112</t>
  </si>
  <si>
    <t>eBay C 14-11153-60670 San Jose CA null XXXXXXXXXXXX7112</t>
  </si>
  <si>
    <t>Netflix</t>
  </si>
  <si>
    <t>NETFLIX.COM         866-579-7172        CA</t>
  </si>
  <si>
    <t>Streaming Services/Subscriptions</t>
  </si>
  <si>
    <t>Disney</t>
  </si>
  <si>
    <t>ROKU FOR DISNEY ELECWILMINGTON          DE</t>
  </si>
  <si>
    <t>ReDiscover</t>
  </si>
  <si>
    <t>ROKU FOR REDISCOVER WILMINGTON          DE</t>
  </si>
  <si>
    <t>Amazon Prime</t>
  </si>
  <si>
    <t>Amazon Prime*R21ZI5PB0 8882804331 WA null XXXXXXXXXXXX7024</t>
  </si>
  <si>
    <t>Amazon Prime 8882804331 WA</t>
  </si>
  <si>
    <t>Internal Revenue Service</t>
  </si>
  <si>
    <t>IRS              USATAXPYMT                 PPD ID: 3387702000</t>
  </si>
  <si>
    <t>Connecticut Dept</t>
  </si>
  <si>
    <t>CONNECTICUT DEPT TAX REFUND                 PPD ID: 0660007985</t>
  </si>
  <si>
    <t>Curb Nyc Taxi</t>
  </si>
  <si>
    <t>CURB NYC TAXI</t>
  </si>
  <si>
    <t>Taxi/Rideshare</t>
  </si>
  <si>
    <t>Uber</t>
  </si>
  <si>
    <t>UBER   *TRIP</t>
  </si>
  <si>
    <t>First Taxing Dis First Taxi</t>
  </si>
  <si>
    <t>FIRST TAXING DIS FIRST TAXI                 PPD ID: 1541507947</t>
  </si>
  <si>
    <t>Online Transfer 18753356746 to Personal Emergency Savings ######1238 transaction #: 18753356746 11/16</t>
  </si>
  <si>
    <t>Transfer</t>
  </si>
  <si>
    <t>Online Transfer 19022149132 to Personal Emergency Savings ######1238 transaction #: 19022149132 12/18</t>
  </si>
  <si>
    <t>Online Transfer 19323432281 to Personal Emergency Savings ######1238 transaction #: 19323432281 01/17</t>
  </si>
  <si>
    <t>Online Transfer 19598294466 to Personal Emergency Savings ######1238 transaction #: 19598294466 02/15</t>
  </si>
  <si>
    <t>Online Transfer 19872242082 to Personal Emergency Savings ######1238 transaction #: 19872242082 03/18</t>
  </si>
  <si>
    <t>Online Transfer 20191299398 to Personal Emergency Savings ######1238 transaction #: 20191299398 04/17</t>
  </si>
  <si>
    <t>Online Transfer 20493922343 to Personal Emergency Savings ######1238 transaction #: 20493922343 05/16</t>
  </si>
  <si>
    <t>Online Transfer 20793808240 to Personal Emergency Savings ######1238 transaction #: 20793808240 06/17</t>
  </si>
  <si>
    <t>Online Transfer 21122000783 to Personal Emergency Savings ######1238 transaction #: 21122000783 07/17</t>
  </si>
  <si>
    <t>Online Transfer 21431399844 to Personal Emergency Savings ######1238 transaction #: 21431399844 08/16</t>
  </si>
  <si>
    <t>Online Transfer 21744865473 to Personal Emergency Savings ######1238 transaction #: 21744865473 09/18</t>
  </si>
  <si>
    <t>Online Transfer 22093307303 to Personal Emergency Savings ######1238 transaction #: 22093307303 10/16</t>
  </si>
  <si>
    <t>Vanguard</t>
  </si>
  <si>
    <t>VANGUARD BUY     INVESTMENT                 PPD ID: VMC PUR</t>
  </si>
  <si>
    <t>Online Transfer to CHK ...6839 transaction#: 20010526626 02/29</t>
  </si>
  <si>
    <t>Online Transfer to CHK ...6839 transaction#: 20947375648 05/31</t>
  </si>
  <si>
    <t>Online Transfer to CHK ...6839 transaction#: 21304123126 07/05</t>
  </si>
  <si>
    <t>Online Transfer to CHK ...6839 transaction#: 19192842008 12/04</t>
  </si>
  <si>
    <t>Online Transfer to CHK ...6839 transaction#: 21203499133 06/25</t>
  </si>
  <si>
    <t>Online Transfer to CHK ...6839 transaction#: 20531172302 04/22</t>
  </si>
  <si>
    <t>Online Transfer from CHK ...6839 transaction#: 19012626885</t>
  </si>
  <si>
    <t>Online Transfer from CHK ...6839 transaction#: 20725886390</t>
  </si>
  <si>
    <t>ATM CASH DEPOSIT 11/26 34 DANBURY RD WILTON CT</t>
  </si>
  <si>
    <t>Online Transfer from CHK ...6839 transaction#: 22637527638</t>
  </si>
  <si>
    <t>Online Transfer from  CHK ...6839 transaction#: 18903640627</t>
  </si>
  <si>
    <t>Online Transfer from  CHK ...6839 transaction#: 19158531936</t>
  </si>
  <si>
    <t>Online Transfer from  CHK ...6839 transaction#: 19471393343</t>
  </si>
  <si>
    <t>Online Transfer from  CHK ...6839 transaction#: 19749361876</t>
  </si>
  <si>
    <t>Online Transfer from  CHK ...6839 transaction#: 20018308459</t>
  </si>
  <si>
    <t>Online Transfer from  CHK ...6839 transaction#: 20351705694</t>
  </si>
  <si>
    <t>Online Transfer from  CHK ...6839 transaction#: 20660735266</t>
  </si>
  <si>
    <t>Online Transfer from  CHK ...6839 transaction#: 20977605801</t>
  </si>
  <si>
    <t>Online Transfer from  CHK ...6839 transaction#: 21291467000</t>
  </si>
  <si>
    <t>Online Transfer from  CHK ...6839 transaction#: 21598032890</t>
  </si>
  <si>
    <t>Online Transfer from  CHK ...6839 transaction#: 21933500216</t>
  </si>
  <si>
    <t>Online Transfer from  CHK ...6839 transaction#: 22258006323</t>
  </si>
  <si>
    <t>Online Transfer from CHK ...6839 transaction#: 22120309032</t>
  </si>
  <si>
    <t>Online Transfer from CHK ...6839 transaction#: 19513049604</t>
  </si>
  <si>
    <t>Ally Bank</t>
  </si>
  <si>
    <t>ALLY BANK        P2P        ALICIA ZAINC SC WEB ID: 1770527921</t>
  </si>
  <si>
    <t>ONLINE TRANSFER FROM CHK ...6839 TRANSACTION#: 22652115440</t>
  </si>
  <si>
    <t>Online Transfer from CHK ...6839 transaction#: 19192597757</t>
  </si>
  <si>
    <t>Online Transfer 19991627299 to Savings Account - TOMMY ######0501 transaction #: 19991627299 02/28</t>
  </si>
  <si>
    <t>VANGUARD BUY     INVESTMENT 759052112134821 WEB ID: VMC PUR</t>
  </si>
  <si>
    <t>Online Transfer to CHK ...2612 transaction#: 19991613585 02/27</t>
  </si>
  <si>
    <t>Online Transfer to CHK ...2612 transaction#: 19830148679 02/12</t>
  </si>
  <si>
    <t>Online Transfer to CHK ...2612 transaction#: 20064137272 03/05</t>
  </si>
  <si>
    <t>Online Transfer to CHK ...6680 transaction#: 19192597757 12/04</t>
  </si>
  <si>
    <t>Online Transfer 19192571579 to Ongoing Savings ######4266 transaction #: 19192571579 12/04</t>
  </si>
  <si>
    <t>ONLINE TRANSFER TO CHK ...6680 TRANSACTION#: 22652115440 11/08</t>
  </si>
  <si>
    <t>Online Transfer 20568248472 to Ongoing Savings ######4266 transaction #: 20568248472 04/25</t>
  </si>
  <si>
    <t>Online Transfer to CHK ...6680 transaction#: 19513049604 01/08</t>
  </si>
  <si>
    <t>Fidelity</t>
  </si>
  <si>
    <t>FID BKG SVC LLC  MONEYLINE                  PPD ID: 0368004600</t>
  </si>
  <si>
    <t>Online Transfer to CHK ...2612 transaction#: 19513162800 01/08</t>
  </si>
  <si>
    <t>Online Transfer to CHK ...6680 transaction#: 22120309032 09/20</t>
  </si>
  <si>
    <t>Online Transfer to  CHK ...6680 transaction#: 18903640627 12/01</t>
  </si>
  <si>
    <t>Online Transfer to  CHK ...2612 transaction#: 18878642389 12/01</t>
  </si>
  <si>
    <t>Online Transfer to  CHK ...2612 transaction#: 19158660419 12/29</t>
  </si>
  <si>
    <t>Online Transfer to  CHK ...6680 transaction#: 19158531936 01/03</t>
  </si>
  <si>
    <t>Online Transfer to  CHK ...2612 transaction#: 19423665479 02/01</t>
  </si>
  <si>
    <t>Online Transfer to  CHK ...6680 transaction#: 19471393343 02/02</t>
  </si>
  <si>
    <t>Online Transfer 19775198931 to Ongoing Savings ######4266 transaction #: 19775198931 02/05</t>
  </si>
  <si>
    <t>Online Transfer to  CHK ...6680 transaction#: 19749361876 03/01</t>
  </si>
  <si>
    <t>Online Transfer to  CHK ...2612 transaction#: 19734952730 03/01</t>
  </si>
  <si>
    <t>Online Transfer to  CHK ...2612 transaction#: 20021695768 04/01</t>
  </si>
  <si>
    <t>Online Transfer to  CHK ...6680 transaction#: 20018308459 04/03</t>
  </si>
  <si>
    <t>Online Transfer to  CHK ...2612 transaction#: 20327145339 05/01</t>
  </si>
  <si>
    <t>Online Transfer to  CHK ...6680 transaction#: 20351705694 05/03</t>
  </si>
  <si>
    <t>Online Transfer to  CHK ...2612 transaction#: 20633902368 05/31</t>
  </si>
  <si>
    <t>Online Transfer to  CHK ...6680 transaction#: 20660735266 06/03</t>
  </si>
  <si>
    <t>Online Transfer to  CHK ...2612 transaction#: 20944497302 07/01</t>
  </si>
  <si>
    <t>Online Transfer to  CHK ...6680 transaction#: 20977605801 07/03</t>
  </si>
  <si>
    <t>Online Transfer to  CHK ...2612 transaction#: 21265308341 08/01</t>
  </si>
  <si>
    <t>Online Transfer to  CHK ...6680 transaction#: 21291467000 08/02</t>
  </si>
  <si>
    <t>Online Transfer to  CHK ...2612 transaction#: 21583644924 08/30</t>
  </si>
  <si>
    <t>Online Transfer to  CHK ...6680 transaction#: 21598032890 09/03</t>
  </si>
  <si>
    <t>Online Transfer to  CHK ...2612 transaction#: 21886623961 10/01</t>
  </si>
  <si>
    <t>Online Transfer to  CHK ...6680 transaction#: 21933500216 10/03</t>
  </si>
  <si>
    <t>Online Transfer to  CHK ...6680 transaction#: 22258006323 11/01</t>
  </si>
  <si>
    <t>Online Transfer to  CHK ...2612 transaction#: 22231262286 11/01</t>
  </si>
  <si>
    <t>Online Transfer to CHK ...2612 transaction#: 22088972746 09/17</t>
  </si>
  <si>
    <t>Online Transfer to CHK ...6680 transaction#: 22637527638 11/07</t>
  </si>
  <si>
    <t>Online Transfer 18688931551 to Ongoing Savings ######4266 transaction #: 18688931551 11/13</t>
  </si>
  <si>
    <t>Online Transfer 18993973708 to Ongoing Savings ######4266 transaction #: 18993973708 12/13</t>
  </si>
  <si>
    <t>Online Transfer 19274626859 to Ongoing Savings ######4266 transaction #: 19274626859 01/10</t>
  </si>
  <si>
    <t>Online Transfer 19513037092 to Ongoing Savings ######4266 transaction #: 19513037092 01/08</t>
  </si>
  <si>
    <t>Online Transfer to CHK ...2612 transaction#: 20729472821 05/09</t>
  </si>
  <si>
    <t>Online Transfer 19792545398 to Ongoing Savings ######4266 transaction #: 19792545398 02/14</t>
  </si>
  <si>
    <t>Online Transfer 19861801404 to Ongoing Savings ######4266 transaction #: 19861801404 03/13</t>
  </si>
  <si>
    <t>Online Transfer 20140416217 to Ongoing Savings ######4266 transaction #: 20140416217 04/11</t>
  </si>
  <si>
    <t>Online Transfer 20431777406 to Ongoing Savings ######4266 transaction #: 20431777406 05/13</t>
  </si>
  <si>
    <t>Online Transfer 20762567609 to Ongoing Savings ######4266 transaction #: 20762567609 06/12</t>
  </si>
  <si>
    <t>Online Transfer 21070146828 to Ongoing Savings ######4266 transaction #: 21070146828 07/11</t>
  </si>
  <si>
    <t>Online Transfer 21370096707 to Ongoing Savings ######4266 transaction #: 21370096707 08/13</t>
  </si>
  <si>
    <t>Online Transfer 21711546926 to Ongoing Savings ######4266 transaction #: 21711546926 09/11</t>
  </si>
  <si>
    <t>Online Transfer 22018880355 to Ongoing Savings ######4266 transaction #: 22018880355 10/10</t>
  </si>
  <si>
    <t>Online Transfer to CHK ...2612 transaction#: 21046989854 06/10</t>
  </si>
  <si>
    <t>Online Transfer to CHK ...6680 transaction#: 20725886390 05/09</t>
  </si>
  <si>
    <t>Online Transfer to CHK ...2612 transaction#: 21760031206 08/19</t>
  </si>
  <si>
    <t>Online Transfer to CHK ...2612 transaction#: 19830107810 02/12</t>
  </si>
  <si>
    <t>Online Transfer to CHK ...6680 transaction#: 19012626885 11/15</t>
  </si>
  <si>
    <t>Online Transfer to CHK ...2612 transaction#: 22318905254 10/08</t>
  </si>
  <si>
    <t>Online Transfer to CHK ...2612 transaction#: 19135395891 11/29</t>
  </si>
  <si>
    <t>Online Transfer to CHK ...2612 transaction#: 19441765477 01/02</t>
  </si>
  <si>
    <t>Online Transfer from CHK ...2612 transaction#: 21614939525</t>
  </si>
  <si>
    <t>Online Transfer from CHK ...6680 transaction#: 20531172302</t>
  </si>
  <si>
    <t>Online Transfer from CHK ...2612 transaction#: 22188835215</t>
  </si>
  <si>
    <t>Online Transfer from CHK ...2612 transaction#: 19612961124</t>
  </si>
  <si>
    <t>Online Transfer from CHK ...6680 transaction#: 21203499133</t>
  </si>
  <si>
    <t>Online Transfer from CHK ...6680 transaction#: 19192842008</t>
  </si>
  <si>
    <t>Online Transfer from CHK ...2612 transaction#: 21206210868</t>
  </si>
  <si>
    <t>Online Transfer from CHK ...2612 transaction#: 21305360295</t>
  </si>
  <si>
    <t>Online Transfer from CHK ...6680 transaction#: 21304123126</t>
  </si>
  <si>
    <t>ATM CASH DEPOSIT 07/12 515 W AVE M NORWALK CT</t>
  </si>
  <si>
    <t>Online Transfer from CHK ...2612 transaction#: 21833910524</t>
  </si>
  <si>
    <t>Online Transfer from CHK ...6680 transaction#: 20947375648</t>
  </si>
  <si>
    <t>Online Transfer from CHK ...6680 transaction#: 20010526626</t>
  </si>
  <si>
    <t>Online Transfer from CHK ...2612 transaction#: 20826638803</t>
  </si>
  <si>
    <t>Online Transfer from CHK ...2612 transaction#: 19319067387</t>
  </si>
  <si>
    <t>Online Transfer from CHK ...2612 transaction#: 19618531474</t>
  </si>
  <si>
    <t>Online Transfer from CHK ...2612 transaction#: 22391495442</t>
  </si>
  <si>
    <t>VANGUARD BUY     INVESTMENT 385842720204845 WEB ID: VMC PUR</t>
  </si>
  <si>
    <t>Online Transfer to CHK ...6839 transaction#: 22391495442 10/15</t>
  </si>
  <si>
    <t>Online Transfer to CHK ...6839 transaction#: 19319067387 12/18</t>
  </si>
  <si>
    <t>Online Transfer to CHK ...6839 transaction#: 19618531474 01/19</t>
  </si>
  <si>
    <t>Online Transfer to CHK ...6839 transaction#: 20826638803 05/20</t>
  </si>
  <si>
    <t>Online Transfer to CHK ...6839 transaction#: 21833910524 08/26</t>
  </si>
  <si>
    <t>Online Transfer to CHK ...6839 transaction#: 21305360295 07/05</t>
  </si>
  <si>
    <t>Online Transfer to CHK ...6839 transaction#: 21206210868 06/25</t>
  </si>
  <si>
    <t>Online Transfer to CHK ...6839 transaction#: 19612961124 01/18</t>
  </si>
  <si>
    <t>Online Transfer to CHK ...6839 transaction#: 22188835215 09/27</t>
  </si>
  <si>
    <t>Online Transfer to CHK ...6839 transaction#: 21614939525 08/05</t>
  </si>
  <si>
    <t>Online Transfer from CHK ...6839 transaction#: 19441765477</t>
  </si>
  <si>
    <t>Online Transfer from CHK ...6839 transaction#: 19135395891</t>
  </si>
  <si>
    <t>Online Transfer from CHK ...6839 transaction#: 22318905254</t>
  </si>
  <si>
    <t>Online Transfer from CHK ...6839 transaction#: 19830107810</t>
  </si>
  <si>
    <t>Online Transfer from CHK ...6839 transaction#: 21760031206</t>
  </si>
  <si>
    <t>CITICARDS CASH   REWARD                     PPD ID: CITIREWARD</t>
  </si>
  <si>
    <t>Online Transfer from CHK ...6839 transaction#: 21046989854</t>
  </si>
  <si>
    <t>Online Transfer from CHK ...6839 transaction#: 20729472821</t>
  </si>
  <si>
    <t>Online Transfer from CHK ...6839 transaction#: 22088972746</t>
  </si>
  <si>
    <t>Online Transfer from  CHK ...6839 transaction#: 18878642389</t>
  </si>
  <si>
    <t>Online Transfer from  CHK ...6839 transaction#: 19158660419</t>
  </si>
  <si>
    <t>Online Transfer from  CHK ...6839 transaction#: 19423665479</t>
  </si>
  <si>
    <t>Online Transfer from  CHK ...6839 transaction#: 19734952730</t>
  </si>
  <si>
    <t>Online Transfer from  CHK ...6839 transaction#: 20021695768</t>
  </si>
  <si>
    <t>Online Transfer from  CHK ...6839 transaction#: 20327145339</t>
  </si>
  <si>
    <t>Online Transfer from  CHK ...6839 transaction#: 20633902368</t>
  </si>
  <si>
    <t>Online Transfer from  CHK ...6839 transaction#: 20944497302</t>
  </si>
  <si>
    <t>Online Transfer from  CHK ...6839 transaction#: 21265308341</t>
  </si>
  <si>
    <t>Online Transfer from  CHK ...6839 transaction#: 21583644924</t>
  </si>
  <si>
    <t>Online Transfer from  CHK ...6839 transaction#: 21886623961</t>
  </si>
  <si>
    <t>Online Transfer from  CHK ...6839 transaction#: 22231262286</t>
  </si>
  <si>
    <t>Online Transfer from CHK ...6839 transaction#: 19513162800</t>
  </si>
  <si>
    <t>ALLY BANK        P2P        THOMAS JOHN SCH WEB ID: 1770527921</t>
  </si>
  <si>
    <t>Online Transfer 19868246601 from Savings Account - TOMMY ######0501 transaction #: 19868246601 02/15</t>
  </si>
  <si>
    <t>Online Transfer from CHK ...6839 transaction#: 20064137272</t>
  </si>
  <si>
    <t>Online Transfer from CHK ...6839 transaction#: 19830148679</t>
  </si>
  <si>
    <t>Online Transfer from CHK ...6839 transaction#: 19991613585</t>
  </si>
  <si>
    <t>Online Transfer 19993981425 from Savings Account - TOMMY ######0501 transaction #: 19993981425 02/29</t>
  </si>
  <si>
    <t>Zelle</t>
  </si>
  <si>
    <t>Zelle payment to Yohany Acosta 20365098682</t>
  </si>
  <si>
    <t>Venmo/Zelle/Paypal</t>
  </si>
  <si>
    <t>Venmo</t>
  </si>
  <si>
    <t>VENMO            PAYMENT    1035951014395   WEB ID: 3264681992</t>
  </si>
  <si>
    <t>VENMO            PAYMENT    1030987442397   WEB ID: 3264681992</t>
  </si>
  <si>
    <t>VENMO            PAYMENT    1031642193064   WEB ID: 3264681992</t>
  </si>
  <si>
    <t>VENMO            PAYMENT    1032273115523   WEB ID: 3264681992</t>
  </si>
  <si>
    <t>VENMO            PAYMENT    1032866738973   WEB ID: 3264681992</t>
  </si>
  <si>
    <t>VENMO            PAYMENT    1033490788855   WEB ID: 3264681992</t>
  </si>
  <si>
    <t>VENMO            PAYMENT    1034112779346   WEB ID: 3264681992</t>
  </si>
  <si>
    <t>VENMO            PAYMENT    1034754576157   WEB ID: 3264681992</t>
  </si>
  <si>
    <t>VENMO            PAYMENT    1035378562824   WEB ID: 3264681992</t>
  </si>
  <si>
    <t>PayPal</t>
  </si>
  <si>
    <t>TOWE EMILY       IAT PAYPAL 1033663248304   WEB ID: 770510487C</t>
  </si>
  <si>
    <t>VENMO            PAYMENT    1035801570352   WEB ID: 3264681992</t>
  </si>
  <si>
    <t>Zelle payment to Yohany Acosta 21696844937</t>
  </si>
  <si>
    <t>Zelle payment to Seily Acosta 18954551470</t>
  </si>
  <si>
    <t>Zelle payment to Seily Acosta 19080404138</t>
  </si>
  <si>
    <t>Zelle payment to Seily Acosta 19223867832</t>
  </si>
  <si>
    <t>Zelle payment to Seily Acosta 19499682409</t>
  </si>
  <si>
    <t>Zelle payment to Seily Acosta 19707732400</t>
  </si>
  <si>
    <t>Zelle payment to Seily Acosta JPM99a8pt2z3</t>
  </si>
  <si>
    <t>Zelle payment to Seily Acosta 19919180562</t>
  </si>
  <si>
    <t>Zelle payment to Seily Acosta JPM99aa8t8ce</t>
  </si>
  <si>
    <t>Zelle payment to Seily Acosta 20141394675</t>
  </si>
  <si>
    <t>Zelle payment to Yohany Acosta 20425772986</t>
  </si>
  <si>
    <t>VENMO            PAYMENT    1037830528967   WEB ID: 3264681992</t>
  </si>
  <si>
    <t>Zelle payment to Yohany Acosta 20568218413</t>
  </si>
  <si>
    <t>Zelle payment to Yohany Acosta 20715194221</t>
  </si>
  <si>
    <t>Zelle payment to Yohany Acosta 20858425995</t>
  </si>
  <si>
    <t>Zelle payment to Yohany Acosta 21074029475</t>
  </si>
  <si>
    <t>Zelle payment to Yohany Acosta 21134118910</t>
  </si>
  <si>
    <t>Zelle payment to Yohany Acosta 21297488309</t>
  </si>
  <si>
    <t>Zelle payment to Yohany Acosta 21482170223</t>
  </si>
  <si>
    <t>Zelle payment to Yohany Acosta 21800685408</t>
  </si>
  <si>
    <t>Zelle payment to Yohany Acosta 21991859645</t>
  </si>
  <si>
    <t>Zelle payment to Yohany Acosta 22120219866</t>
  </si>
  <si>
    <t>Zelle payment to Yohany Acosta 22326960216</t>
  </si>
  <si>
    <t>Zelle payment to Yohany Acosta 22637534432</t>
  </si>
  <si>
    <t>VENMO            PAYMENT    1037705140310   WEB ID: 3264681992</t>
  </si>
  <si>
    <t>VENMO            PAYMENT    1034259416960   WEB ID: 3264681992</t>
  </si>
  <si>
    <t>VENMO            PAYMENT    1035054409130   WEB ID: 3264681992</t>
  </si>
  <si>
    <t>VENMO            PAYMENT    1035194042212   WEB ID: 3264681992</t>
  </si>
  <si>
    <t>VENMO            PAYMENT    1034680014650   WEB ID: 3264681992</t>
  </si>
  <si>
    <t>Zelle payment to Manny Hernandez JPM99akpy5ra</t>
  </si>
  <si>
    <t>Zelle payment to Manny Hernandez JPM99al65a5t</t>
  </si>
  <si>
    <t>VENMO            PAYMENT    1037468460200   WEB ID: 3264681992</t>
  </si>
  <si>
    <t>VENMO            PAYMENT    1034050714461   WEB ID: 3264681992</t>
  </si>
  <si>
    <t>VENMO            PAYMENT    1035912451743   WEB ID: 3264681992</t>
  </si>
  <si>
    <t>VENMO            PAYMENT    1031634298046   WEB ID: 3264681992</t>
  </si>
  <si>
    <t>VENMO            PAYMENT    1036487000879   WEB ID: 3264681992</t>
  </si>
  <si>
    <t>VENMO            PAYMENT    1036718033337   WEB ID: 3264681992</t>
  </si>
  <si>
    <t>VENMO            PAYMENT    1035933043475   WEB ID: 3264681992</t>
  </si>
  <si>
    <t>VENMO            PAYMENT    1033973226634   WEB ID: 3264681992</t>
  </si>
  <si>
    <t>VENMO            CASHOUT                    PPD ID: 5264681992</t>
  </si>
  <si>
    <t>Rob Hatch Miller</t>
  </si>
  <si>
    <t>PAYPAL           INST XFER  ROBHATCHMILLER  WEB ID: PAYPALSI77</t>
  </si>
  <si>
    <t>Phillipedge</t>
  </si>
  <si>
    <t>PAYPAL *PHILLIPEDGE 35314369001 GBR null XXXXXXXXXXXX8924</t>
  </si>
  <si>
    <t>Cloudwho11</t>
  </si>
  <si>
    <t>PAYPAL *cloudwho11 4029357733 CA null XXXXXXXXXXXX8924</t>
  </si>
  <si>
    <t xml:space="preserve">Personal Expenses </t>
  </si>
  <si>
    <t>Yearly</t>
  </si>
  <si>
    <t>Monthly</t>
  </si>
  <si>
    <t>% of Total Monthly Spend</t>
  </si>
  <si>
    <t>Discretionary?</t>
  </si>
  <si>
    <t>Home Expenses</t>
  </si>
  <si>
    <t>Auto / Commute</t>
  </si>
  <si>
    <t>Utilities</t>
  </si>
  <si>
    <t>Food</t>
  </si>
  <si>
    <t>Child Related</t>
  </si>
  <si>
    <t>Health / Personal Care</t>
  </si>
  <si>
    <t>Shopping</t>
  </si>
  <si>
    <t>Entertainment</t>
  </si>
  <si>
    <t>Travel</t>
  </si>
  <si>
    <t>Miscellaneous</t>
  </si>
  <si>
    <t>Cash</t>
  </si>
  <si>
    <t>Total</t>
  </si>
  <si>
    <t>Retirement Portfolio</t>
  </si>
  <si>
    <t>Client #1 Holdings</t>
  </si>
  <si>
    <t>Symbol</t>
  </si>
  <si>
    <t>Category</t>
  </si>
  <si>
    <t>Expense Ratio</t>
  </si>
  <si>
    <t>Yield</t>
  </si>
  <si>
    <t>1-Year Rate of Return</t>
  </si>
  <si>
    <t>5-Year Rate of Return</t>
  </si>
  <si>
    <t>Number of Shares</t>
  </si>
  <si>
    <t>Price</t>
  </si>
  <si>
    <t>x</t>
  </si>
  <si>
    <t>Insert Account Name</t>
  </si>
  <si>
    <t>Total Portfolio</t>
  </si>
  <si>
    <t>Client #2 Holdings</t>
  </si>
  <si>
    <t>Total Combined Portfolio</t>
  </si>
  <si>
    <t>Taxable Investments Portfolio</t>
  </si>
  <si>
    <t>Purchase 
Price</t>
  </si>
  <si>
    <t>Unrealized Gain (Loss)</t>
  </si>
  <si>
    <t>Insert holdings</t>
  </si>
  <si>
    <t xml:space="preserve">Joint Holdings
</t>
  </si>
  <si>
    <t>Education Portfolio</t>
  </si>
  <si>
    <t>Holding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</si>
</sst>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mm/dd/yy"/>
    <numFmt numFmtId="165" formatCode="m/d/yy"/>
    <numFmt numFmtId="166" formatCode="_(&quot;$&quot;* #,##0_);_(&quot;$&quot;* \(#,##0\);_(&quot;$&quot;* &quot;-&quot;??_);_(@_)"/>
    <numFmt numFmtId="167" formatCode="_(* #,##0.00_);_(* \(#,##0.00\);_(* &quot;-&quot;??_);_(@_)"/>
    <numFmt numFmtId="168" formatCode="_(&quot;$&quot;* #,##0.00_);_(&quot;$&quot;* \(#,##0.00\);_(&quot;$&quot;* &quot;-&quot;??_);_(@_)"/>
    <numFmt numFmtId="169" formatCode="_(* #,##0_);_(* \(#,##0\);_(* &quot;-&quot;??_);_(@_)"/>
    <numFmt numFmtId="170" formatCode="&quot;$&quot;#,##0"/>
    <numFmt numFmtId="171" formatCode="M/d/yyyy"/>
    <numFmt numFmtId="172" formatCode="m/d/yyyy"/>
    <numFmt numFmtId="173" formatCode="0.0%"/>
    <numFmt numFmtId="174" formatCode="0.000"/>
    <numFmt numFmtId="175" formatCode="&quot;$&quot;#,##0.00"/>
  </numFmts>
  <fonts count="39">
    <font>
      <sz val="10.0"/>
      <color rgb="FF000000"/>
      <name val="Arial"/>
      <scheme val="minor"/>
    </font>
    <font>
      <sz val="10.0"/>
      <color rgb="FF000000"/>
      <name val="Arial"/>
    </font>
    <font>
      <b/>
      <sz val="10.0"/>
      <color rgb="FF0000D4"/>
      <name val="Poppins"/>
    </font>
    <font>
      <sz val="10.0"/>
      <color theme="1"/>
      <name val="Poppins"/>
    </font>
    <font>
      <sz val="10.0"/>
      <color rgb="FF000000"/>
      <name val="Poppins"/>
    </font>
    <font>
      <b/>
      <sz val="12.0"/>
      <color theme="1"/>
      <name val="Poppins"/>
    </font>
    <font>
      <b/>
      <sz val="10.0"/>
      <color theme="1"/>
      <name val="Poppins"/>
    </font>
    <font>
      <b/>
      <sz val="20.0"/>
      <color rgb="FF7A684D"/>
      <name val="Playfair Display"/>
    </font>
    <font>
      <b/>
      <i/>
      <sz val="20.0"/>
      <color rgb="FF7A684D"/>
      <name val="Playfair Display"/>
    </font>
    <font>
      <b/>
      <sz val="12.0"/>
      <color theme="1"/>
      <name val="Playfair Display"/>
    </font>
    <font>
      <sz val="12.0"/>
      <color theme="1"/>
      <name val="Inter"/>
    </font>
    <font>
      <b/>
      <sz val="13.0"/>
      <color rgb="FFFFFFFF"/>
      <name val="Playfair Display"/>
    </font>
    <font>
      <sz val="10.0"/>
      <color rgb="FF0000D4"/>
      <name val="Poppins"/>
    </font>
    <font>
      <color theme="1"/>
      <name val="Arial"/>
      <scheme val="minor"/>
    </font>
    <font>
      <b/>
      <sz val="12.0"/>
      <color theme="1"/>
      <name val="Inter"/>
    </font>
    <font/>
    <font>
      <color theme="1"/>
      <name val="Arial"/>
    </font>
    <font>
      <sz val="12.0"/>
      <color rgb="FF0000FF"/>
      <name val="Inter"/>
    </font>
    <font>
      <b/>
      <sz val="12.0"/>
      <color theme="4"/>
      <name val="Inter"/>
    </font>
    <font>
      <b/>
      <u/>
      <sz val="12.0"/>
      <color rgb="FF00303C"/>
      <name val="Inter"/>
    </font>
    <font>
      <b/>
      <u/>
      <sz val="12.0"/>
      <color rgb="FF00303C"/>
      <name val="Inter"/>
    </font>
    <font>
      <sz val="12.0"/>
      <color theme="4"/>
      <name val="Inter"/>
    </font>
    <font>
      <b/>
      <sz val="12.0"/>
      <color theme="0"/>
      <name val="Playfair Display"/>
    </font>
    <font>
      <b/>
      <sz val="12.0"/>
      <color theme="0"/>
      <name val="Inter"/>
    </font>
    <font>
      <b/>
      <color theme="1"/>
      <name val="Arial"/>
    </font>
    <font>
      <u/>
      <color rgb="FF0000FF"/>
    </font>
    <font>
      <b/>
      <sz val="12.0"/>
      <color rgb="FFF8F6F2"/>
      <name val="Inter"/>
    </font>
    <font>
      <b/>
      <sz val="12.0"/>
      <color rgb="FF000000"/>
      <name val="Inter"/>
    </font>
    <font>
      <sz val="12.0"/>
      <color theme="1"/>
      <name val="Poppins"/>
    </font>
    <font>
      <sz val="12.0"/>
      <color rgb="FFFFFFFF"/>
      <name val="Poppins"/>
    </font>
    <font>
      <sz val="12.0"/>
      <color rgb="FF000000"/>
      <name val="Inter"/>
    </font>
    <font>
      <b/>
      <sz val="12.0"/>
      <color rgb="FF0000FF"/>
      <name val="Inter"/>
    </font>
    <font>
      <color rgb="FF000000"/>
      <name val="Arial"/>
    </font>
    <font>
      <color rgb="FF000000"/>
      <name val="Arial"/>
      <scheme val="minor"/>
    </font>
    <font>
      <b/>
      <sz val="12.0"/>
      <color rgb="FF000000"/>
      <name val="Playfair Display"/>
    </font>
    <font>
      <b/>
      <sz val="16.0"/>
      <color rgb="FF7A684C"/>
      <name val="Playfair Display"/>
    </font>
    <font>
      <b/>
      <sz val="18.0"/>
      <color rgb="FF7A684C"/>
      <name val="Playfair Display"/>
    </font>
    <font>
      <color rgb="FFC8DDFD"/>
      <name val="Arial"/>
    </font>
    <font>
      <sz val="12.0"/>
      <color rgb="FF000000"/>
      <name val="Poppins"/>
    </font>
  </fonts>
  <fills count="16">
    <fill>
      <patternFill patternType="none"/>
    </fill>
    <fill>
      <patternFill patternType="lightGray"/>
    </fill>
    <fill>
      <patternFill patternType="solid">
        <fgColor rgb="FFE4E2D8"/>
        <bgColor rgb="FFE4E2D8"/>
      </patternFill>
    </fill>
    <fill>
      <patternFill patternType="solid">
        <fgColor rgb="FFF7F6F1"/>
        <bgColor rgb="FFF7F6F1"/>
      </patternFill>
    </fill>
    <fill>
      <patternFill patternType="solid">
        <fgColor rgb="FFFFF2CC"/>
        <bgColor rgb="FFFFF2CC"/>
      </patternFill>
    </fill>
    <fill>
      <patternFill patternType="solid">
        <fgColor rgb="FFF8F6F2"/>
        <bgColor rgb="FFF8F6F2"/>
      </patternFill>
    </fill>
    <fill>
      <patternFill patternType="solid">
        <fgColor rgb="FFC8DDFD"/>
        <bgColor rgb="FFC8DDFD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9"/>
        <bgColor theme="9"/>
      </patternFill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4"/>
        <bgColor theme="4"/>
      </patternFill>
    </fill>
    <fill>
      <patternFill patternType="solid">
        <fgColor rgb="FFEAF1DD"/>
        <bgColor rgb="FFEAF1DD"/>
      </patternFill>
    </fill>
    <fill>
      <patternFill patternType="solid">
        <fgColor rgb="FFD6E3BC"/>
        <bgColor rgb="FFD6E3BC"/>
      </patternFill>
    </fill>
  </fills>
  <borders count="112">
    <border/>
    <border>
      <left style="medium">
        <color rgb="FFBFBFBF"/>
      </left>
      <right/>
      <top style="medium">
        <color rgb="FFBFBFBF"/>
      </top>
      <bottom style="medium">
        <color rgb="FFBFBFBF"/>
      </bottom>
    </border>
    <border>
      <left/>
      <right/>
      <top style="medium">
        <color rgb="FFBFBFBF"/>
      </top>
      <bottom style="medium">
        <color rgb="FFBFBFBF"/>
      </bottom>
    </border>
    <border>
      <left style="medium">
        <color rgb="FFBFBFBF"/>
      </left>
      <right/>
      <top/>
      <bottom/>
    </border>
    <border>
      <left/>
      <right style="thin">
        <color rgb="FFBFBFBF"/>
      </right>
      <top/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medium">
        <color rgb="FFBFBFBF"/>
      </left>
      <right/>
      <top/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medium">
        <color rgb="FFBFBFBF"/>
      </right>
      <top style="medium">
        <color rgb="FFBFBFBF"/>
      </top>
      <bottom style="medium">
        <color rgb="FFBFBFBF"/>
      </bottom>
    </border>
    <border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BFBFBF"/>
      </right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 style="medium">
        <color rgb="FFBFBFBF"/>
      </left>
      <top style="medium">
        <color rgb="FFBFBFBF"/>
      </top>
    </border>
    <border>
      <top style="medium">
        <color rgb="FFBFBFBF"/>
      </top>
    </border>
    <border>
      <left style="medium">
        <color rgb="FFBFBFBF"/>
      </left>
      <top style="medium">
        <color rgb="FFBFBFBF"/>
      </top>
      <bottom/>
    </border>
    <border>
      <right style="medium">
        <color rgb="FFBFBFBF"/>
      </right>
      <top style="medium">
        <color rgb="FFBFBFBF"/>
      </top>
      <bottom/>
    </border>
    <border>
      <left style="medium">
        <color rgb="FFBFBFBF"/>
      </left>
      <bottom/>
    </border>
    <border>
      <bottom/>
    </border>
    <border>
      <left style="medium">
        <color rgb="FFBFBFBF"/>
      </left>
      <right style="thin">
        <color rgb="FFBFBFBF"/>
      </right>
      <bottom style="thin">
        <color rgb="FFBFBFBF"/>
      </bottom>
    </border>
    <border>
      <left style="medium">
        <color rgb="FFBFBFBF"/>
      </left>
      <bottom style="thin">
        <color rgb="FFBFBFBF"/>
      </bottom>
    </border>
    <border>
      <right style="medium">
        <color rgb="FFBFBFBF"/>
      </right>
      <bottom style="thin">
        <color rgb="FFBFBFBF"/>
      </bottom>
    </border>
    <border>
      <left style="medium">
        <color rgb="FFBFBFBF"/>
      </left>
    </border>
    <border>
      <left style="medium">
        <color rgb="FFBFBFBF"/>
      </left>
      <right style="thin">
        <color rgb="FFBFBFBF"/>
      </right>
    </border>
    <border>
      <left style="thin">
        <color rgb="FFBFBFBF"/>
      </left>
      <right style="medium">
        <color rgb="FFBFBFBF"/>
      </right>
    </border>
    <border>
      <right style="medium">
        <color rgb="FFBFBFBF"/>
      </right>
    </border>
    <border>
      <bottom style="thin">
        <color rgb="FFBFBFBF"/>
      </bottom>
    </border>
    <border>
      <left style="thin">
        <color rgb="FFBFBFBF"/>
      </left>
      <right style="medium">
        <color rgb="FFBFBFBF"/>
      </right>
      <top/>
      <bottom/>
    </border>
    <border>
      <left style="medium">
        <color rgb="FFBFBFBF"/>
      </left>
      <top style="double">
        <color rgb="FFBFBFBF"/>
      </top>
    </border>
    <border>
      <top style="double">
        <color rgb="FFBFBFBF"/>
      </top>
    </border>
    <border>
      <left style="medium">
        <color rgb="FFBFBFBF"/>
      </left>
      <right style="thin">
        <color rgb="FFBFBFBF"/>
      </right>
      <top style="double">
        <color rgb="FFBFBFBF"/>
      </top>
    </border>
    <border>
      <right style="medium">
        <color rgb="FFBFBFBF"/>
      </right>
      <top style="double">
        <color rgb="FFBFBFBF"/>
      </top>
    </border>
    <border>
      <left style="medium">
        <color rgb="FFBFBFBF"/>
      </left>
      <right style="thin">
        <color rgb="FFBFBFBF"/>
      </right>
      <top style="double">
        <color rgb="FFBFBFBF"/>
      </top>
      <bottom/>
    </border>
    <border>
      <left/>
      <right style="medium">
        <color rgb="FFBFBFBF"/>
      </right>
      <top style="double">
        <color rgb="FFBFBFBF"/>
      </top>
      <bottom/>
    </border>
    <border>
      <right style="medium">
        <color rgb="FFBFBFBF"/>
      </right>
      <top style="medium">
        <color rgb="FFBFBFBF"/>
      </top>
    </border>
    <border>
      <left style="medium">
        <color rgb="FFBFBFBF"/>
      </left>
      <top style="thin">
        <color rgb="FFBFBFBF"/>
      </top>
    </border>
    <border>
      <right style="medium">
        <color rgb="FFBFBFBF"/>
      </right>
      <top style="thin">
        <color rgb="FFBFBFBF"/>
      </top>
    </border>
    <border>
      <left style="medium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left style="medium">
        <color rgb="FFBFBFBF"/>
      </left>
      <top/>
      <bottom/>
    </border>
    <border>
      <right style="medium">
        <color rgb="FFBFBFBF"/>
      </right>
      <top/>
      <bottom/>
    </border>
    <border>
      <left style="medium">
        <color rgb="FFBFBFBF"/>
      </left>
      <right style="thin">
        <color rgb="FFBFBFBF"/>
      </right>
      <top style="thin">
        <color rgb="FFBFBFBF"/>
      </top>
    </border>
    <border>
      <left style="medium">
        <color rgb="FFBFBFBF"/>
      </left>
      <top style="double">
        <color rgb="FFBFBFBF"/>
      </top>
      <bottom style="medium">
        <color rgb="FFBFBFBF"/>
      </bottom>
    </border>
    <border>
      <top style="double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double">
        <color rgb="FFBFBFBF"/>
      </top>
      <bottom style="medium">
        <color rgb="FFBFBFBF"/>
      </bottom>
    </border>
    <border>
      <right style="medium">
        <color rgb="FFBFBFBF"/>
      </right>
      <top style="double">
        <color rgb="FFBFBFBF"/>
      </top>
      <bottom style="medium">
        <color rgb="FFBFBFBF"/>
      </bottom>
    </border>
    <border>
      <left/>
      <right style="medium">
        <color rgb="FFBFBFBF"/>
      </right>
      <top style="double">
        <color rgb="FFBFBFBF"/>
      </top>
      <bottom style="medium">
        <color rgb="FFBFBFBF"/>
      </bottom>
    </border>
    <border>
      <left style="medium">
        <color rgb="FFBFBFBF"/>
      </left>
      <top style="medium">
        <color rgb="FFBFBFBF"/>
      </top>
      <bottom style="thin">
        <color rgb="FFBFBFBF"/>
      </bottom>
    </border>
    <border>
      <right/>
      <top style="medium">
        <color rgb="FFBFBFBF"/>
      </top>
      <bottom style="thin">
        <color rgb="FFBFBFBF"/>
      </bottom>
    </border>
    <border>
      <left style="medium">
        <color rgb="FFBFBFBF"/>
      </left>
      <right/>
      <top style="medium">
        <color rgb="FFBFBFBF"/>
      </top>
      <bottom style="thin">
        <color rgb="FFBFBFBF"/>
      </bottom>
    </border>
    <border>
      <right style="medium">
        <color rgb="FFBFBFBF"/>
      </right>
      <top style="medium">
        <color rgb="FFBFBFBF"/>
      </top>
      <bottom style="thin">
        <color rgb="FFBFBFBF"/>
      </bottom>
    </border>
    <border>
      <left/>
      <right style="medium">
        <color rgb="FFBFBFBF"/>
      </right>
      <top style="medium">
        <color rgb="FFBFBFBF"/>
      </top>
      <bottom style="thin">
        <color rgb="FFBFBFBF"/>
      </bottom>
    </border>
    <border>
      <left style="medium">
        <color rgb="FFBFBFBF"/>
      </left>
      <bottom style="medium">
        <color rgb="FFBFBFBF"/>
      </bottom>
    </border>
    <border>
      <right style="medium">
        <color rgb="FFBFBFBF"/>
      </right>
      <bottom style="medium">
        <color rgb="FFBFBFBF"/>
      </bottom>
    </border>
    <border>
      <right/>
      <bottom style="medium">
        <color rgb="FFBFBFBF"/>
      </bottom>
    </border>
    <border>
      <left style="medium">
        <color rgb="FFBFBFBF"/>
      </left>
      <right/>
      <top style="double">
        <color rgb="FFBFBFBF"/>
      </top>
    </border>
    <border>
      <left style="thin">
        <color rgb="FFBFBFBF"/>
      </left>
      <right style="medium">
        <color rgb="FFBFBFBF"/>
      </right>
      <top style="double">
        <color rgb="FFBFBFBF"/>
      </top>
    </border>
    <border>
      <right style="thin">
        <color rgb="FFBFBFBF"/>
      </right>
      <top style="double">
        <color rgb="FFBFBFBF"/>
      </top>
      <bottom style="medium">
        <color rgb="FFBFBFBF"/>
      </bottom>
    </border>
    <border>
      <left style="medium">
        <color rgb="FFBFBFBF"/>
      </left>
      <right/>
      <top style="double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double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</border>
    <border>
      <right/>
      <top style="double">
        <color rgb="FFBFBFBF"/>
      </top>
      <bottom style="medium">
        <color rgb="FFBFBFBF"/>
      </bottom>
    </border>
    <border>
      <left style="medium">
        <color rgb="FFBFBFBF"/>
      </left>
      <right style="thin">
        <color rgb="FFBFBFBF"/>
      </right>
      <top style="medium">
        <color rgb="FFBFBFBF"/>
      </top>
      <bottom style="medium">
        <color rgb="FFBFBFBF"/>
      </bottom>
    </border>
    <border>
      <right style="medium">
        <color rgb="FFBFBFBF"/>
      </right>
      <top style="medium">
        <color rgb="FFBFBFBF"/>
      </top>
      <bottom style="medium">
        <color rgb="FFBFBFBF"/>
      </bottom>
    </border>
    <border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</border>
    <border>
      <left/>
      <right style="medium">
        <color rgb="FFBFBFBF"/>
      </right>
      <top/>
      <bottom style="thin">
        <color rgb="FFBFBFBF"/>
      </bottom>
    </border>
    <border>
      <left style="medium">
        <color rgb="FFBFBFBF"/>
      </left>
      <top style="medium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medium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medium">
        <color rgb="FFBFBFBF"/>
      </top>
      <bottom style="medium">
        <color rgb="FFBFBFBF"/>
      </bottom>
    </border>
    <border>
      <top style="medium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medium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 style="thin">
        <color rgb="FFBFBFBF"/>
      </right>
      <top style="medium">
        <color rgb="FFBFBFBF"/>
      </top>
    </border>
    <border>
      <left style="thin">
        <color rgb="FFBFBFBF"/>
      </left>
      <right style="medium">
        <color rgb="FFBFBFBF"/>
      </right>
      <top style="medium">
        <color rgb="FFBFBFBF"/>
      </top>
    </border>
    <border>
      <left style="medium">
        <color rgb="FFBFBFBF"/>
      </left>
      <right style="thin">
        <color rgb="FFBFBFBF"/>
      </right>
      <bottom style="medium">
        <color rgb="FFBFBFBF"/>
      </bottom>
    </border>
    <border>
      <left style="thin">
        <color rgb="FFBFBFBF"/>
      </left>
      <right style="thin">
        <color rgb="FFBFBFBF"/>
      </right>
      <bottom style="medium">
        <color rgb="FFBFBFBF"/>
      </bottom>
    </border>
    <border>
      <left style="thin">
        <color rgb="FFBFBFBF"/>
      </left>
      <right style="medium">
        <color rgb="FFBFBFBF"/>
      </right>
      <bottom style="medium">
        <color rgb="FFBFBFBF"/>
      </bottom>
    </border>
    <border>
      <left/>
      <right/>
      <top style="medium">
        <color rgb="FFBFBFBF"/>
      </top>
      <bottom style="thin">
        <color rgb="FFBFBFBF"/>
      </bottom>
    </border>
    <border>
      <right style="thin">
        <color rgb="FFBFBFBF"/>
      </right>
    </border>
    <border>
      <left style="medium">
        <color rgb="FFBFBFBF"/>
      </left>
      <right style="thin">
        <color rgb="FFBFBFBF"/>
      </right>
      <top style="double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double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double">
        <color rgb="FFBFBFBF"/>
      </top>
    </border>
    <border>
      <right style="thin">
        <color rgb="FFBFBFBF"/>
      </right>
      <top style="double">
        <color rgb="FFBFBFBF"/>
      </top>
      <bottom style="thin">
        <color rgb="FFBFBFBF"/>
      </bottom>
    </border>
    <border>
      <right style="thin">
        <color rgb="FFBFBFBF"/>
      </right>
      <bottom style="medium">
        <color rgb="FFBFBFBF"/>
      </bottom>
    </border>
    <border>
      <left/>
      <right/>
      <top/>
      <bottom style="medium">
        <color rgb="FFBFBFBF"/>
      </bottom>
    </border>
    <border>
      <left/>
      <right style="thin">
        <color rgb="FFBFBFBF"/>
      </right>
      <top/>
      <bottom style="medium">
        <color rgb="FFBFBFBF"/>
      </bottom>
    </border>
    <border>
      <left style="thin">
        <color rgb="FFBFBFBF"/>
      </left>
      <right style="medium">
        <color rgb="FFBFBFBF"/>
      </right>
      <top/>
      <bottom style="medium">
        <color rgb="FFBFBFBF"/>
      </bottom>
    </border>
    <border>
      <left/>
      <right style="thin">
        <color rgb="FFBFBFBF"/>
      </right>
      <top style="medium">
        <color rgb="FFBFBFBF"/>
      </top>
      <bottom style="medium">
        <color rgb="FFBFBFBF"/>
      </bottom>
    </border>
    <border>
      <left style="thin">
        <color rgb="FFBFBFBF"/>
      </left>
      <top style="medium">
        <color rgb="FFBFBFBF"/>
      </top>
    </border>
    <border>
      <left style="thin">
        <color rgb="FFBFBFBF"/>
      </left>
      <bottom style="medium">
        <color rgb="FFBFBFBF"/>
      </bottom>
    </border>
    <border>
      <left/>
      <top style="medium">
        <color rgb="FFBFBFBF"/>
      </top>
      <bottom style="thin">
        <color rgb="FFBFBFBF"/>
      </bottom>
    </border>
    <border>
      <left style="thin">
        <color rgb="FFBFBFBF"/>
      </left>
      <top style="double">
        <color rgb="FFBFBFBF"/>
      </top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/>
      <bottom style="medium">
        <color rgb="FFBFBFBF"/>
      </bottom>
    </border>
    <border>
      <left style="thin">
        <color rgb="FFBFBFBF"/>
      </left>
      <top/>
      <bottom style="medium">
        <color rgb="FFBFBFBF"/>
      </bottom>
    </border>
    <border>
      <left style="thin">
        <color rgb="FFBFBFBF"/>
      </left>
      <top style="medium">
        <color rgb="FFBFBFBF"/>
      </top>
      <bottom style="medium">
        <color rgb="FFBFBFBF"/>
      </bottom>
    </border>
    <border>
      <left style="medium">
        <color rgb="FFBFBFBF"/>
      </left>
      <right/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 style="thin">
        <color rgb="FFBFBFBF"/>
      </bottom>
    </border>
    <border>
      <left/>
      <top style="thin">
        <color rgb="FFBFBFBF"/>
      </top>
      <bottom style="thin">
        <color rgb="FFBFBFBF"/>
      </bottom>
    </border>
    <border>
      <left/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1" fillId="2" fontId="9" numFmtId="0" xfId="0" applyAlignment="1" applyBorder="1" applyFill="1" applyFont="1">
      <alignment horizontal="center" shrinkToFit="0" vertical="center" wrapText="1"/>
    </xf>
    <xf borderId="2" fillId="2" fontId="9" numFmtId="0" xfId="0" applyAlignment="1" applyBorder="1" applyFont="1">
      <alignment horizontal="center" shrinkToFit="0" vertical="center" wrapText="1"/>
    </xf>
    <xf borderId="2" fillId="2" fontId="9" numFmtId="0" xfId="0" applyAlignment="1" applyBorder="1" applyFont="1">
      <alignment horizontal="center" readingOrder="0" shrinkToFit="0" vertical="center" wrapText="1"/>
    </xf>
    <xf borderId="3" fillId="3" fontId="10" numFmtId="0" xfId="0" applyAlignment="1" applyBorder="1" applyFill="1" applyFont="1">
      <alignment horizontal="center" shrinkToFit="0" vertical="center" wrapText="1"/>
    </xf>
    <xf borderId="4" fillId="4" fontId="10" numFmtId="0" xfId="0" applyAlignment="1" applyBorder="1" applyFill="1" applyFont="1">
      <alignment horizontal="center" readingOrder="0" shrinkToFit="0" vertical="center" wrapText="1"/>
    </xf>
    <xf borderId="5" fillId="4" fontId="10" numFmtId="0" xfId="0" applyAlignment="1" applyBorder="1" applyFont="1">
      <alignment horizontal="center" readingOrder="0" shrinkToFit="0" vertical="center" wrapText="1"/>
    </xf>
    <xf borderId="5" fillId="4" fontId="10" numFmtId="164" xfId="0" applyAlignment="1" applyBorder="1" applyFont="1" applyNumberFormat="1">
      <alignment horizontal="center" readingOrder="0" vertical="center"/>
    </xf>
    <xf borderId="5" fillId="4" fontId="10" numFmtId="3" xfId="0" applyAlignment="1" applyBorder="1" applyFont="1" applyNumberFormat="1">
      <alignment horizontal="center" readingOrder="0" vertical="center"/>
    </xf>
    <xf borderId="5" fillId="4" fontId="10" numFmtId="0" xfId="0" applyAlignment="1" applyBorder="1" applyFont="1">
      <alignment horizontal="center" readingOrder="0" vertical="center"/>
    </xf>
    <xf borderId="5" fillId="4" fontId="10" numFmtId="0" xfId="0" applyAlignment="1" applyBorder="1" applyFont="1">
      <alignment horizontal="left" readingOrder="0" vertical="center"/>
    </xf>
    <xf borderId="6" fillId="3" fontId="10" numFmtId="0" xfId="0" applyAlignment="1" applyBorder="1" applyFont="1">
      <alignment horizontal="center" vertical="center"/>
    </xf>
    <xf borderId="7" fillId="4" fontId="10" numFmtId="0" xfId="0" applyAlignment="1" applyBorder="1" applyFont="1">
      <alignment horizontal="center" readingOrder="0" vertical="center"/>
    </xf>
    <xf borderId="8" fillId="4" fontId="10" numFmtId="0" xfId="0" applyAlignment="1" applyBorder="1" applyFont="1">
      <alignment horizontal="center" readingOrder="0" vertical="center"/>
    </xf>
    <xf borderId="8" fillId="4" fontId="10" numFmtId="164" xfId="0" applyAlignment="1" applyBorder="1" applyFont="1" applyNumberFormat="1">
      <alignment horizontal="center" readingOrder="0" vertical="center"/>
    </xf>
    <xf borderId="8" fillId="4" fontId="10" numFmtId="3" xfId="0" applyAlignment="1" applyBorder="1" applyFont="1" applyNumberFormat="1">
      <alignment horizontal="center" readingOrder="0" vertical="center"/>
    </xf>
    <xf borderId="8" fillId="4" fontId="10" numFmtId="164" xfId="0" applyAlignment="1" applyBorder="1" applyFont="1" applyNumberFormat="1">
      <alignment horizontal="center" vertical="center"/>
    </xf>
    <xf borderId="8" fillId="4" fontId="10" numFmtId="0" xfId="0" applyAlignment="1" applyBorder="1" applyFont="1">
      <alignment horizontal="left" readingOrder="0" vertical="center"/>
    </xf>
    <xf borderId="0" fillId="0" fontId="3" numFmtId="164" xfId="0" applyAlignment="1" applyFont="1" applyNumberFormat="1">
      <alignment horizontal="center"/>
    </xf>
    <xf borderId="9" fillId="2" fontId="9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left" vertical="center"/>
    </xf>
    <xf borderId="10" fillId="4" fontId="10" numFmtId="0" xfId="0" applyAlignment="1" applyBorder="1" applyFont="1">
      <alignment horizontal="center" readingOrder="0" vertical="center"/>
    </xf>
    <xf borderId="11" fillId="4" fontId="10" numFmtId="0" xfId="0" applyAlignment="1" applyBorder="1" applyFont="1">
      <alignment horizontal="center" readingOrder="0" vertical="center"/>
    </xf>
    <xf borderId="11" fillId="4" fontId="10" numFmtId="165" xfId="0" applyAlignment="1" applyBorder="1" applyFont="1" applyNumberFormat="1">
      <alignment horizontal="center" readingOrder="0" vertical="center"/>
    </xf>
    <xf borderId="5" fillId="4" fontId="10" numFmtId="0" xfId="0" applyAlignment="1" applyBorder="1" applyFont="1">
      <alignment horizontal="center" vertical="center"/>
    </xf>
    <xf borderId="12" fillId="4" fontId="10" numFmtId="0" xfId="0" applyAlignment="1" applyBorder="1" applyFont="1">
      <alignment horizontal="center" readingOrder="0" vertical="center"/>
    </xf>
    <xf borderId="0" fillId="0" fontId="10" numFmtId="0" xfId="0" applyAlignment="1" applyFont="1">
      <alignment vertical="center"/>
    </xf>
    <xf borderId="13" fillId="4" fontId="10" numFmtId="0" xfId="0" applyAlignment="1" applyBorder="1" applyFont="1">
      <alignment horizontal="center" readingOrder="0" vertical="center"/>
    </xf>
    <xf borderId="14" fillId="4" fontId="10" numFmtId="0" xfId="0" applyAlignment="1" applyBorder="1" applyFont="1">
      <alignment horizontal="center" readingOrder="0" vertical="center"/>
    </xf>
    <xf borderId="14" fillId="4" fontId="10" numFmtId="165" xfId="0" applyAlignment="1" applyBorder="1" applyFont="1" applyNumberFormat="1">
      <alignment horizontal="center" readingOrder="0" vertical="center"/>
    </xf>
    <xf borderId="14" fillId="4" fontId="10" numFmtId="0" xfId="0" applyAlignment="1" applyBorder="1" applyFont="1">
      <alignment horizontal="center" vertical="center"/>
    </xf>
    <xf borderId="15" fillId="4" fontId="10" numFmtId="0" xfId="0" applyAlignment="1" applyBorder="1" applyFont="1">
      <alignment horizontal="center" readingOrder="0" vertical="center"/>
    </xf>
    <xf borderId="16" fillId="4" fontId="10" numFmtId="164" xfId="0" applyAlignment="1" applyBorder="1" applyFont="1" applyNumberFormat="1">
      <alignment horizontal="center" readingOrder="0" vertical="center"/>
    </xf>
    <xf borderId="8" fillId="4" fontId="10" numFmtId="165" xfId="0" applyAlignment="1" applyBorder="1" applyFont="1" applyNumberFormat="1">
      <alignment horizontal="center" readingOrder="0" vertical="center"/>
    </xf>
    <xf borderId="8" fillId="4" fontId="10" numFmtId="0" xfId="0" applyAlignment="1" applyBorder="1" applyFont="1">
      <alignment horizontal="center" vertical="center"/>
    </xf>
    <xf borderId="17" fillId="4" fontId="10" numFmtId="0" xfId="0" applyAlignment="1" applyBorder="1" applyFont="1">
      <alignment horizontal="center" readingOrder="0" vertical="center"/>
    </xf>
    <xf borderId="0" fillId="0" fontId="10" numFmtId="0" xfId="0" applyFont="1"/>
    <xf borderId="0" fillId="0" fontId="12" numFmtId="0" xfId="0" applyFont="1"/>
    <xf borderId="0" fillId="0" fontId="12" numFmtId="4" xfId="0" applyAlignment="1" applyFont="1" applyNumberFormat="1">
      <alignment horizontal="center"/>
    </xf>
    <xf borderId="0" fillId="0" fontId="12" numFmtId="0" xfId="0" applyAlignment="1" applyFont="1">
      <alignment horizontal="center"/>
    </xf>
    <xf borderId="0" fillId="0" fontId="12" numFmtId="164" xfId="0" applyAlignment="1" applyFont="1" applyNumberFormat="1">
      <alignment horizontal="center"/>
    </xf>
    <xf borderId="0" fillId="0" fontId="8" numFmtId="0" xfId="0" applyAlignment="1" applyFont="1">
      <alignment readingOrder="0"/>
    </xf>
    <xf borderId="0" fillId="0" fontId="13" numFmtId="0" xfId="0" applyAlignment="1" applyFont="1">
      <alignment horizontal="center"/>
    </xf>
    <xf borderId="18" fillId="2" fontId="9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vertical="center"/>
    </xf>
    <xf borderId="20" fillId="2" fontId="9" numFmtId="0" xfId="0" applyAlignment="1" applyBorder="1" applyFont="1">
      <alignment horizontal="center" vertical="center"/>
    </xf>
    <xf borderId="0" fillId="0" fontId="4" numFmtId="0" xfId="0" applyAlignment="1" applyFont="1">
      <alignment horizontal="center"/>
    </xf>
    <xf borderId="21" fillId="4" fontId="14" numFmtId="166" xfId="0" applyAlignment="1" applyBorder="1" applyFont="1" applyNumberFormat="1">
      <alignment horizontal="left" readingOrder="0" vertical="center"/>
    </xf>
    <xf borderId="14" fillId="4" fontId="14" numFmtId="166" xfId="0" applyAlignment="1" applyBorder="1" applyFont="1" applyNumberFormat="1">
      <alignment horizontal="left" readingOrder="0" vertical="center"/>
    </xf>
    <xf borderId="14" fillId="4" fontId="14" numFmtId="10" xfId="0" applyAlignment="1" applyBorder="1" applyFont="1" applyNumberFormat="1">
      <alignment horizontal="center" readingOrder="0" vertical="center"/>
    </xf>
    <xf borderId="15" fillId="4" fontId="14" numFmtId="166" xfId="0" applyAlignment="1" applyBorder="1" applyFont="1" applyNumberFormat="1">
      <alignment horizontal="left" readingOrder="0" vertical="center"/>
    </xf>
    <xf borderId="22" fillId="4" fontId="14" numFmtId="166" xfId="0" applyAlignment="1" applyBorder="1" applyFont="1" applyNumberFormat="1">
      <alignment horizontal="left" readingOrder="0" vertical="center"/>
    </xf>
    <xf borderId="8" fillId="4" fontId="14" numFmtId="166" xfId="0" applyAlignment="1" applyBorder="1" applyFont="1" applyNumberFormat="1">
      <alignment horizontal="left" readingOrder="0" vertical="center"/>
    </xf>
    <xf borderId="17" fillId="4" fontId="14" numFmtId="166" xfId="0" applyAlignment="1" applyBorder="1" applyFont="1" applyNumberFormat="1">
      <alignment horizontal="left" readingOrder="0" vertical="center"/>
    </xf>
    <xf borderId="0" fillId="0" fontId="7" numFmtId="0" xfId="0" applyAlignment="1" applyFont="1">
      <alignment readingOrder="0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vertical="center"/>
    </xf>
    <xf borderId="0" fillId="0" fontId="13" numFmtId="0" xfId="0" applyFont="1"/>
    <xf borderId="23" fillId="2" fontId="9" numFmtId="0" xfId="0" applyAlignment="1" applyBorder="1" applyFont="1">
      <alignment horizontal="center" vertical="center"/>
    </xf>
    <xf borderId="24" fillId="2" fontId="9" numFmtId="0" xfId="0" applyAlignment="1" applyBorder="1" applyFont="1">
      <alignment horizontal="right" vertical="center"/>
    </xf>
    <xf borderId="25" fillId="2" fontId="9" numFmtId="0" xfId="0" applyAlignment="1" applyBorder="1" applyFont="1">
      <alignment horizontal="center" readingOrder="0" shrinkToFit="0" vertical="center" wrapText="1"/>
    </xf>
    <xf borderId="26" fillId="0" fontId="15" numFmtId="0" xfId="0" applyBorder="1" applyFont="1"/>
    <xf borderId="0" fillId="0" fontId="4" numFmtId="0" xfId="0" applyAlignment="1" applyFont="1">
      <alignment vertical="center"/>
    </xf>
    <xf borderId="27" fillId="2" fontId="9" numFmtId="0" xfId="0" applyAlignment="1" applyBorder="1" applyFont="1">
      <alignment horizontal="center" vertical="center"/>
    </xf>
    <xf borderId="28" fillId="2" fontId="9" numFmtId="0" xfId="0" applyAlignment="1" applyBorder="1" applyFont="1">
      <alignment horizontal="center" readingOrder="0" vertical="center"/>
    </xf>
    <xf borderId="29" fillId="4" fontId="14" numFmtId="3" xfId="0" applyAlignment="1" applyBorder="1" applyFont="1" applyNumberFormat="1">
      <alignment horizontal="center" readingOrder="0" vertical="center"/>
    </xf>
    <xf borderId="12" fillId="4" fontId="14" numFmtId="3" xfId="0" applyAlignment="1" applyBorder="1" applyFont="1" applyNumberFormat="1">
      <alignment horizontal="center" readingOrder="0" vertical="center"/>
    </xf>
    <xf borderId="30" fillId="5" fontId="14" numFmtId="3" xfId="0" applyAlignment="1" applyBorder="1" applyFill="1" applyFont="1" applyNumberFormat="1">
      <alignment horizontal="center" readingOrder="0" shrinkToFit="0" vertical="center" wrapText="1"/>
    </xf>
    <xf borderId="31" fillId="0" fontId="15" numFmtId="0" xfId="0" applyBorder="1" applyFont="1"/>
    <xf borderId="32" fillId="6" fontId="14" numFmtId="0" xfId="0" applyAlignment="1" applyBorder="1" applyFill="1" applyFont="1">
      <alignment horizontal="left" readingOrder="0" vertical="center"/>
    </xf>
    <xf borderId="0" fillId="6" fontId="14" numFmtId="0" xfId="0" applyAlignment="1" applyFont="1">
      <alignment horizontal="left" readingOrder="0" vertical="center"/>
    </xf>
    <xf borderId="33" fillId="6" fontId="14" numFmtId="167" xfId="0" applyAlignment="1" applyBorder="1" applyFont="1" applyNumberFormat="1">
      <alignment horizontal="center" vertical="center"/>
    </xf>
    <xf borderId="34" fillId="6" fontId="14" numFmtId="167" xfId="0" applyAlignment="1" applyBorder="1" applyFont="1" applyNumberFormat="1">
      <alignment horizontal="center" vertical="center"/>
    </xf>
    <xf borderId="32" fillId="6" fontId="14" numFmtId="167" xfId="0" applyAlignment="1" applyBorder="1" applyFont="1" applyNumberFormat="1">
      <alignment horizontal="center" vertical="center"/>
    </xf>
    <xf borderId="35" fillId="6" fontId="14" numFmtId="167" xfId="0" applyAlignment="1" applyBorder="1" applyFont="1" applyNumberFormat="1">
      <alignment horizontal="center" vertical="center"/>
    </xf>
    <xf borderId="30" fillId="2" fontId="16" numFmtId="0" xfId="0" applyAlignment="1" applyBorder="1" applyFont="1">
      <alignment vertical="center"/>
    </xf>
    <xf borderId="36" fillId="2" fontId="9" numFmtId="0" xfId="0" applyAlignment="1" applyBorder="1" applyFont="1">
      <alignment horizontal="right" shrinkToFit="0" vertical="center" wrapText="0"/>
    </xf>
    <xf borderId="32" fillId="2" fontId="9" numFmtId="168" xfId="0" applyAlignment="1" applyBorder="1" applyFont="1" applyNumberFormat="1">
      <alignment horizontal="center" shrinkToFit="0" vertical="center" wrapText="1"/>
    </xf>
    <xf borderId="35" fillId="2" fontId="9" numFmtId="168" xfId="0" applyAlignment="1" applyBorder="1" applyFont="1" applyNumberFormat="1">
      <alignment horizontal="center" shrinkToFit="0" vertical="center" wrapText="1"/>
    </xf>
    <xf borderId="32" fillId="0" fontId="10" numFmtId="0" xfId="0" applyAlignment="1" applyBorder="1" applyFont="1">
      <alignment horizontal="right" vertical="center"/>
    </xf>
    <xf borderId="0" fillId="0" fontId="10" numFmtId="169" xfId="0" applyAlignment="1" applyFont="1" applyNumberFormat="1">
      <alignment horizontal="right" readingOrder="0" vertical="center"/>
    </xf>
    <xf borderId="29" fillId="4" fontId="10" numFmtId="168" xfId="0" applyAlignment="1" applyBorder="1" applyFont="1" applyNumberFormat="1">
      <alignment horizontal="center" readingOrder="0" vertical="center"/>
    </xf>
    <xf borderId="12" fillId="4" fontId="10" numFmtId="168" xfId="0" applyAlignment="1" applyBorder="1" applyFont="1" applyNumberFormat="1">
      <alignment horizontal="center" readingOrder="0" vertical="center"/>
    </xf>
    <xf borderId="3" fillId="3" fontId="10" numFmtId="166" xfId="0" applyAlignment="1" applyBorder="1" applyFont="1" applyNumberFormat="1">
      <alignment horizontal="right"/>
    </xf>
    <xf borderId="37" fillId="3" fontId="10" numFmtId="166" xfId="0" applyAlignment="1" applyBorder="1" applyFont="1" applyNumberFormat="1">
      <alignment horizontal="right"/>
    </xf>
    <xf borderId="0" fillId="0" fontId="10" numFmtId="169" xfId="0" applyAlignment="1" applyFont="1" applyNumberFormat="1">
      <alignment horizontal="right" vertical="center"/>
    </xf>
    <xf borderId="32" fillId="0" fontId="13" numFmtId="170" xfId="0" applyAlignment="1" applyBorder="1" applyFont="1" applyNumberFormat="1">
      <alignment vertical="center"/>
    </xf>
    <xf borderId="35" fillId="0" fontId="13" numFmtId="170" xfId="0" applyAlignment="1" applyBorder="1" applyFont="1" applyNumberFormat="1">
      <alignment vertical="center"/>
    </xf>
    <xf borderId="38" fillId="7" fontId="10" numFmtId="0" xfId="0" applyAlignment="1" applyBorder="1" applyFill="1" applyFont="1">
      <alignment horizontal="right" vertical="center"/>
    </xf>
    <xf borderId="39" fillId="7" fontId="14" numFmtId="0" xfId="0" applyAlignment="1" applyBorder="1" applyFont="1">
      <alignment horizontal="right" vertical="center"/>
    </xf>
    <xf borderId="40" fillId="3" fontId="14" numFmtId="166" xfId="0" applyAlignment="1" applyBorder="1" applyFont="1" applyNumberFormat="1">
      <alignment vertical="center"/>
    </xf>
    <xf borderId="41" fillId="3" fontId="14" numFmtId="166" xfId="0" applyAlignment="1" applyBorder="1" applyFont="1" applyNumberFormat="1">
      <alignment vertical="center"/>
    </xf>
    <xf borderId="42" fillId="3" fontId="14" numFmtId="166" xfId="0" applyAlignment="1" applyBorder="1" applyFont="1" applyNumberFormat="1">
      <alignment vertical="center"/>
    </xf>
    <xf borderId="43" fillId="3" fontId="14" numFmtId="166" xfId="0" applyAlignment="1" applyBorder="1" applyFont="1" applyNumberFormat="1">
      <alignment vertical="center"/>
    </xf>
    <xf borderId="36" fillId="2" fontId="9" numFmtId="0" xfId="0" applyAlignment="1" applyBorder="1" applyFont="1">
      <alignment horizontal="right" shrinkToFit="0" vertical="center" wrapText="1"/>
    </xf>
    <xf borderId="23" fillId="2" fontId="16" numFmtId="168" xfId="0" applyAlignment="1" applyBorder="1" applyFont="1" applyNumberFormat="1">
      <alignment vertical="center"/>
    </xf>
    <xf borderId="44" fillId="2" fontId="16" numFmtId="168" xfId="0" applyAlignment="1" applyBorder="1" applyFont="1" applyNumberFormat="1">
      <alignment vertical="center"/>
    </xf>
    <xf borderId="32" fillId="2" fontId="9" numFmtId="0" xfId="0" applyAlignment="1" applyBorder="1" applyFont="1">
      <alignment horizontal="center" shrinkToFit="0" vertical="center" wrapText="1"/>
    </xf>
    <xf borderId="35" fillId="2" fontId="9" numFmtId="0" xfId="0" applyAlignment="1" applyBorder="1" applyFont="1">
      <alignment horizontal="center" shrinkToFit="0" vertical="center" wrapText="1"/>
    </xf>
    <xf borderId="32" fillId="0" fontId="16" numFmtId="0" xfId="0" applyAlignment="1" applyBorder="1" applyFont="1">
      <alignment vertical="center"/>
    </xf>
    <xf borderId="0" fillId="0" fontId="10" numFmtId="0" xfId="0" applyAlignment="1" applyFont="1">
      <alignment horizontal="right" vertical="center"/>
    </xf>
    <xf borderId="45" fillId="2" fontId="16" numFmtId="168" xfId="0" applyAlignment="1" applyBorder="1" applyFont="1" applyNumberFormat="1">
      <alignment vertical="center"/>
    </xf>
    <xf borderId="46" fillId="2" fontId="16" numFmtId="168" xfId="0" applyAlignment="1" applyBorder="1" applyFont="1" applyNumberFormat="1">
      <alignment vertical="center"/>
    </xf>
    <xf borderId="29" fillId="4" fontId="17" numFmtId="168" xfId="0" applyAlignment="1" applyBorder="1" applyFont="1" applyNumberFormat="1">
      <alignment horizontal="center"/>
    </xf>
    <xf borderId="31" fillId="4" fontId="17" numFmtId="168" xfId="0" applyAlignment="1" applyBorder="1" applyFont="1" applyNumberFormat="1">
      <alignment horizontal="center"/>
    </xf>
    <xf borderId="32" fillId="2" fontId="16" numFmtId="168" xfId="0" applyAlignment="1" applyBorder="1" applyFont="1" applyNumberFormat="1">
      <alignment vertical="center"/>
    </xf>
    <xf borderId="35" fillId="2" fontId="16" numFmtId="168" xfId="0" applyAlignment="1" applyBorder="1" applyFont="1" applyNumberFormat="1">
      <alignment vertical="center"/>
    </xf>
    <xf borderId="39" fillId="7" fontId="14" numFmtId="0" xfId="0" applyAlignment="1" applyBorder="1" applyFont="1">
      <alignment horizontal="right" readingOrder="0" vertical="center"/>
    </xf>
    <xf borderId="0" fillId="0" fontId="10" numFmtId="0" xfId="0" applyAlignment="1" applyFont="1">
      <alignment horizontal="right" vertical="center"/>
    </xf>
    <xf borderId="21" fillId="4" fontId="17" numFmtId="166" xfId="0" applyAlignment="1" applyBorder="1" applyFont="1" applyNumberFormat="1">
      <alignment horizontal="center" readingOrder="0"/>
    </xf>
    <xf borderId="47" fillId="2" fontId="9" numFmtId="0" xfId="0" applyAlignment="1" applyBorder="1" applyFont="1">
      <alignment horizontal="center" readingOrder="0" shrinkToFit="0" vertical="center" wrapText="1"/>
    </xf>
    <xf borderId="48" fillId="2" fontId="9" numFmtId="0" xfId="0" applyAlignment="1" applyBorder="1" applyFont="1">
      <alignment horizontal="right" readingOrder="0" shrinkToFit="0" vertical="center" wrapText="0"/>
    </xf>
    <xf borderId="49" fillId="2" fontId="9" numFmtId="0" xfId="0" applyAlignment="1" applyBorder="1" applyFont="1">
      <alignment horizontal="center" shrinkToFit="0" vertical="center" wrapText="1"/>
    </xf>
    <xf borderId="50" fillId="2" fontId="9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right" readingOrder="0" vertical="center"/>
    </xf>
    <xf borderId="51" fillId="4" fontId="17" numFmtId="166" xfId="0" applyAlignment="1" applyBorder="1" applyFont="1" applyNumberFormat="1">
      <alignment horizontal="center" readingOrder="0"/>
    </xf>
    <xf borderId="23" fillId="2" fontId="16" numFmtId="0" xfId="0" applyAlignment="1" applyBorder="1" applyFont="1">
      <alignment vertical="center"/>
    </xf>
    <xf borderId="24" fillId="2" fontId="9" numFmtId="0" xfId="0" applyAlignment="1" applyBorder="1" applyFont="1">
      <alignment horizontal="right" readingOrder="0" vertical="center"/>
    </xf>
    <xf borderId="23" fillId="2" fontId="9" numFmtId="0" xfId="0" applyAlignment="1" applyBorder="1" applyFont="1">
      <alignment horizontal="center" shrinkToFit="0" vertical="center" wrapText="1"/>
    </xf>
    <xf borderId="44" fillId="2" fontId="9" numFmtId="0" xfId="0" applyAlignment="1" applyBorder="1" applyFont="1">
      <alignment horizontal="center" shrinkToFit="0" vertical="center" wrapText="1"/>
    </xf>
    <xf borderId="25" fillId="2" fontId="9" numFmtId="0" xfId="0" applyAlignment="1" applyBorder="1" applyFont="1">
      <alignment horizontal="center" shrinkToFit="0" vertical="center" wrapText="1"/>
    </xf>
    <xf borderId="26" fillId="2" fontId="9" numFmtId="0" xfId="0" applyAlignment="1" applyBorder="1" applyFont="1">
      <alignment horizontal="center" shrinkToFit="0" vertical="center" wrapText="1"/>
    </xf>
    <xf borderId="29" fillId="4" fontId="10" numFmtId="166" xfId="0" applyAlignment="1" applyBorder="1" applyFont="1" applyNumberFormat="1">
      <alignment horizontal="center" readingOrder="0" vertical="center"/>
    </xf>
    <xf borderId="52" fillId="5" fontId="16" numFmtId="0" xfId="0" applyBorder="1" applyFont="1"/>
    <xf borderId="53" fillId="5" fontId="14" numFmtId="0" xfId="0" applyAlignment="1" applyBorder="1" applyFont="1">
      <alignment horizontal="right" readingOrder="0"/>
    </xf>
    <xf borderId="54" fillId="3" fontId="14" numFmtId="168" xfId="0" applyAlignment="1" applyBorder="1" applyFont="1" applyNumberFormat="1">
      <alignment horizontal="right"/>
    </xf>
    <xf borderId="55" fillId="3" fontId="14" numFmtId="168" xfId="0" applyAlignment="1" applyBorder="1" applyFont="1" applyNumberFormat="1">
      <alignment horizontal="right"/>
    </xf>
    <xf borderId="56" fillId="3" fontId="14" numFmtId="168" xfId="0" applyAlignment="1" applyBorder="1" applyFont="1" applyNumberFormat="1">
      <alignment horizontal="right"/>
    </xf>
    <xf borderId="0" fillId="0" fontId="1" numFmtId="0" xfId="0" applyAlignment="1" applyFont="1">
      <alignment vertical="center"/>
    </xf>
    <xf borderId="32" fillId="0" fontId="10" numFmtId="0" xfId="0" applyAlignment="1" applyBorder="1" applyFont="1">
      <alignment vertical="center"/>
    </xf>
    <xf borderId="35" fillId="0" fontId="10" numFmtId="0" xfId="0" applyAlignment="1" applyBorder="1" applyFont="1">
      <alignment vertical="center"/>
    </xf>
    <xf borderId="57" fillId="6" fontId="14" numFmtId="0" xfId="0" applyAlignment="1" applyBorder="1" applyFont="1">
      <alignment horizontal="left" readingOrder="0" vertical="center"/>
    </xf>
    <xf borderId="58" fillId="0" fontId="15" numFmtId="0" xfId="0" applyBorder="1" applyFont="1"/>
    <xf borderId="59" fillId="6" fontId="14" numFmtId="167" xfId="0" applyAlignment="1" applyBorder="1" applyFont="1" applyNumberFormat="1">
      <alignment horizontal="center" vertical="center"/>
    </xf>
    <xf borderId="60" fillId="6" fontId="14" numFmtId="167" xfId="0" applyAlignment="1" applyBorder="1" applyFont="1" applyNumberFormat="1">
      <alignment horizontal="center" vertical="center"/>
    </xf>
    <xf borderId="61" fillId="6" fontId="14" numFmtId="167" xfId="0" applyAlignment="1" applyBorder="1" applyFont="1" applyNumberFormat="1">
      <alignment horizontal="center" vertical="center"/>
    </xf>
    <xf borderId="23" fillId="0" fontId="10" numFmtId="167" xfId="0" applyAlignment="1" applyBorder="1" applyFont="1" applyNumberFormat="1">
      <alignment horizontal="right" readingOrder="0" vertical="center"/>
    </xf>
    <xf borderId="44" fillId="0" fontId="15" numFmtId="0" xfId="0" applyBorder="1" applyFont="1"/>
    <xf borderId="46" fillId="4" fontId="17" numFmtId="166" xfId="0" applyAlignment="1" applyBorder="1" applyFont="1" applyNumberFormat="1">
      <alignment horizontal="center" readingOrder="0"/>
    </xf>
    <xf borderId="32" fillId="0" fontId="10" numFmtId="167" xfId="0" applyAlignment="1" applyBorder="1" applyFont="1" applyNumberFormat="1">
      <alignment horizontal="right" readingOrder="0" vertical="center"/>
    </xf>
    <xf borderId="35" fillId="0" fontId="15" numFmtId="0" xfId="0" applyBorder="1" applyFont="1"/>
    <xf borderId="62" fillId="0" fontId="10" numFmtId="167" xfId="0" applyAlignment="1" applyBorder="1" applyFont="1" applyNumberFormat="1">
      <alignment horizontal="right" vertical="center"/>
    </xf>
    <xf borderId="63" fillId="0" fontId="15" numFmtId="0" xfId="0" applyBorder="1" applyFont="1"/>
    <xf borderId="62" fillId="3" fontId="14" numFmtId="167" xfId="0" applyAlignment="1" applyBorder="1" applyFont="1" applyNumberFormat="1">
      <alignment horizontal="right" readingOrder="0" vertical="center"/>
    </xf>
    <xf borderId="64" fillId="0" fontId="15" numFmtId="0" xfId="0" applyBorder="1" applyFont="1"/>
    <xf borderId="65" fillId="3" fontId="14" numFmtId="166" xfId="0" applyAlignment="1" applyBorder="1" applyFont="1" applyNumberFormat="1">
      <alignment horizontal="right" vertical="center"/>
    </xf>
    <xf borderId="66" fillId="3" fontId="14" numFmtId="166" xfId="0" applyAlignment="1" applyBorder="1" applyFont="1" applyNumberFormat="1">
      <alignment horizontal="right" vertical="center"/>
    </xf>
    <xf borderId="52" fillId="3" fontId="14" numFmtId="0" xfId="0" applyAlignment="1" applyBorder="1" applyFont="1">
      <alignment horizontal="right" vertical="center"/>
    </xf>
    <xf borderId="67" fillId="0" fontId="15" numFmtId="0" xfId="0" applyBorder="1" applyFont="1"/>
    <xf borderId="68" fillId="3" fontId="14" numFmtId="166" xfId="0" applyAlignment="1" applyBorder="1" applyFont="1" applyNumberFormat="1">
      <alignment horizontal="right" vertical="center"/>
    </xf>
    <xf borderId="69" fillId="3" fontId="14" numFmtId="166" xfId="0" applyAlignment="1" applyBorder="1" applyFont="1" applyNumberFormat="1">
      <alignment horizontal="right" vertical="center"/>
    </xf>
    <xf borderId="70" fillId="4" fontId="17" numFmtId="166" xfId="0" applyAlignment="1" applyBorder="1" applyFont="1" applyNumberFormat="1">
      <alignment horizontal="center" readingOrder="0"/>
    </xf>
    <xf borderId="32" fillId="8" fontId="10" numFmtId="167" xfId="0" applyAlignment="1" applyBorder="1" applyFill="1" applyFont="1" applyNumberFormat="1">
      <alignment horizontal="right"/>
    </xf>
    <xf borderId="62" fillId="8" fontId="10" numFmtId="167" xfId="0" applyAlignment="1" applyBorder="1" applyFont="1" applyNumberFormat="1">
      <alignment horizontal="right"/>
    </xf>
    <xf borderId="52" fillId="3" fontId="14" numFmtId="167" xfId="0" applyAlignment="1" applyBorder="1" applyFont="1" applyNumberFormat="1">
      <alignment horizontal="right" readingOrder="0" vertical="center"/>
    </xf>
    <xf borderId="71" fillId="0" fontId="15" numFmtId="0" xfId="0" applyBorder="1" applyFont="1"/>
    <xf borderId="72" fillId="4" fontId="10" numFmtId="166" xfId="0" applyAlignment="1" applyBorder="1" applyFont="1" applyNumberFormat="1">
      <alignment horizontal="center" readingOrder="0" vertical="center"/>
    </xf>
    <xf borderId="73" fillId="4" fontId="10" numFmtId="166" xfId="0" applyAlignment="1" applyBorder="1" applyFont="1" applyNumberFormat="1">
      <alignment horizontal="center" readingOrder="0" vertical="center"/>
    </xf>
    <xf borderId="52" fillId="3" fontId="14" numFmtId="0" xfId="0" applyAlignment="1" applyBorder="1" applyFont="1">
      <alignment horizontal="right" readingOrder="0" vertical="center"/>
    </xf>
    <xf borderId="0" fillId="0" fontId="13" numFmtId="0" xfId="0" applyFont="1"/>
    <xf borderId="0" fillId="0" fontId="13" numFmtId="166" xfId="0" applyFont="1" applyNumberFormat="1"/>
    <xf borderId="0" fillId="0" fontId="1" numFmtId="0" xfId="0" applyFont="1"/>
    <xf borderId="23" fillId="2" fontId="9" numFmtId="171" xfId="0" applyAlignment="1" applyBorder="1" applyFont="1" applyNumberFormat="1">
      <alignment horizontal="center" shrinkToFit="0" vertical="center" wrapText="1"/>
    </xf>
    <xf borderId="44" fillId="2" fontId="9" numFmtId="171" xfId="0" applyAlignment="1" applyBorder="1" applyFont="1" applyNumberFormat="1">
      <alignment horizontal="center" shrinkToFit="0" vertical="center" wrapText="1"/>
    </xf>
    <xf borderId="47" fillId="9" fontId="18" numFmtId="0" xfId="0" applyAlignment="1" applyBorder="1" applyFill="1" applyFont="1">
      <alignment horizontal="left" vertical="center"/>
    </xf>
    <xf borderId="74" fillId="0" fontId="15" numFmtId="0" xfId="0" applyBorder="1" applyFont="1"/>
    <xf borderId="21" fillId="10" fontId="19" numFmtId="0" xfId="0" applyAlignment="1" applyBorder="1" applyFill="1" applyFont="1">
      <alignment horizontal="center" readingOrder="0" vertical="center"/>
    </xf>
    <xf borderId="12" fillId="10" fontId="20" numFmtId="0" xfId="0" applyAlignment="1" applyBorder="1" applyFont="1">
      <alignment horizontal="center" readingOrder="0" vertical="center"/>
    </xf>
    <xf borderId="21" fillId="4" fontId="10" numFmtId="0" xfId="0" applyAlignment="1" applyBorder="1" applyFont="1">
      <alignment horizontal="left" vertical="center"/>
    </xf>
    <xf borderId="12" fillId="4" fontId="10" numFmtId="166" xfId="0" applyAlignment="1" applyBorder="1" applyFont="1" applyNumberFormat="1">
      <alignment vertical="center"/>
    </xf>
    <xf borderId="15" fillId="4" fontId="10" numFmtId="166" xfId="0" applyAlignment="1" applyBorder="1" applyFont="1" applyNumberFormat="1">
      <alignment vertical="center"/>
    </xf>
    <xf borderId="51" fillId="4" fontId="10" numFmtId="0" xfId="0" applyAlignment="1" applyBorder="1" applyFont="1">
      <alignment horizontal="left" vertical="center"/>
    </xf>
    <xf borderId="75" fillId="4" fontId="10" numFmtId="166" xfId="0" applyAlignment="1" applyBorder="1" applyFont="1" applyNumberFormat="1">
      <alignment vertical="center"/>
    </xf>
    <xf borderId="1" fillId="2" fontId="9" numFmtId="49" xfId="0" applyAlignment="1" applyBorder="1" applyFont="1" applyNumberFormat="1">
      <alignment horizontal="right" vertical="center"/>
    </xf>
    <xf borderId="9" fillId="2" fontId="14" numFmtId="166" xfId="0" applyAlignment="1" applyBorder="1" applyFont="1" applyNumberFormat="1">
      <alignment vertical="center"/>
    </xf>
    <xf borderId="3" fillId="9" fontId="18" numFmtId="0" xfId="0" applyAlignment="1" applyBorder="1" applyFont="1">
      <alignment horizontal="left" vertical="center"/>
    </xf>
    <xf borderId="76" fillId="9" fontId="21" numFmtId="49" xfId="0" applyAlignment="1" applyBorder="1" applyFont="1" applyNumberFormat="1">
      <alignment horizontal="center" vertical="center"/>
    </xf>
    <xf borderId="32" fillId="0" fontId="13" numFmtId="0" xfId="0" applyBorder="1" applyFont="1"/>
    <xf borderId="35" fillId="0" fontId="13" numFmtId="0" xfId="0" applyBorder="1" applyFont="1"/>
    <xf borderId="1" fillId="11" fontId="22" numFmtId="49" xfId="0" applyAlignment="1" applyBorder="1" applyFill="1" applyFont="1" applyNumberFormat="1">
      <alignment horizontal="left" vertical="center"/>
    </xf>
    <xf borderId="9" fillId="11" fontId="23" numFmtId="166" xfId="0" applyAlignment="1" applyBorder="1" applyFont="1" applyNumberFormat="1">
      <alignment horizontal="center" vertical="center"/>
    </xf>
    <xf borderId="0" fillId="0" fontId="24" numFmtId="0" xfId="0" applyAlignment="1" applyFont="1">
      <alignment vertical="bottom"/>
    </xf>
    <xf borderId="0" fillId="0" fontId="24" numFmtId="0" xfId="0" applyAlignment="1" applyFont="1">
      <alignment readingOrder="0" vertical="bottom"/>
    </xf>
    <xf borderId="0" fillId="0" fontId="13" numFmtId="0" xfId="0" applyAlignment="1" applyFont="1">
      <alignment readingOrder="0"/>
    </xf>
    <xf borderId="0" fillId="0" fontId="13" numFmtId="172" xfId="0" applyAlignment="1" applyFont="1" applyNumberFormat="1">
      <alignment readingOrder="0"/>
    </xf>
    <xf borderId="0" fillId="4" fontId="13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13" numFmtId="172" xfId="0" applyFont="1" applyNumberFormat="1"/>
    <xf borderId="23" fillId="12" fontId="26" numFmtId="0" xfId="0" applyAlignment="1" applyBorder="1" applyFill="1" applyFont="1">
      <alignment horizontal="center" readingOrder="0" vertical="center"/>
    </xf>
    <xf borderId="24" fillId="0" fontId="15" numFmtId="0" xfId="0" applyBorder="1" applyFont="1"/>
    <xf borderId="0" fillId="0" fontId="13" numFmtId="0" xfId="0" applyAlignment="1" applyFont="1">
      <alignment horizontal="center"/>
    </xf>
    <xf borderId="77" fillId="13" fontId="14" numFmtId="0" xfId="0" applyAlignment="1" applyBorder="1" applyFill="1" applyFont="1">
      <alignment vertical="center"/>
    </xf>
    <xf borderId="72" fillId="12" fontId="23" numFmtId="0" xfId="0" applyAlignment="1" applyBorder="1" applyFont="1">
      <alignment horizontal="center" shrinkToFit="0" vertical="center" wrapText="1"/>
    </xf>
    <xf borderId="78" fillId="12" fontId="23" numFmtId="0" xfId="0" applyAlignment="1" applyBorder="1" applyFont="1">
      <alignment horizontal="center" shrinkToFit="0" vertical="center" wrapText="1"/>
    </xf>
    <xf borderId="79" fillId="12" fontId="26" numFmtId="0" xfId="0" applyAlignment="1" applyBorder="1" applyFont="1">
      <alignment horizontal="center" readingOrder="0" shrinkToFit="0" vertical="center" wrapText="1"/>
    </xf>
    <xf borderId="80" fillId="13" fontId="23" numFmtId="0" xfId="0" applyAlignment="1" applyBorder="1" applyFont="1">
      <alignment horizontal="center" shrinkToFit="0" vertical="center" wrapText="1"/>
    </xf>
    <xf borderId="80" fillId="13" fontId="26" numFmtId="0" xfId="0" applyAlignment="1" applyBorder="1" applyFont="1">
      <alignment horizontal="center" readingOrder="0" shrinkToFit="0" vertical="center" wrapText="1"/>
    </xf>
    <xf borderId="21" fillId="6" fontId="14" numFmtId="0" xfId="0" applyAlignment="1" applyBorder="1" applyFont="1">
      <alignment vertical="center"/>
    </xf>
    <xf borderId="11" fillId="6" fontId="14" numFmtId="166" xfId="0" applyAlignment="1" applyBorder="1" applyFont="1" applyNumberFormat="1">
      <alignment vertical="center"/>
    </xf>
    <xf borderId="11" fillId="6" fontId="14" numFmtId="166" xfId="0" applyAlignment="1" applyBorder="1" applyFont="1" applyNumberFormat="1">
      <alignment vertical="center"/>
    </xf>
    <xf borderId="11" fillId="6" fontId="14" numFmtId="9" xfId="0" applyAlignment="1" applyBorder="1" applyFont="1" applyNumberFormat="1">
      <alignment horizontal="center" vertical="center"/>
    </xf>
    <xf borderId="11" fillId="6" fontId="14" numFmtId="9" xfId="0" applyAlignment="1" applyBorder="1" applyFont="1" applyNumberFormat="1">
      <alignment vertical="center"/>
    </xf>
    <xf borderId="21" fillId="4" fontId="10" numFmtId="0" xfId="0" applyAlignment="1" applyBorder="1" applyFont="1">
      <alignment vertical="center"/>
    </xf>
    <xf borderId="14" fillId="4" fontId="10" numFmtId="166" xfId="0" applyAlignment="1" applyBorder="1" applyFont="1" applyNumberFormat="1">
      <alignment vertical="center"/>
    </xf>
    <xf borderId="10" fillId="4" fontId="14" numFmtId="166" xfId="0" applyAlignment="1" applyBorder="1" applyFont="1" applyNumberFormat="1">
      <alignment horizontal="center" readingOrder="0" vertical="center"/>
    </xf>
    <xf borderId="14" fillId="7" fontId="10" numFmtId="9" xfId="0" applyAlignment="1" applyBorder="1" applyFont="1" applyNumberFormat="1">
      <alignment horizontal="center" vertical="center"/>
    </xf>
    <xf borderId="11" fillId="4" fontId="14" numFmtId="166" xfId="0" applyAlignment="1" applyBorder="1" applyFont="1" applyNumberFormat="1">
      <alignment horizontal="left" readingOrder="0" vertical="center"/>
    </xf>
    <xf borderId="10" fillId="4" fontId="27" numFmtId="166" xfId="0" applyAlignment="1" applyBorder="1" applyFont="1" applyNumberFormat="1">
      <alignment horizontal="center" readingOrder="0" vertical="center"/>
    </xf>
    <xf borderId="14" fillId="6" fontId="14" numFmtId="166" xfId="0" applyAlignment="1" applyBorder="1" applyFont="1" applyNumberFormat="1">
      <alignment vertical="center"/>
    </xf>
    <xf borderId="14" fillId="6" fontId="14" numFmtId="166" xfId="0" applyAlignment="1" applyBorder="1" applyFont="1" applyNumberFormat="1">
      <alignment vertical="center"/>
    </xf>
    <xf borderId="14" fillId="6" fontId="14" numFmtId="9" xfId="0" applyAlignment="1" applyBorder="1" applyFont="1" applyNumberFormat="1">
      <alignment vertical="center"/>
    </xf>
    <xf borderId="14" fillId="6" fontId="14" numFmtId="9" xfId="0" applyAlignment="1" applyBorder="1" applyFont="1" applyNumberFormat="1">
      <alignment horizontal="center" vertical="center"/>
    </xf>
    <xf borderId="14" fillId="7" fontId="10" numFmtId="173" xfId="0" applyAlignment="1" applyBorder="1" applyFont="1" applyNumberFormat="1">
      <alignment horizontal="center" vertical="center"/>
    </xf>
    <xf borderId="14" fillId="4" fontId="10" numFmtId="0" xfId="0" applyAlignment="1" applyBorder="1" applyFont="1">
      <alignment shrinkToFit="0" vertical="center" wrapText="1"/>
    </xf>
    <xf borderId="81" fillId="6" fontId="14" numFmtId="9" xfId="0" applyAlignment="1" applyBorder="1" applyFont="1" applyNumberFormat="1">
      <alignment vertical="center"/>
    </xf>
    <xf borderId="81" fillId="6" fontId="14" numFmtId="9" xfId="0" applyAlignment="1" applyBorder="1" applyFont="1" applyNumberFormat="1">
      <alignment horizontal="center" vertical="center"/>
    </xf>
    <xf borderId="21" fillId="14" fontId="14" numFmtId="0" xfId="0" applyAlignment="1" applyBorder="1" applyFill="1" applyFont="1">
      <alignment vertical="center"/>
    </xf>
    <xf borderId="14" fillId="14" fontId="14" numFmtId="166" xfId="0" applyAlignment="1" applyBorder="1" applyFont="1" applyNumberFormat="1">
      <alignment vertical="center"/>
    </xf>
    <xf borderId="14" fillId="14" fontId="10" numFmtId="168" xfId="0" applyAlignment="1" applyBorder="1" applyFont="1" applyNumberFormat="1">
      <alignment horizontal="center" vertical="center"/>
    </xf>
    <xf borderId="14" fillId="14" fontId="10" numFmtId="168" xfId="0" applyAlignment="1" applyBorder="1" applyFont="1" applyNumberFormat="1">
      <alignment vertical="center"/>
    </xf>
    <xf borderId="0" fillId="0" fontId="14" numFmtId="0" xfId="0" applyAlignment="1" applyFont="1">
      <alignment vertical="center"/>
    </xf>
    <xf borderId="0" fillId="0" fontId="14" numFmtId="168" xfId="0" applyAlignment="1" applyFont="1" applyNumberFormat="1">
      <alignment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0" fillId="0" fontId="7" numFmtId="0" xfId="0" applyAlignment="1" applyFont="1">
      <alignment vertical="bottom"/>
    </xf>
    <xf borderId="0" fillId="0" fontId="16" numFmtId="0" xfId="0" applyFont="1"/>
    <xf borderId="0" fillId="0" fontId="16" numFmtId="0" xfId="0" applyAlignment="1" applyFont="1">
      <alignment horizontal="center"/>
    </xf>
    <xf borderId="0" fillId="0" fontId="16" numFmtId="174" xfId="0" applyFont="1" applyNumberFormat="1"/>
    <xf borderId="0" fillId="0" fontId="28" numFmtId="0" xfId="0" applyAlignment="1" applyFont="1">
      <alignment vertical="center"/>
    </xf>
    <xf borderId="82" fillId="2" fontId="9" numFmtId="0" xfId="0" applyAlignment="1" applyBorder="1" applyFont="1">
      <alignment horizontal="center" readingOrder="0" shrinkToFit="0" wrapText="1"/>
    </xf>
    <xf borderId="83" fillId="2" fontId="9" numFmtId="0" xfId="0" applyAlignment="1" applyBorder="1" applyFont="1">
      <alignment horizontal="center" shrinkToFit="0" wrapText="1"/>
    </xf>
    <xf borderId="84" fillId="2" fontId="9" numFmtId="0" xfId="0" applyAlignment="1" applyBorder="1" applyFont="1">
      <alignment horizontal="center" shrinkToFit="0" wrapText="1"/>
    </xf>
    <xf borderId="85" fillId="0" fontId="15" numFmtId="0" xfId="0" applyBorder="1" applyFont="1"/>
    <xf borderId="86" fillId="0" fontId="15" numFmtId="0" xfId="0" applyBorder="1" applyFont="1"/>
    <xf borderId="87" fillId="0" fontId="15" numFmtId="0" xfId="0" applyBorder="1" applyFont="1"/>
    <xf borderId="0" fillId="0" fontId="29" numFmtId="0" xfId="0" applyAlignment="1" applyFont="1">
      <alignment readingOrder="0" vertical="center"/>
    </xf>
    <xf borderId="59" fillId="6" fontId="16" numFmtId="0" xfId="0" applyAlignment="1" applyBorder="1" applyFont="1">
      <alignment readingOrder="0"/>
    </xf>
    <xf borderId="88" fillId="6" fontId="16" numFmtId="0" xfId="0" applyBorder="1" applyFont="1"/>
    <xf borderId="88" fillId="6" fontId="16" numFmtId="0" xfId="0" applyAlignment="1" applyBorder="1" applyFont="1">
      <alignment horizontal="center"/>
    </xf>
    <xf borderId="88" fillId="6" fontId="16" numFmtId="174" xfId="0" applyBorder="1" applyFont="1" applyNumberFormat="1"/>
    <xf borderId="88" fillId="6" fontId="16" numFmtId="14" xfId="0" applyBorder="1" applyFont="1" applyNumberFormat="1"/>
    <xf borderId="61" fillId="6" fontId="16" numFmtId="14" xfId="0" applyBorder="1" applyFont="1" applyNumberFormat="1"/>
    <xf borderId="29" fillId="4" fontId="30" numFmtId="0" xfId="0" applyAlignment="1" applyBorder="1" applyFont="1">
      <alignment readingOrder="0"/>
    </xf>
    <xf borderId="10" fillId="4" fontId="30" numFmtId="170" xfId="0" applyAlignment="1" applyBorder="1" applyFont="1" applyNumberFormat="1">
      <alignment horizontal="center" readingOrder="0"/>
    </xf>
    <xf borderId="10" fillId="4" fontId="30" numFmtId="170" xfId="0" applyAlignment="1" applyBorder="1" applyFont="1" applyNumberFormat="1">
      <alignment horizontal="center"/>
    </xf>
    <xf borderId="10" fillId="4" fontId="30" numFmtId="10" xfId="0" applyAlignment="1" applyBorder="1" applyFont="1" applyNumberFormat="1">
      <alignment horizontal="center" readingOrder="0"/>
    </xf>
    <xf borderId="10" fillId="4" fontId="30" numFmtId="4" xfId="0" applyAlignment="1" applyBorder="1" applyFont="1" applyNumberFormat="1">
      <alignment horizontal="center" readingOrder="0"/>
    </xf>
    <xf borderId="10" fillId="4" fontId="30" numFmtId="175" xfId="0" applyAlignment="1" applyBorder="1" applyFont="1" applyNumberFormat="1">
      <alignment horizontal="center"/>
    </xf>
    <xf borderId="31" fillId="4" fontId="30" numFmtId="175" xfId="0" applyAlignment="1" applyBorder="1" applyFont="1" applyNumberFormat="1">
      <alignment horizontal="center"/>
    </xf>
    <xf borderId="33" fillId="4" fontId="30" numFmtId="0" xfId="0" applyAlignment="1" applyBorder="1" applyFont="1">
      <alignment readingOrder="0"/>
    </xf>
    <xf borderId="89" fillId="4" fontId="30" numFmtId="170" xfId="0" applyAlignment="1" applyBorder="1" applyFont="1" applyNumberFormat="1">
      <alignment horizontal="center" readingOrder="0"/>
    </xf>
    <xf borderId="89" fillId="4" fontId="30" numFmtId="170" xfId="0" applyAlignment="1" applyBorder="1" applyFont="1" applyNumberFormat="1">
      <alignment horizontal="center"/>
    </xf>
    <xf borderId="89" fillId="4" fontId="30" numFmtId="10" xfId="0" applyAlignment="1" applyBorder="1" applyFont="1" applyNumberFormat="1">
      <alignment horizontal="center" readingOrder="0"/>
    </xf>
    <xf borderId="89" fillId="4" fontId="30" numFmtId="4" xfId="0" applyAlignment="1" applyBorder="1" applyFont="1" applyNumberFormat="1">
      <alignment horizontal="center" readingOrder="0"/>
    </xf>
    <xf borderId="89" fillId="4" fontId="30" numFmtId="175" xfId="0" applyAlignment="1" applyBorder="1" applyFont="1" applyNumberFormat="1">
      <alignment horizontal="center"/>
    </xf>
    <xf borderId="35" fillId="4" fontId="30" numFmtId="175" xfId="0" applyAlignment="1" applyBorder="1" applyFont="1" applyNumberFormat="1">
      <alignment horizontal="center"/>
    </xf>
    <xf borderId="90" fillId="5" fontId="14" numFmtId="0" xfId="0" applyBorder="1" applyFont="1"/>
    <xf borderId="91" fillId="5" fontId="16" numFmtId="0" xfId="0" applyBorder="1" applyFont="1"/>
    <xf borderId="92" fillId="5" fontId="16" numFmtId="0" xfId="0" applyAlignment="1" applyBorder="1" applyFont="1">
      <alignment horizontal="center"/>
    </xf>
    <xf borderId="93" fillId="5" fontId="31" numFmtId="10" xfId="0" applyAlignment="1" applyBorder="1" applyFont="1" applyNumberFormat="1">
      <alignment horizontal="center"/>
    </xf>
    <xf borderId="92" fillId="7" fontId="16" numFmtId="0" xfId="0" applyBorder="1" applyFont="1"/>
    <xf borderId="92" fillId="7" fontId="14" numFmtId="0" xfId="0" applyAlignment="1" applyBorder="1" applyFont="1">
      <alignment horizontal="right"/>
    </xf>
    <xf borderId="66" fillId="7" fontId="14" numFmtId="166" xfId="0" applyAlignment="1" applyBorder="1" applyFont="1" applyNumberFormat="1">
      <alignment horizontal="right"/>
    </xf>
    <xf borderId="22" fillId="5" fontId="31" numFmtId="10" xfId="0" applyBorder="1" applyFont="1" applyNumberFormat="1"/>
    <xf borderId="16" fillId="5" fontId="31" numFmtId="0" xfId="0" applyAlignment="1" applyBorder="1" applyFont="1">
      <alignment horizontal="center" readingOrder="0"/>
    </xf>
    <xf borderId="8" fillId="5" fontId="16" numFmtId="0" xfId="0" applyAlignment="1" applyBorder="1" applyFont="1">
      <alignment horizontal="center"/>
    </xf>
    <xf borderId="16" fillId="5" fontId="31" numFmtId="10" xfId="0" applyAlignment="1" applyBorder="1" applyFont="1" applyNumberFormat="1">
      <alignment horizontal="center"/>
    </xf>
    <xf borderId="94" fillId="5" fontId="31" numFmtId="10" xfId="0" applyAlignment="1" applyBorder="1" applyFont="1" applyNumberFormat="1">
      <alignment horizontal="center" readingOrder="0"/>
    </xf>
    <xf borderId="8" fillId="7" fontId="16" numFmtId="0" xfId="0" applyBorder="1" applyFont="1"/>
    <xf borderId="17" fillId="7" fontId="16" numFmtId="166" xfId="0" applyBorder="1" applyFont="1" applyNumberFormat="1"/>
    <xf borderId="47" fillId="0" fontId="16" numFmtId="0" xfId="0" applyAlignment="1" applyBorder="1" applyFont="1">
      <alignment vertical="bottom"/>
    </xf>
    <xf borderId="48" fillId="0" fontId="16" numFmtId="0" xfId="0" applyAlignment="1" applyBorder="1" applyFont="1">
      <alignment vertical="bottom"/>
    </xf>
    <xf borderId="36" fillId="0" fontId="16" numFmtId="0" xfId="0" applyAlignment="1" applyBorder="1" applyFont="1">
      <alignment vertical="bottom"/>
    </xf>
    <xf borderId="48" fillId="0" fontId="16" numFmtId="174" xfId="0" applyAlignment="1" applyBorder="1" applyFont="1" applyNumberFormat="1">
      <alignment vertical="bottom"/>
    </xf>
    <xf borderId="48" fillId="0" fontId="16" numFmtId="14" xfId="0" applyAlignment="1" applyBorder="1" applyFont="1" applyNumberFormat="1">
      <alignment vertical="bottom"/>
    </xf>
    <xf borderId="74" fillId="0" fontId="16" numFmtId="14" xfId="0" applyAlignment="1" applyBorder="1" applyFont="1" applyNumberFormat="1">
      <alignment vertical="bottom"/>
    </xf>
    <xf borderId="0" fillId="0" fontId="16" numFmtId="0" xfId="0" applyAlignment="1" applyFont="1">
      <alignment vertical="bottom"/>
    </xf>
    <xf borderId="6" fillId="14" fontId="32" numFmtId="0" xfId="0" applyBorder="1" applyFont="1"/>
    <xf borderId="95" fillId="14" fontId="32" numFmtId="0" xfId="0" applyBorder="1" applyFont="1"/>
    <xf borderId="95" fillId="14" fontId="32" numFmtId="0" xfId="0" applyAlignment="1" applyBorder="1" applyFont="1">
      <alignment horizontal="center"/>
    </xf>
    <xf borderId="95" fillId="14" fontId="32" numFmtId="174" xfId="0" applyBorder="1" applyFont="1" applyNumberFormat="1"/>
    <xf borderId="96" fillId="14" fontId="27" numFmtId="0" xfId="0" applyAlignment="1" applyBorder="1" applyFont="1">
      <alignment horizontal="right"/>
    </xf>
    <xf borderId="97" fillId="14" fontId="27" numFmtId="166" xfId="0" applyAlignment="1" applyBorder="1" applyFont="1" applyNumberFormat="1">
      <alignment horizontal="right"/>
    </xf>
    <xf borderId="32" fillId="0" fontId="32" numFmtId="0" xfId="0" applyBorder="1" applyFont="1"/>
    <xf borderId="0" fillId="0" fontId="32" numFmtId="0" xfId="0" applyFont="1"/>
    <xf borderId="0" fillId="0" fontId="32" numFmtId="0" xfId="0" applyAlignment="1" applyFont="1">
      <alignment horizontal="center"/>
    </xf>
    <xf borderId="0" fillId="0" fontId="32" numFmtId="174" xfId="0" applyFont="1" applyNumberFormat="1"/>
    <xf borderId="35" fillId="0" fontId="33" numFmtId="0" xfId="0" applyBorder="1" applyFont="1"/>
    <xf borderId="83" fillId="2" fontId="34" numFmtId="0" xfId="0" applyAlignment="1" applyBorder="1" applyFont="1">
      <alignment horizontal="center" shrinkToFit="0" vertical="bottom" wrapText="1"/>
    </xf>
    <xf borderId="83" fillId="2" fontId="34" numFmtId="174" xfId="0" applyAlignment="1" applyBorder="1" applyFont="1" applyNumberFormat="1">
      <alignment horizontal="center" shrinkToFit="0" vertical="bottom" wrapText="1"/>
    </xf>
    <xf borderId="84" fillId="2" fontId="34" numFmtId="0" xfId="0" applyAlignment="1" applyBorder="1" applyFont="1">
      <alignment horizontal="center" shrinkToFit="0" vertical="bottom" wrapText="1"/>
    </xf>
    <xf borderId="6" fillId="14" fontId="16" numFmtId="0" xfId="0" applyAlignment="1" applyBorder="1" applyFont="1">
      <alignment vertical="bottom"/>
    </xf>
    <xf borderId="95" fillId="14" fontId="16" numFmtId="0" xfId="0" applyAlignment="1" applyBorder="1" applyFont="1">
      <alignment vertical="bottom"/>
    </xf>
    <xf borderId="95" fillId="14" fontId="16" numFmtId="174" xfId="0" applyAlignment="1" applyBorder="1" applyFont="1" applyNumberFormat="1">
      <alignment vertical="bottom"/>
    </xf>
    <xf borderId="96" fillId="14" fontId="14" numFmtId="0" xfId="0" applyAlignment="1" applyBorder="1" applyFont="1">
      <alignment horizontal="right" vertical="bottom"/>
    </xf>
    <xf borderId="97" fillId="14" fontId="14" numFmtId="166" xfId="0" applyAlignment="1" applyBorder="1" applyFont="1" applyNumberFormat="1">
      <alignment horizontal="right" vertical="bottom"/>
    </xf>
    <xf borderId="32" fillId="0" fontId="16" numFmtId="0" xfId="0" applyAlignment="1" applyBorder="1" applyFont="1">
      <alignment vertical="bottom"/>
    </xf>
    <xf borderId="0" fillId="0" fontId="16" numFmtId="0" xfId="0" applyAlignment="1" applyFont="1">
      <alignment vertical="bottom"/>
    </xf>
    <xf borderId="0" fillId="0" fontId="16" numFmtId="174" xfId="0" applyAlignment="1" applyFont="1" applyNumberFormat="1">
      <alignment vertical="bottom"/>
    </xf>
    <xf borderId="35" fillId="0" fontId="16" numFmtId="166" xfId="0" applyAlignment="1" applyBorder="1" applyFont="1" applyNumberFormat="1">
      <alignment vertical="bottom"/>
    </xf>
    <xf borderId="1" fillId="15" fontId="16" numFmtId="0" xfId="0" applyAlignment="1" applyBorder="1" applyFill="1" applyFont="1">
      <alignment vertical="bottom"/>
    </xf>
    <xf borderId="2" fillId="15" fontId="16" numFmtId="0" xfId="0" applyAlignment="1" applyBorder="1" applyFont="1">
      <alignment vertical="bottom"/>
    </xf>
    <xf borderId="2" fillId="15" fontId="16" numFmtId="174" xfId="0" applyAlignment="1" applyBorder="1" applyFont="1" applyNumberFormat="1">
      <alignment vertical="bottom"/>
    </xf>
    <xf borderId="98" fillId="15" fontId="14" numFmtId="0" xfId="0" applyAlignment="1" applyBorder="1" applyFont="1">
      <alignment horizontal="right" vertical="bottom"/>
    </xf>
    <xf borderId="79" fillId="15" fontId="14" numFmtId="166" xfId="0" applyAlignment="1" applyBorder="1" applyFont="1" applyNumberFormat="1">
      <alignment horizontal="right" vertical="bottom"/>
    </xf>
    <xf borderId="0" fillId="0" fontId="7" numFmtId="0" xfId="0" applyAlignment="1" applyFont="1">
      <alignment readingOrder="0" vertical="bottom"/>
    </xf>
    <xf borderId="0" fillId="0" fontId="35" numFmtId="174" xfId="0" applyAlignment="1" applyFont="1" applyNumberFormat="1">
      <alignment horizontal="left" readingOrder="0" vertical="top"/>
    </xf>
    <xf borderId="0" fillId="0" fontId="36" numFmtId="174" xfId="0" applyAlignment="1" applyFont="1" applyNumberFormat="1">
      <alignment horizontal="center" vertical="bottom"/>
    </xf>
    <xf borderId="99" fillId="2" fontId="9" numFmtId="0" xfId="0" applyAlignment="1" applyBorder="1" applyFont="1">
      <alignment horizontal="center" readingOrder="0" shrinkToFit="0" wrapText="1"/>
    </xf>
    <xf borderId="100" fillId="0" fontId="15" numFmtId="0" xfId="0" applyBorder="1" applyFont="1"/>
    <xf borderId="101" fillId="6" fontId="37" numFmtId="0" xfId="0" applyAlignment="1" applyBorder="1" applyFont="1">
      <alignment readingOrder="0"/>
    </xf>
    <xf borderId="61" fillId="6" fontId="37" numFmtId="0" xfId="0" applyAlignment="1" applyBorder="1" applyFont="1">
      <alignment readingOrder="0"/>
    </xf>
    <xf borderId="31" fillId="4" fontId="30" numFmtId="168" xfId="0" applyAlignment="1" applyBorder="1" applyFont="1" applyNumberFormat="1">
      <alignment horizontal="center"/>
    </xf>
    <xf borderId="35" fillId="4" fontId="30" numFmtId="168" xfId="0" applyAlignment="1" applyBorder="1" applyFont="1" applyNumberFormat="1">
      <alignment horizontal="center"/>
    </xf>
    <xf borderId="92" fillId="7" fontId="14" numFmtId="166" xfId="0" applyAlignment="1" applyBorder="1" applyFont="1" applyNumberFormat="1">
      <alignment horizontal="right"/>
    </xf>
    <xf borderId="102" fillId="7" fontId="14" numFmtId="10" xfId="0" applyAlignment="1" applyBorder="1" applyFont="1" applyNumberFormat="1">
      <alignment horizontal="center"/>
    </xf>
    <xf borderId="8" fillId="7" fontId="16" numFmtId="166" xfId="0" applyBorder="1" applyFont="1" applyNumberFormat="1"/>
    <xf borderId="103" fillId="7" fontId="16" numFmtId="10" xfId="0" applyBorder="1" applyFont="1" applyNumberFormat="1"/>
    <xf borderId="17" fillId="7" fontId="16" numFmtId="10" xfId="0" applyBorder="1" applyFont="1" applyNumberFormat="1"/>
    <xf borderId="30" fillId="0" fontId="16" numFmtId="0" xfId="0" applyAlignment="1" applyBorder="1" applyFont="1">
      <alignment vertical="bottom"/>
    </xf>
    <xf borderId="36" fillId="0" fontId="16" numFmtId="174" xfId="0" applyAlignment="1" applyBorder="1" applyFont="1" applyNumberFormat="1">
      <alignment vertical="bottom"/>
    </xf>
    <xf borderId="36" fillId="0" fontId="16" numFmtId="14" xfId="0" applyAlignment="1" applyBorder="1" applyFont="1" applyNumberFormat="1">
      <alignment vertical="bottom"/>
    </xf>
    <xf borderId="74" fillId="0" fontId="37" numFmtId="10" xfId="0" applyAlignment="1" applyBorder="1" applyFont="1" applyNumberFormat="1">
      <alignment readingOrder="0"/>
    </xf>
    <xf borderId="104" fillId="14" fontId="27" numFmtId="166" xfId="0" applyAlignment="1" applyBorder="1" applyFont="1" applyNumberFormat="1">
      <alignment horizontal="right"/>
    </xf>
    <xf borderId="105" fillId="14" fontId="32" numFmtId="10" xfId="0" applyBorder="1" applyFont="1" applyNumberFormat="1"/>
    <xf borderId="0" fillId="0" fontId="33" numFmtId="0" xfId="0" applyFont="1"/>
    <xf borderId="0" fillId="0" fontId="38" numFmtId="0" xfId="0" applyAlignment="1" applyFont="1">
      <alignment vertical="center"/>
    </xf>
    <xf borderId="105" fillId="14" fontId="16" numFmtId="10" xfId="0" applyAlignment="1" applyBorder="1" applyFont="1" applyNumberFormat="1">
      <alignment vertical="bottom"/>
    </xf>
    <xf borderId="0" fillId="0" fontId="16" numFmtId="166" xfId="0" applyAlignment="1" applyFont="1" applyNumberFormat="1">
      <alignment vertical="bottom"/>
    </xf>
    <xf borderId="0" fillId="0" fontId="16" numFmtId="10" xfId="0" applyAlignment="1" applyFont="1" applyNumberFormat="1">
      <alignment vertical="bottom"/>
    </xf>
    <xf borderId="78" fillId="15" fontId="14" numFmtId="166" xfId="0" applyAlignment="1" applyBorder="1" applyFont="1" applyNumberFormat="1">
      <alignment horizontal="right" vertical="bottom"/>
    </xf>
    <xf borderId="106" fillId="15" fontId="16" numFmtId="10" xfId="0" applyAlignment="1" applyBorder="1" applyFont="1" applyNumberFormat="1">
      <alignment horizontal="right" vertical="bottom"/>
    </xf>
    <xf borderId="0" fillId="0" fontId="16" numFmtId="166" xfId="0" applyFont="1" applyNumberFormat="1"/>
    <xf borderId="84" fillId="2" fontId="9" numFmtId="0" xfId="0" applyAlignment="1" applyBorder="1" applyFont="1">
      <alignment horizontal="center" readingOrder="0" shrinkToFit="0" wrapText="1"/>
    </xf>
    <xf borderId="107" fillId="6" fontId="16" numFmtId="0" xfId="0" applyAlignment="1" applyBorder="1" applyFont="1">
      <alignment readingOrder="0"/>
    </xf>
    <xf borderId="108" fillId="6" fontId="16" numFmtId="0" xfId="0" applyBorder="1" applyFont="1"/>
    <xf borderId="108" fillId="6" fontId="16" numFmtId="0" xfId="0" applyAlignment="1" applyBorder="1" applyFont="1">
      <alignment horizontal="center"/>
    </xf>
    <xf borderId="108" fillId="6" fontId="16" numFmtId="174" xfId="0" applyBorder="1" applyFont="1" applyNumberFormat="1"/>
    <xf borderId="108" fillId="6" fontId="16" numFmtId="14" xfId="0" applyBorder="1" applyFont="1" applyNumberFormat="1"/>
    <xf borderId="109" fillId="6" fontId="37" numFmtId="0" xfId="0" applyAlignment="1" applyBorder="1" applyFont="1">
      <alignment readingOrder="0"/>
    </xf>
    <xf borderId="110" fillId="6" fontId="37" numFmtId="0" xfId="0" applyAlignment="1" applyBorder="1" applyFont="1">
      <alignment readingOrder="0"/>
    </xf>
    <xf borderId="21" fillId="5" fontId="31" numFmtId="10" xfId="0" applyBorder="1" applyFont="1" applyNumberFormat="1"/>
    <xf borderId="13" fillId="5" fontId="31" numFmtId="0" xfId="0" applyAlignment="1" applyBorder="1" applyFont="1">
      <alignment horizontal="center" readingOrder="0"/>
    </xf>
    <xf borderId="14" fillId="5" fontId="16" numFmtId="0" xfId="0" applyAlignment="1" applyBorder="1" applyFont="1">
      <alignment horizontal="center"/>
    </xf>
    <xf borderId="13" fillId="5" fontId="31" numFmtId="10" xfId="0" applyAlignment="1" applyBorder="1" applyFont="1" applyNumberFormat="1">
      <alignment horizontal="center"/>
    </xf>
    <xf borderId="10" fillId="5" fontId="31" numFmtId="10" xfId="0" applyAlignment="1" applyBorder="1" applyFont="1" applyNumberFormat="1">
      <alignment horizontal="center" readingOrder="0"/>
    </xf>
    <xf borderId="14" fillId="7" fontId="16" numFmtId="0" xfId="0" applyBorder="1" applyFont="1"/>
    <xf borderId="14" fillId="7" fontId="16" numFmtId="166" xfId="0" applyBorder="1" applyFont="1" applyNumberFormat="1"/>
    <xf borderId="111" fillId="7" fontId="16" numFmtId="10" xfId="0" applyBorder="1" applyFont="1" applyNumberFormat="1"/>
    <xf borderId="15" fillId="7" fontId="16" numFmtId="10" xfId="0" applyBorder="1" applyFont="1" applyNumberFormat="1"/>
    <xf borderId="35" fillId="0" fontId="16" numFmtId="10" xfId="0" applyAlignment="1" applyBorder="1" applyFont="1" applyNumberFormat="1">
      <alignment vertical="bottom"/>
    </xf>
  </cellXfs>
  <cellStyles count="1">
    <cellStyle xfId="0" name="Normal" builtinId="0"/>
  </cellStyles>
  <dxfs count="7">
    <dxf>
      <font>
        <color rgb="FF000000"/>
      </font>
      <fill>
        <patternFill patternType="solid">
          <fgColor rgb="FFF8F6F2"/>
          <bgColor rgb="FFF8F6F2"/>
        </patternFill>
      </fill>
      <border/>
    </dxf>
    <dxf>
      <font>
        <b/>
      </font>
      <fill>
        <patternFill patternType="none"/>
      </fill>
      <border/>
    </dxf>
    <dxf>
      <font>
        <color rgb="FFC53929"/>
      </font>
      <fill>
        <patternFill patternType="solid">
          <fgColor rgb="FFFFFF00"/>
          <bgColor rgb="FFFFFF00"/>
        </patternFill>
      </fill>
      <border/>
    </dxf>
    <dxf>
      <font>
        <color rgb="FFFF0000"/>
      </font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theme="0"/>
          <bgColor theme="0"/>
        </patternFill>
      </fill>
      <border/>
    </dxf>
    <dxf>
      <font>
        <color rgb="FF0000FF"/>
      </font>
      <fill>
        <patternFill patternType="solid">
          <fgColor rgb="FFFFF2CC"/>
          <bgColor rgb="FFFFF2CC"/>
        </patternFill>
      </fill>
      <border/>
    </dxf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2876550" cy="4191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8F6F2"/>
      </a:lt1>
      <a:dk2>
        <a:srgbClr val="000000"/>
      </a:dk2>
      <a:lt2>
        <a:srgbClr val="F8F6F2"/>
      </a:lt2>
      <a:accent1>
        <a:srgbClr val="00303C"/>
      </a:accent1>
      <a:accent2>
        <a:srgbClr val="FF6B1A"/>
      </a:accent2>
      <a:accent3>
        <a:srgbClr val="00713B"/>
      </a:accent3>
      <a:accent4>
        <a:srgbClr val="56BF98"/>
      </a:accent4>
      <a:accent5>
        <a:srgbClr val="2DA5D9"/>
      </a:accent5>
      <a:accent6>
        <a:srgbClr val="98D3F3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://apple.com/BILL" TargetMode="External"/><Relationship Id="rId10" Type="http://schemas.openxmlformats.org/officeDocument/2006/relationships/hyperlink" Target="http://apple.com/BILL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://apple.com/BILL" TargetMode="External"/><Relationship Id="rId1" Type="http://schemas.openxmlformats.org/officeDocument/2006/relationships/hyperlink" Target="http://apple.com/BILL" TargetMode="External"/><Relationship Id="rId2" Type="http://schemas.openxmlformats.org/officeDocument/2006/relationships/hyperlink" Target="http://apple.com/BILL" TargetMode="External"/><Relationship Id="rId3" Type="http://schemas.openxmlformats.org/officeDocument/2006/relationships/hyperlink" Target="http://apple.com/BILL" TargetMode="External"/><Relationship Id="rId4" Type="http://schemas.openxmlformats.org/officeDocument/2006/relationships/hyperlink" Target="http://apple.com/BILL" TargetMode="External"/><Relationship Id="rId9" Type="http://schemas.openxmlformats.org/officeDocument/2006/relationships/hyperlink" Target="http://apple.com/BILL" TargetMode="External"/><Relationship Id="rId5" Type="http://schemas.openxmlformats.org/officeDocument/2006/relationships/hyperlink" Target="http://apple.com/BILL" TargetMode="External"/><Relationship Id="rId6" Type="http://schemas.openxmlformats.org/officeDocument/2006/relationships/hyperlink" Target="http://apple.com/BILL" TargetMode="External"/><Relationship Id="rId7" Type="http://schemas.openxmlformats.org/officeDocument/2006/relationships/hyperlink" Target="http://apple.com/BILL" TargetMode="External"/><Relationship Id="rId8" Type="http://schemas.openxmlformats.org/officeDocument/2006/relationships/hyperlink" Target="http://apple.com/BILL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 outlineLevelRow="1"/>
  <cols>
    <col customWidth="1" min="1" max="1" width="2.63"/>
    <col customWidth="1" min="2" max="2" width="35.0"/>
    <col customWidth="1" min="3" max="3" width="21.0"/>
    <col customWidth="1" min="4" max="4" width="27.88"/>
    <col customWidth="1" min="5" max="5" width="23.5"/>
    <col customWidth="1" min="6" max="6" width="22.75"/>
    <col customWidth="1" min="7" max="7" width="22.63"/>
    <col customWidth="1" min="8" max="8" width="19.0"/>
    <col customWidth="1" min="9" max="9" width="22.25"/>
    <col customWidth="1" min="10" max="10" width="19.75"/>
    <col customWidth="1" min="11" max="11" width="19.88"/>
    <col customWidth="1" min="12" max="12" width="14.25"/>
    <col customWidth="1" min="13" max="13" width="4.25"/>
    <col customWidth="1" min="14" max="14" width="19.88"/>
    <col customWidth="1" min="15" max="15" width="17.88"/>
    <col customWidth="1" min="16" max="16" width="4.25"/>
    <col customWidth="1" min="17" max="17" width="19.88"/>
    <col customWidth="1" min="18" max="18" width="16.0"/>
    <col customWidth="1" min="19" max="19" width="18.13"/>
    <col customWidth="1" min="20" max="20" width="19.88"/>
    <col customWidth="1" min="21" max="24" width="8.88"/>
  </cols>
  <sheetData>
    <row r="1" ht="25.5" customHeight="1">
      <c r="B1" s="1"/>
      <c r="C1" s="1"/>
      <c r="D1" s="2"/>
      <c r="E1" s="3"/>
      <c r="F1" s="4"/>
      <c r="G1" s="5"/>
      <c r="H1" s="5"/>
      <c r="I1" s="5"/>
      <c r="J1" s="5"/>
      <c r="K1" s="5"/>
    </row>
    <row r="2" ht="25.5" customHeight="1">
      <c r="B2" s="6"/>
      <c r="C2" s="5"/>
      <c r="D2" s="7"/>
      <c r="E2" s="3"/>
      <c r="F2" s="4"/>
      <c r="G2" s="5"/>
      <c r="H2" s="5"/>
    </row>
    <row r="3">
      <c r="A3" s="8" t="s">
        <v>0</v>
      </c>
      <c r="B3" s="8"/>
      <c r="C3" s="5"/>
      <c r="D3" s="7"/>
      <c r="E3" s="3"/>
      <c r="F3" s="4"/>
      <c r="G3" s="5"/>
      <c r="H3" s="5"/>
    </row>
    <row r="4">
      <c r="B4" s="9"/>
      <c r="C4" s="5"/>
      <c r="D4" s="5"/>
      <c r="E4" s="3"/>
      <c r="F4" s="5"/>
      <c r="G4" s="5"/>
      <c r="H4" s="5"/>
    </row>
    <row r="5" ht="19.5" customHeight="1">
      <c r="B5" s="10" t="s">
        <v>1</v>
      </c>
      <c r="C5" s="11" t="s">
        <v>2</v>
      </c>
      <c r="D5" s="11" t="s">
        <v>3</v>
      </c>
      <c r="E5" s="11" t="s">
        <v>4</v>
      </c>
      <c r="F5" s="11" t="s">
        <v>5</v>
      </c>
      <c r="G5" s="11" t="s">
        <v>6</v>
      </c>
      <c r="H5" s="11" t="s">
        <v>7</v>
      </c>
      <c r="I5" s="11" t="s">
        <v>8</v>
      </c>
      <c r="J5" s="12" t="s">
        <v>9</v>
      </c>
      <c r="K5" s="12" t="s">
        <v>10</v>
      </c>
    </row>
    <row r="6">
      <c r="B6" s="13" t="s">
        <v>11</v>
      </c>
      <c r="C6" s="14"/>
      <c r="D6" s="15"/>
      <c r="E6" s="16"/>
      <c r="F6" s="17"/>
      <c r="G6" s="17"/>
      <c r="H6" s="18"/>
      <c r="I6" s="18"/>
      <c r="J6" s="19"/>
      <c r="K6" s="19"/>
    </row>
    <row r="7" ht="18.75" customHeight="1">
      <c r="B7" s="20" t="s">
        <v>12</v>
      </c>
      <c r="C7" s="21"/>
      <c r="D7" s="22"/>
      <c r="E7" s="23"/>
      <c r="F7" s="24"/>
      <c r="G7" s="24"/>
      <c r="H7" s="25"/>
      <c r="I7" s="25"/>
      <c r="J7" s="26"/>
      <c r="K7" s="26"/>
    </row>
    <row r="8" ht="19.5" customHeight="1">
      <c r="B8" s="4"/>
      <c r="C8" s="4"/>
      <c r="D8" s="4"/>
      <c r="E8" s="27"/>
      <c r="F8" s="3"/>
      <c r="G8" s="4"/>
      <c r="H8" s="5"/>
      <c r="I8" s="5"/>
      <c r="J8" s="5"/>
      <c r="K8" s="5"/>
    </row>
    <row r="9" ht="19.5" customHeight="1">
      <c r="B9" s="10" t="s">
        <v>13</v>
      </c>
      <c r="C9" s="11" t="s">
        <v>2</v>
      </c>
      <c r="D9" s="11" t="s">
        <v>3</v>
      </c>
      <c r="E9" s="11" t="s">
        <v>4</v>
      </c>
      <c r="F9" s="11" t="s">
        <v>5</v>
      </c>
      <c r="G9" s="28" t="s">
        <v>14</v>
      </c>
      <c r="H9" s="5"/>
      <c r="I9" s="5"/>
      <c r="J9" s="5"/>
      <c r="K9" s="29"/>
    </row>
    <row r="10" ht="19.5" customHeight="1">
      <c r="B10" s="13" t="s">
        <v>15</v>
      </c>
      <c r="C10" s="30"/>
      <c r="D10" s="31"/>
      <c r="E10" s="32"/>
      <c r="F10" s="33"/>
      <c r="G10" s="34"/>
      <c r="H10" s="5"/>
      <c r="I10" s="5"/>
      <c r="J10" s="5"/>
      <c r="K10" s="35"/>
    </row>
    <row r="11" ht="19.5" customHeight="1">
      <c r="B11" s="13" t="s">
        <v>16</v>
      </c>
      <c r="C11" s="36"/>
      <c r="D11" s="37"/>
      <c r="E11" s="38"/>
      <c r="F11" s="39" t="str">
        <f>IFERROR(__xludf.DUMMYFUNCTION("IF(isdate(E11),if(E11&gt;today(),0,INT(YEARFRAC(TODAY(),E11,1))),"""")"),"")</f>
        <v/>
      </c>
      <c r="G11" s="40" t="str">
        <f>IFERROR(__xludf.DUMMYFUNCTION("if(isdate(E11),IF(MONTH(E11)&gt;=9,6,5)+YEAR(E11),"""")"),"")</f>
        <v/>
      </c>
      <c r="H11" s="5"/>
      <c r="I11" s="5"/>
      <c r="J11" s="5"/>
      <c r="K11" s="35"/>
    </row>
    <row r="12" ht="19.5" customHeight="1">
      <c r="B12" s="13" t="s">
        <v>17</v>
      </c>
      <c r="C12" s="36"/>
      <c r="D12" s="37"/>
      <c r="E12" s="38"/>
      <c r="F12" s="39" t="str">
        <f>IFERROR(__xludf.DUMMYFUNCTION("IF(isdate(E12),if(E12&gt;today(),0,INT(YEARFRAC(TODAY(),E12,1))),"""")"),"")</f>
        <v/>
      </c>
      <c r="G12" s="40" t="str">
        <f>IFERROR(__xludf.DUMMYFUNCTION("if(isdate(E12),IF(MONTH(E12)&gt;=9,6,5)+YEAR(E12),"""")"),"")</f>
        <v/>
      </c>
      <c r="H12" s="5"/>
      <c r="I12" s="4"/>
      <c r="K12" s="35"/>
    </row>
    <row r="13" ht="19.5" customHeight="1">
      <c r="B13" s="20" t="s">
        <v>18</v>
      </c>
      <c r="C13" s="41"/>
      <c r="D13" s="22"/>
      <c r="E13" s="42"/>
      <c r="F13" s="43" t="str">
        <f>IFERROR(__xludf.DUMMYFUNCTION("IF(isdate(E13),if(E13&gt;today(),0,INT(YEARFRAC(TODAY(),E13,1))),"""")"),"")</f>
        <v/>
      </c>
      <c r="G13" s="44" t="str">
        <f>IFERROR(__xludf.DUMMYFUNCTION("if(isdate(E13),IF(MONTH(E13)&gt;=9,6,5)+YEAR(E13),"""")"),"")</f>
        <v/>
      </c>
      <c r="H13" s="5"/>
      <c r="I13" s="5"/>
      <c r="J13" s="5"/>
      <c r="K13" s="5"/>
    </row>
    <row r="14" ht="19.5" customHeight="1">
      <c r="B14" s="45"/>
      <c r="C14" s="46"/>
      <c r="D14" s="46"/>
      <c r="E14" s="47"/>
      <c r="F14" s="3"/>
      <c r="G14" s="48"/>
      <c r="H14" s="5"/>
      <c r="I14" s="5"/>
      <c r="J14" s="5"/>
      <c r="K14" s="5"/>
    </row>
    <row r="15">
      <c r="A15" s="8" t="s">
        <v>19</v>
      </c>
      <c r="B15" s="8"/>
      <c r="C15" s="46"/>
      <c r="D15" s="46"/>
      <c r="E15" s="49"/>
      <c r="F15" s="3"/>
      <c r="G15" s="48"/>
      <c r="H15" s="5"/>
      <c r="I15" s="5"/>
      <c r="J15" s="5"/>
      <c r="K15" s="5"/>
    </row>
    <row r="16" ht="26.25" customHeight="1">
      <c r="B16" s="50" t="s">
        <v>20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</row>
    <row r="17">
      <c r="A17" s="51"/>
      <c r="B17" s="52" t="s">
        <v>21</v>
      </c>
      <c r="C17" s="53" t="s">
        <v>22</v>
      </c>
      <c r="D17" s="53" t="s">
        <v>23</v>
      </c>
      <c r="E17" s="53" t="s">
        <v>24</v>
      </c>
      <c r="F17" s="53" t="s">
        <v>25</v>
      </c>
      <c r="G17" s="53" t="s">
        <v>26</v>
      </c>
      <c r="H17" s="53" t="s">
        <v>27</v>
      </c>
      <c r="I17" s="53" t="s">
        <v>28</v>
      </c>
      <c r="J17" s="54" t="s">
        <v>29</v>
      </c>
      <c r="K17" s="3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1"/>
    </row>
    <row r="18" ht="19.5" customHeight="1">
      <c r="B18" s="56"/>
      <c r="C18" s="57"/>
      <c r="D18" s="57"/>
      <c r="E18" s="58"/>
      <c r="F18" s="57"/>
      <c r="G18" s="58"/>
      <c r="H18" s="57"/>
      <c r="I18" s="58"/>
      <c r="J18" s="59"/>
      <c r="K18" s="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 ht="19.5" customHeight="1">
      <c r="B19" s="56"/>
      <c r="C19" s="57"/>
      <c r="D19" s="57"/>
      <c r="E19" s="58"/>
      <c r="F19" s="57"/>
      <c r="G19" s="58"/>
      <c r="H19" s="57"/>
      <c r="I19" s="58"/>
      <c r="J19" s="59"/>
      <c r="K19" s="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 ht="19.5" customHeight="1">
      <c r="B20" s="56"/>
      <c r="C20" s="57"/>
      <c r="D20" s="57"/>
      <c r="E20" s="58"/>
      <c r="F20" s="57"/>
      <c r="G20" s="58"/>
      <c r="H20" s="57"/>
      <c r="I20" s="58"/>
      <c r="J20" s="59"/>
      <c r="K20" s="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 ht="19.5" customHeight="1">
      <c r="B21" s="56"/>
      <c r="C21" s="57"/>
      <c r="D21" s="57"/>
      <c r="E21" s="58"/>
      <c r="F21" s="57"/>
      <c r="G21" s="58"/>
      <c r="H21" s="57"/>
      <c r="I21" s="58"/>
      <c r="J21" s="59"/>
      <c r="K21" s="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 ht="19.5" customHeight="1">
      <c r="B22" s="56"/>
      <c r="C22" s="57"/>
      <c r="D22" s="57"/>
      <c r="E22" s="58"/>
      <c r="F22" s="57"/>
      <c r="G22" s="58"/>
      <c r="H22" s="57"/>
      <c r="I22" s="58"/>
      <c r="J22" s="59"/>
      <c r="K22" s="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</row>
    <row r="23" ht="19.5" customHeight="1">
      <c r="B23" s="56"/>
      <c r="C23" s="57"/>
      <c r="D23" s="57"/>
      <c r="E23" s="58"/>
      <c r="F23" s="57"/>
      <c r="G23" s="58"/>
      <c r="H23" s="57"/>
      <c r="I23" s="58"/>
      <c r="J23" s="59"/>
      <c r="K23" s="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</row>
    <row r="24" ht="19.5" customHeight="1">
      <c r="B24" s="56"/>
      <c r="C24" s="57"/>
      <c r="D24" s="57"/>
      <c r="E24" s="58"/>
      <c r="F24" s="57"/>
      <c r="G24" s="58"/>
      <c r="H24" s="57"/>
      <c r="I24" s="58"/>
      <c r="J24" s="59"/>
      <c r="K24" s="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</row>
    <row r="25" ht="19.5" customHeight="1">
      <c r="B25" s="56"/>
      <c r="C25" s="57"/>
      <c r="D25" s="57"/>
      <c r="E25" s="58"/>
      <c r="F25" s="57"/>
      <c r="G25" s="58"/>
      <c r="H25" s="57"/>
      <c r="I25" s="58"/>
      <c r="J25" s="59"/>
      <c r="K25" s="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</row>
    <row r="26" ht="19.5" customHeight="1">
      <c r="B26" s="56"/>
      <c r="C26" s="57"/>
      <c r="D26" s="57"/>
      <c r="E26" s="58"/>
      <c r="F26" s="57"/>
      <c r="G26" s="58"/>
      <c r="H26" s="57"/>
      <c r="I26" s="58"/>
      <c r="J26" s="59"/>
      <c r="K26" s="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</row>
    <row r="27" ht="19.5" customHeight="1">
      <c r="B27" s="56"/>
      <c r="C27" s="57"/>
      <c r="D27" s="57"/>
      <c r="E27" s="58"/>
      <c r="F27" s="57"/>
      <c r="G27" s="58"/>
      <c r="H27" s="57"/>
      <c r="I27" s="58"/>
      <c r="J27" s="59"/>
      <c r="K27" s="4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</row>
    <row r="28" ht="19.5" customHeight="1">
      <c r="B28" s="56"/>
      <c r="C28" s="57"/>
      <c r="D28" s="57"/>
      <c r="E28" s="58"/>
      <c r="F28" s="57"/>
      <c r="G28" s="58"/>
      <c r="H28" s="57"/>
      <c r="I28" s="58"/>
      <c r="J28" s="59"/>
      <c r="K28" s="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</row>
    <row r="29" ht="19.5" customHeight="1">
      <c r="B29" s="56"/>
      <c r="C29" s="57"/>
      <c r="D29" s="57"/>
      <c r="E29" s="58"/>
      <c r="F29" s="57"/>
      <c r="G29" s="58"/>
      <c r="H29" s="57"/>
      <c r="I29" s="58"/>
      <c r="J29" s="59"/>
      <c r="K29" s="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</row>
    <row r="30" ht="19.5" customHeight="1">
      <c r="B30" s="56"/>
      <c r="C30" s="57"/>
      <c r="D30" s="57"/>
      <c r="E30" s="58"/>
      <c r="F30" s="57"/>
      <c r="G30" s="58"/>
      <c r="H30" s="57"/>
      <c r="I30" s="58"/>
      <c r="J30" s="59"/>
      <c r="K30" s="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</row>
    <row r="31" ht="19.5" customHeight="1">
      <c r="B31" s="56"/>
      <c r="C31" s="57"/>
      <c r="D31" s="57"/>
      <c r="E31" s="58"/>
      <c r="F31" s="57"/>
      <c r="G31" s="58"/>
      <c r="H31" s="57"/>
      <c r="I31" s="58"/>
      <c r="J31" s="59"/>
      <c r="K31" s="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</row>
    <row r="32" ht="19.5" customHeight="1">
      <c r="B32" s="56"/>
      <c r="C32" s="57"/>
      <c r="D32" s="57"/>
      <c r="E32" s="58"/>
      <c r="F32" s="57"/>
      <c r="G32" s="58"/>
      <c r="H32" s="57"/>
      <c r="I32" s="58"/>
      <c r="J32" s="59"/>
      <c r="K32" s="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</row>
    <row r="33" ht="19.5" customHeight="1">
      <c r="B33" s="56"/>
      <c r="C33" s="57"/>
      <c r="D33" s="57"/>
      <c r="E33" s="58"/>
      <c r="F33" s="57"/>
      <c r="G33" s="58"/>
      <c r="H33" s="57"/>
      <c r="I33" s="58"/>
      <c r="J33" s="59"/>
      <c r="K33" s="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 ht="19.5" customHeight="1">
      <c r="B34" s="56"/>
      <c r="C34" s="57"/>
      <c r="D34" s="57"/>
      <c r="E34" s="58"/>
      <c r="F34" s="57"/>
      <c r="G34" s="58"/>
      <c r="H34" s="57"/>
      <c r="I34" s="58"/>
      <c r="J34" s="59"/>
      <c r="K34" s="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</row>
    <row r="35" ht="19.5" customHeight="1">
      <c r="B35" s="56"/>
      <c r="C35" s="57"/>
      <c r="D35" s="57"/>
      <c r="E35" s="58"/>
      <c r="F35" s="57"/>
      <c r="G35" s="58"/>
      <c r="H35" s="57"/>
      <c r="I35" s="58"/>
      <c r="J35" s="59"/>
      <c r="K35" s="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</row>
    <row r="36" ht="19.5" customHeight="1">
      <c r="B36" s="56"/>
      <c r="C36" s="57"/>
      <c r="D36" s="57"/>
      <c r="E36" s="58"/>
      <c r="F36" s="57"/>
      <c r="G36" s="58"/>
      <c r="H36" s="57"/>
      <c r="I36" s="58"/>
      <c r="J36" s="59"/>
      <c r="K36" s="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</row>
    <row r="37" ht="19.5" customHeight="1">
      <c r="B37" s="56"/>
      <c r="C37" s="57"/>
      <c r="D37" s="57"/>
      <c r="E37" s="58"/>
      <c r="F37" s="57"/>
      <c r="G37" s="58"/>
      <c r="H37" s="57"/>
      <c r="I37" s="58"/>
      <c r="J37" s="59"/>
      <c r="K37" s="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ht="19.5" customHeight="1">
      <c r="B38" s="60"/>
      <c r="C38" s="61"/>
      <c r="D38" s="61"/>
      <c r="E38" s="61"/>
      <c r="F38" s="61"/>
      <c r="G38" s="61"/>
      <c r="H38" s="61"/>
      <c r="I38" s="61"/>
      <c r="J38" s="62"/>
      <c r="K38" s="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</row>
    <row r="40">
      <c r="A40" s="63" t="s">
        <v>30</v>
      </c>
      <c r="C40" s="64"/>
      <c r="D40" s="64"/>
      <c r="E40" s="64"/>
      <c r="G40" s="64"/>
      <c r="H40" s="64"/>
      <c r="J40" s="64"/>
      <c r="K40" s="64"/>
      <c r="M40" s="64"/>
      <c r="N40" s="64"/>
      <c r="P40" s="64"/>
      <c r="Q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</row>
    <row r="41" ht="19.5" customHeight="1">
      <c r="A41" s="64"/>
      <c r="B41" s="65"/>
      <c r="C41" s="65"/>
      <c r="D41" s="65"/>
      <c r="E41" s="65"/>
      <c r="F41" s="66"/>
      <c r="G41" s="65"/>
      <c r="H41" s="65"/>
      <c r="I41" s="66"/>
      <c r="J41" s="65"/>
      <c r="K41" s="65"/>
      <c r="L41" s="66"/>
      <c r="M41" s="65"/>
      <c r="N41" s="65"/>
      <c r="O41" s="66"/>
      <c r="P41" s="65"/>
      <c r="Q41" s="65"/>
      <c r="R41" s="66"/>
      <c r="S41" s="65"/>
      <c r="T41" s="65"/>
      <c r="U41" s="65"/>
      <c r="V41" s="65"/>
      <c r="W41" s="65"/>
      <c r="X41" s="65"/>
      <c r="Y41" s="65"/>
      <c r="Z41" s="65"/>
      <c r="AA41" s="65"/>
      <c r="AB41" s="65"/>
      <c r="AC41" s="65"/>
      <c r="AD41" s="65"/>
    </row>
    <row r="42" ht="19.5" customHeight="1">
      <c r="A42" s="64"/>
      <c r="B42" s="67"/>
      <c r="C42" s="68" t="s">
        <v>31</v>
      </c>
      <c r="D42" s="69" t="s">
        <v>32</v>
      </c>
      <c r="E42" s="70"/>
      <c r="F42" s="69" t="s">
        <v>33</v>
      </c>
      <c r="G42" s="70"/>
      <c r="H42" s="71"/>
      <c r="I42" s="71"/>
      <c r="J42" s="71"/>
      <c r="K42" s="71"/>
    </row>
    <row r="43" ht="53.25" customHeight="1">
      <c r="A43" s="64"/>
      <c r="B43" s="72"/>
      <c r="C43" s="73" t="s">
        <v>34</v>
      </c>
      <c r="D43" s="74"/>
      <c r="E43" s="75"/>
      <c r="F43" s="76"/>
      <c r="G43" s="77"/>
      <c r="H43" s="71"/>
      <c r="I43" s="71"/>
      <c r="J43" s="71"/>
      <c r="K43" s="71"/>
    </row>
    <row r="44" ht="19.5" customHeight="1">
      <c r="A44" s="64"/>
      <c r="B44" s="78" t="s">
        <v>35</v>
      </c>
      <c r="C44" s="79"/>
      <c r="D44" s="80"/>
      <c r="E44" s="81"/>
      <c r="F44" s="82"/>
      <c r="G44" s="83"/>
      <c r="H44" s="71"/>
      <c r="I44" s="71"/>
      <c r="J44" s="71"/>
      <c r="K44" s="71"/>
    </row>
    <row r="45" ht="19.5" customHeight="1" outlineLevel="1">
      <c r="A45" s="64"/>
      <c r="B45" s="84"/>
      <c r="C45" s="85" t="s">
        <v>36</v>
      </c>
      <c r="D45" s="86" t="str">
        <f>'Data Input'!$C$6</f>
        <v/>
      </c>
      <c r="E45" s="87" t="str">
        <f>'Data Input'!$C$7</f>
        <v/>
      </c>
      <c r="F45" s="86" t="str">
        <f t="shared" ref="F45:G45" si="1">D45</f>
        <v/>
      </c>
      <c r="G45" s="87" t="str">
        <f t="shared" si="1"/>
        <v/>
      </c>
      <c r="H45" s="71"/>
      <c r="I45" s="71"/>
      <c r="J45" s="71"/>
      <c r="K45" s="71"/>
    </row>
    <row r="46" ht="19.5" customHeight="1" outlineLevel="1">
      <c r="A46" s="64"/>
      <c r="B46" s="88"/>
      <c r="C46" s="89" t="s">
        <v>37</v>
      </c>
      <c r="D46" s="90"/>
      <c r="E46" s="91"/>
      <c r="F46" s="92">
        <f t="shared" ref="F46:G46" si="2">D46*D43</f>
        <v>0</v>
      </c>
      <c r="G46" s="93">
        <f t="shared" si="2"/>
        <v>0</v>
      </c>
      <c r="H46" s="71"/>
      <c r="I46" s="71"/>
      <c r="J46" s="71"/>
      <c r="K46" s="71"/>
    </row>
    <row r="47" ht="19.5" customHeight="1" outlineLevel="1">
      <c r="A47" s="64"/>
      <c r="B47" s="88"/>
      <c r="C47" s="94" t="s">
        <v>38</v>
      </c>
      <c r="D47" s="95"/>
      <c r="E47" s="96"/>
      <c r="F47" s="90"/>
      <c r="G47" s="90"/>
      <c r="H47" s="71"/>
      <c r="I47" s="71"/>
      <c r="J47" s="71"/>
      <c r="K47" s="71"/>
    </row>
    <row r="48" ht="19.5" customHeight="1" outlineLevel="1">
      <c r="A48" s="64"/>
      <c r="B48" s="88"/>
      <c r="C48" s="89" t="s">
        <v>39</v>
      </c>
      <c r="D48" s="95"/>
      <c r="E48" s="96"/>
      <c r="F48" s="90"/>
      <c r="G48" s="90"/>
      <c r="H48" s="71"/>
      <c r="I48" s="71"/>
      <c r="J48" s="71"/>
      <c r="K48" s="71"/>
    </row>
    <row r="49" ht="19.5" customHeight="1" outlineLevel="1">
      <c r="A49" s="64"/>
      <c r="B49" s="88"/>
      <c r="C49" s="94" t="s">
        <v>40</v>
      </c>
      <c r="D49" s="95"/>
      <c r="E49" s="96"/>
      <c r="F49" s="90"/>
      <c r="G49" s="90"/>
      <c r="H49" s="71"/>
      <c r="I49" s="71"/>
      <c r="J49" s="71"/>
      <c r="K49" s="71"/>
    </row>
    <row r="50" ht="19.5" customHeight="1" outlineLevel="1">
      <c r="A50" s="64"/>
      <c r="B50" s="88"/>
      <c r="C50" s="94" t="s">
        <v>41</v>
      </c>
      <c r="D50" s="95"/>
      <c r="E50" s="96"/>
      <c r="F50" s="90"/>
      <c r="G50" s="90"/>
      <c r="H50" s="71"/>
      <c r="I50" s="71"/>
      <c r="J50" s="71"/>
      <c r="K50" s="71"/>
    </row>
    <row r="51" ht="19.5" customHeight="1">
      <c r="A51" s="64"/>
      <c r="B51" s="97"/>
      <c r="C51" s="98" t="s">
        <v>42</v>
      </c>
      <c r="D51" s="99">
        <f t="shared" ref="D51:G51" si="3">SUM(D46:D50)</f>
        <v>0</v>
      </c>
      <c r="E51" s="100">
        <f t="shared" si="3"/>
        <v>0</v>
      </c>
      <c r="F51" s="101">
        <f t="shared" si="3"/>
        <v>0</v>
      </c>
      <c r="G51" s="102">
        <f t="shared" si="3"/>
        <v>0</v>
      </c>
      <c r="H51" s="71"/>
      <c r="I51" s="71"/>
      <c r="J51" s="71"/>
      <c r="K51" s="71"/>
    </row>
    <row r="52" ht="19.5" customHeight="1" outlineLevel="1">
      <c r="A52" s="64"/>
      <c r="B52" s="84"/>
      <c r="C52" s="103" t="s">
        <v>43</v>
      </c>
      <c r="D52" s="104"/>
      <c r="E52" s="105"/>
      <c r="F52" s="106"/>
      <c r="G52" s="107"/>
      <c r="H52" s="71"/>
      <c r="I52" s="71"/>
      <c r="J52" s="71"/>
      <c r="K52" s="71"/>
    </row>
    <row r="53" ht="19.5" customHeight="1" outlineLevel="1">
      <c r="A53" s="64"/>
      <c r="B53" s="108"/>
      <c r="C53" s="109" t="s">
        <v>44</v>
      </c>
      <c r="D53" s="110"/>
      <c r="E53" s="111"/>
      <c r="F53" s="112"/>
      <c r="G53" s="113"/>
      <c r="H53" s="71"/>
      <c r="I53" s="71"/>
      <c r="J53" s="71"/>
      <c r="K53" s="71"/>
    </row>
    <row r="54" ht="19.5" customHeight="1" outlineLevel="1">
      <c r="A54" s="64"/>
      <c r="B54" s="108"/>
      <c r="C54" s="109" t="s">
        <v>45</v>
      </c>
      <c r="D54" s="114"/>
      <c r="E54" s="115"/>
      <c r="F54" s="112"/>
      <c r="G54" s="113"/>
      <c r="H54" s="71"/>
      <c r="I54" s="71"/>
      <c r="J54" s="71"/>
      <c r="K54" s="71"/>
    </row>
    <row r="55" ht="19.5" customHeight="1" outlineLevel="1">
      <c r="A55" s="64"/>
      <c r="B55" s="108"/>
      <c r="C55" s="109" t="s">
        <v>46</v>
      </c>
      <c r="D55" s="114"/>
      <c r="E55" s="115"/>
      <c r="F55" s="112"/>
      <c r="G55" s="113"/>
      <c r="H55" s="71"/>
      <c r="I55" s="71"/>
      <c r="J55" s="71"/>
      <c r="K55" s="71"/>
    </row>
    <row r="56" ht="19.5" customHeight="1" outlineLevel="1">
      <c r="A56" s="64"/>
      <c r="B56" s="108"/>
      <c r="C56" s="109" t="s">
        <v>47</v>
      </c>
      <c r="D56" s="114"/>
      <c r="E56" s="115"/>
      <c r="F56" s="112"/>
      <c r="G56" s="113"/>
      <c r="H56" s="71"/>
      <c r="I56" s="71"/>
      <c r="J56" s="71"/>
      <c r="K56" s="71"/>
    </row>
    <row r="57" ht="19.5" customHeight="1">
      <c r="A57" s="64"/>
      <c r="B57" s="97"/>
      <c r="C57" s="116" t="s">
        <v>48</v>
      </c>
      <c r="D57" s="99"/>
      <c r="E57" s="100"/>
      <c r="F57" s="101">
        <f t="shared" ref="F57:G57" si="4">SUM(F53:F56)</f>
        <v>0</v>
      </c>
      <c r="G57" s="102">
        <f t="shared" si="4"/>
        <v>0</v>
      </c>
      <c r="H57" s="71"/>
      <c r="I57" s="71"/>
      <c r="J57" s="71"/>
      <c r="K57" s="71"/>
    </row>
    <row r="58" ht="19.5" customHeight="1">
      <c r="A58" s="64"/>
      <c r="B58" s="78" t="s">
        <v>49</v>
      </c>
      <c r="C58" s="79"/>
      <c r="D58" s="80"/>
      <c r="E58" s="81"/>
      <c r="F58" s="82"/>
      <c r="G58" s="83"/>
      <c r="H58" s="71"/>
      <c r="I58" s="71"/>
      <c r="J58" s="71"/>
      <c r="K58" s="71"/>
    </row>
    <row r="59" ht="19.5" customHeight="1" outlineLevel="1">
      <c r="A59" s="64"/>
      <c r="B59" s="84"/>
      <c r="C59" s="85" t="s">
        <v>50</v>
      </c>
      <c r="D59" s="86"/>
      <c r="E59" s="87"/>
      <c r="F59" s="86"/>
      <c r="G59" s="87"/>
      <c r="H59" s="71"/>
      <c r="I59" s="71"/>
      <c r="J59" s="71"/>
      <c r="K59" s="71"/>
    </row>
    <row r="60" ht="19.5" customHeight="1" outlineLevel="1">
      <c r="A60" s="64"/>
      <c r="B60" s="88"/>
      <c r="C60" s="117" t="s">
        <v>51</v>
      </c>
      <c r="D60" s="118"/>
      <c r="E60" s="118"/>
      <c r="F60" s="92">
        <f t="shared" ref="F60:F66" si="5">D60*$D$43</f>
        <v>0</v>
      </c>
      <c r="G60" s="93">
        <f t="shared" ref="G60:G66" si="6">E60*$E$43</f>
        <v>0</v>
      </c>
      <c r="H60" s="71"/>
      <c r="I60" s="71"/>
      <c r="J60" s="71"/>
      <c r="K60" s="71"/>
    </row>
    <row r="61" ht="19.5" customHeight="1" outlineLevel="1">
      <c r="A61" s="64"/>
      <c r="B61" s="88"/>
      <c r="C61" s="117" t="s">
        <v>52</v>
      </c>
      <c r="D61" s="118"/>
      <c r="E61" s="118"/>
      <c r="F61" s="92">
        <f t="shared" si="5"/>
        <v>0</v>
      </c>
      <c r="G61" s="93">
        <f t="shared" si="6"/>
        <v>0</v>
      </c>
      <c r="H61" s="71"/>
      <c r="I61" s="71"/>
      <c r="J61" s="71"/>
      <c r="K61" s="71"/>
    </row>
    <row r="62" ht="19.5" customHeight="1" outlineLevel="1">
      <c r="A62" s="64"/>
      <c r="B62" s="88"/>
      <c r="C62" s="117" t="s">
        <v>53</v>
      </c>
      <c r="D62" s="118"/>
      <c r="E62" s="118"/>
      <c r="F62" s="92">
        <f t="shared" si="5"/>
        <v>0</v>
      </c>
      <c r="G62" s="93">
        <f t="shared" si="6"/>
        <v>0</v>
      </c>
      <c r="H62" s="71"/>
      <c r="I62" s="71"/>
      <c r="J62" s="71"/>
      <c r="K62" s="71"/>
    </row>
    <row r="63" ht="19.5" customHeight="1" outlineLevel="1">
      <c r="A63" s="64"/>
      <c r="B63" s="88"/>
      <c r="C63" s="117" t="s">
        <v>54</v>
      </c>
      <c r="D63" s="118"/>
      <c r="E63" s="118"/>
      <c r="F63" s="92">
        <f t="shared" si="5"/>
        <v>0</v>
      </c>
      <c r="G63" s="93">
        <f t="shared" si="6"/>
        <v>0</v>
      </c>
      <c r="H63" s="71"/>
      <c r="I63" s="71"/>
      <c r="J63" s="71"/>
      <c r="K63" s="71"/>
    </row>
    <row r="64" ht="19.5" customHeight="1" outlineLevel="1">
      <c r="A64" s="64"/>
      <c r="B64" s="88"/>
      <c r="C64" s="117" t="s">
        <v>55</v>
      </c>
      <c r="D64" s="118"/>
      <c r="E64" s="118"/>
      <c r="F64" s="92">
        <f t="shared" si="5"/>
        <v>0</v>
      </c>
      <c r="G64" s="93">
        <f t="shared" si="6"/>
        <v>0</v>
      </c>
      <c r="H64" s="71"/>
      <c r="I64" s="71"/>
      <c r="J64" s="71"/>
      <c r="K64" s="71"/>
    </row>
    <row r="65" ht="19.5" customHeight="1" outlineLevel="1">
      <c r="A65" s="64"/>
      <c r="B65" s="88"/>
      <c r="C65" s="117" t="s">
        <v>56</v>
      </c>
      <c r="D65" s="118"/>
      <c r="E65" s="118"/>
      <c r="F65" s="92">
        <f t="shared" si="5"/>
        <v>0</v>
      </c>
      <c r="G65" s="93">
        <f t="shared" si="6"/>
        <v>0</v>
      </c>
      <c r="H65" s="71"/>
      <c r="I65" s="71"/>
      <c r="J65" s="71"/>
      <c r="K65" s="71"/>
    </row>
    <row r="66" ht="19.5" customHeight="1" outlineLevel="1">
      <c r="A66" s="64"/>
      <c r="B66" s="88"/>
      <c r="C66" s="117" t="s">
        <v>57</v>
      </c>
      <c r="D66" s="118"/>
      <c r="E66" s="118"/>
      <c r="F66" s="92">
        <f t="shared" si="5"/>
        <v>0</v>
      </c>
      <c r="G66" s="93">
        <f t="shared" si="6"/>
        <v>0</v>
      </c>
      <c r="H66" s="71"/>
      <c r="I66" s="71"/>
      <c r="J66" s="71"/>
      <c r="K66" s="71"/>
    </row>
    <row r="67" ht="19.5" customHeight="1">
      <c r="A67" s="64"/>
      <c r="B67" s="97"/>
      <c r="C67" s="116" t="s">
        <v>58</v>
      </c>
      <c r="D67" s="99">
        <f t="shared" ref="D67:G67" si="7">SUM(D60:D66)</f>
        <v>0</v>
      </c>
      <c r="E67" s="100">
        <f t="shared" si="7"/>
        <v>0</v>
      </c>
      <c r="F67" s="101">
        <f t="shared" si="7"/>
        <v>0</v>
      </c>
      <c r="G67" s="102">
        <f t="shared" si="7"/>
        <v>0</v>
      </c>
      <c r="H67" s="71"/>
      <c r="I67" s="71"/>
      <c r="J67" s="71"/>
      <c r="K67" s="71"/>
    </row>
    <row r="68" ht="19.5" customHeight="1">
      <c r="A68" s="64"/>
      <c r="B68" s="97"/>
      <c r="C68" s="98" t="s">
        <v>59</v>
      </c>
      <c r="D68" s="99">
        <f t="shared" ref="D68:G68" si="8">D51-D67</f>
        <v>0</v>
      </c>
      <c r="E68" s="100">
        <f t="shared" si="8"/>
        <v>0</v>
      </c>
      <c r="F68" s="101">
        <f t="shared" si="8"/>
        <v>0</v>
      </c>
      <c r="G68" s="102">
        <f t="shared" si="8"/>
        <v>0</v>
      </c>
      <c r="H68" s="71"/>
      <c r="I68" s="71"/>
      <c r="J68" s="71"/>
      <c r="K68" s="71"/>
    </row>
    <row r="69" ht="19.5" customHeight="1" outlineLevel="1">
      <c r="A69" s="64"/>
      <c r="B69" s="119"/>
      <c r="C69" s="120" t="s">
        <v>60</v>
      </c>
      <c r="D69" s="106"/>
      <c r="E69" s="107"/>
      <c r="F69" s="121"/>
      <c r="G69" s="122"/>
      <c r="H69" s="71"/>
      <c r="I69" s="71"/>
      <c r="J69" s="71"/>
      <c r="K69" s="71"/>
    </row>
    <row r="70" ht="19.5" customHeight="1" outlineLevel="1">
      <c r="A70" s="64"/>
      <c r="B70" s="88"/>
      <c r="C70" s="123" t="s">
        <v>61</v>
      </c>
      <c r="D70" s="124"/>
      <c r="E70" s="124"/>
      <c r="F70" s="92">
        <f t="shared" ref="F70:G70" si="9">D70*D$43</f>
        <v>0</v>
      </c>
      <c r="G70" s="93">
        <f t="shared" si="9"/>
        <v>0</v>
      </c>
      <c r="H70" s="71"/>
      <c r="I70" s="71"/>
      <c r="J70" s="71"/>
      <c r="K70" s="71"/>
    </row>
    <row r="71" ht="19.5" customHeight="1" outlineLevel="1">
      <c r="A71" s="64"/>
      <c r="B71" s="88"/>
      <c r="C71" s="123" t="s">
        <v>62</v>
      </c>
      <c r="D71" s="124"/>
      <c r="E71" s="124"/>
      <c r="F71" s="92">
        <f t="shared" ref="F71:G71" si="10">D71*D$43</f>
        <v>0</v>
      </c>
      <c r="G71" s="93">
        <f t="shared" si="10"/>
        <v>0</v>
      </c>
      <c r="H71" s="71"/>
      <c r="I71" s="71"/>
      <c r="J71" s="71"/>
      <c r="K71" s="71"/>
    </row>
    <row r="72" ht="19.5" customHeight="1" outlineLevel="1">
      <c r="A72" s="64"/>
      <c r="B72" s="88"/>
      <c r="C72" s="123" t="s">
        <v>63</v>
      </c>
      <c r="D72" s="124"/>
      <c r="E72" s="124"/>
      <c r="F72" s="92">
        <f t="shared" ref="F72:G72" si="11">D72*D$43</f>
        <v>0</v>
      </c>
      <c r="G72" s="93">
        <f t="shared" si="11"/>
        <v>0</v>
      </c>
      <c r="H72" s="71"/>
      <c r="I72" s="71"/>
      <c r="J72" s="71"/>
      <c r="K72" s="71"/>
    </row>
    <row r="73" ht="19.5" customHeight="1" outlineLevel="1">
      <c r="A73" s="64"/>
      <c r="B73" s="88"/>
      <c r="C73" s="117" t="s">
        <v>64</v>
      </c>
      <c r="D73" s="124"/>
      <c r="E73" s="124"/>
      <c r="F73" s="92">
        <f t="shared" ref="F73:G73" si="12">D73*D$43</f>
        <v>0</v>
      </c>
      <c r="G73" s="93">
        <f t="shared" si="12"/>
        <v>0</v>
      </c>
      <c r="H73" s="71"/>
      <c r="I73" s="71"/>
      <c r="J73" s="71"/>
      <c r="K73" s="71"/>
    </row>
    <row r="74" ht="19.5" customHeight="1" outlineLevel="1">
      <c r="A74" s="64"/>
      <c r="B74" s="88"/>
      <c r="C74" s="117" t="s">
        <v>65</v>
      </c>
      <c r="D74" s="124"/>
      <c r="E74" s="124"/>
      <c r="F74" s="92">
        <f t="shared" ref="F74:G74" si="13">D74*D$43</f>
        <v>0</v>
      </c>
      <c r="G74" s="93">
        <f t="shared" si="13"/>
        <v>0</v>
      </c>
      <c r="H74" s="71"/>
      <c r="I74" s="71"/>
      <c r="J74" s="71"/>
      <c r="K74" s="71"/>
    </row>
    <row r="75" ht="19.5" customHeight="1" outlineLevel="1">
      <c r="A75" s="64"/>
      <c r="B75" s="88"/>
      <c r="C75" s="123" t="s">
        <v>66</v>
      </c>
      <c r="D75" s="124"/>
      <c r="E75" s="124"/>
      <c r="F75" s="92">
        <f t="shared" ref="F75:G75" si="14">D75*D$43</f>
        <v>0</v>
      </c>
      <c r="G75" s="93">
        <f t="shared" si="14"/>
        <v>0</v>
      </c>
      <c r="H75" s="71"/>
      <c r="I75" s="71"/>
      <c r="J75" s="71"/>
      <c r="K75" s="71"/>
    </row>
    <row r="76" ht="19.5" customHeight="1">
      <c r="A76" s="64"/>
      <c r="B76" s="97"/>
      <c r="C76" s="116" t="s">
        <v>67</v>
      </c>
      <c r="D76" s="99">
        <f t="shared" ref="D76:G76" si="15">SUM(D70:D75)</f>
        <v>0</v>
      </c>
      <c r="E76" s="100">
        <f t="shared" si="15"/>
        <v>0</v>
      </c>
      <c r="F76" s="101">
        <f t="shared" si="15"/>
        <v>0</v>
      </c>
      <c r="G76" s="102">
        <f t="shared" si="15"/>
        <v>0</v>
      </c>
      <c r="H76" s="71"/>
      <c r="I76" s="71"/>
      <c r="J76" s="71"/>
      <c r="K76" s="71"/>
    </row>
    <row r="77" ht="19.5" customHeight="1">
      <c r="A77" s="64"/>
      <c r="B77" s="97"/>
      <c r="C77" s="98" t="s">
        <v>68</v>
      </c>
      <c r="D77" s="99">
        <f t="shared" ref="D77:G77" si="16">D57+D68-D76</f>
        <v>0</v>
      </c>
      <c r="E77" s="100">
        <f t="shared" si="16"/>
        <v>0</v>
      </c>
      <c r="F77" s="101">
        <f t="shared" si="16"/>
        <v>0</v>
      </c>
      <c r="G77" s="102">
        <f t="shared" si="16"/>
        <v>0</v>
      </c>
      <c r="H77" s="71"/>
      <c r="I77" s="71"/>
      <c r="J77" s="71"/>
      <c r="K77" s="71"/>
    </row>
    <row r="78" ht="19.5" customHeight="1">
      <c r="A78" s="64"/>
      <c r="B78" s="78" t="s">
        <v>69</v>
      </c>
      <c r="C78" s="79"/>
      <c r="D78" s="80"/>
      <c r="E78" s="81"/>
      <c r="F78" s="82"/>
      <c r="G78" s="83"/>
      <c r="H78" s="71"/>
      <c r="I78" s="71"/>
      <c r="J78" s="71"/>
      <c r="K78" s="71"/>
    </row>
    <row r="79" ht="19.5" customHeight="1" outlineLevel="1">
      <c r="A79" s="64"/>
      <c r="B79" s="125"/>
      <c r="C79" s="126" t="s">
        <v>70</v>
      </c>
      <c r="D79" s="127"/>
      <c r="E79" s="128"/>
      <c r="F79" s="129"/>
      <c r="G79" s="130"/>
      <c r="H79" s="71"/>
      <c r="I79" s="71"/>
      <c r="J79" s="71"/>
      <c r="K79" s="71"/>
    </row>
    <row r="80" ht="19.5" customHeight="1" outlineLevel="1">
      <c r="A80" s="64"/>
      <c r="B80" s="88"/>
      <c r="C80" s="123" t="s">
        <v>71</v>
      </c>
      <c r="D80" s="95"/>
      <c r="E80" s="96"/>
      <c r="F80" s="131"/>
      <c r="G80" s="131"/>
      <c r="H80" s="71"/>
      <c r="I80" s="71"/>
      <c r="J80" s="71"/>
      <c r="K80" s="71"/>
    </row>
    <row r="81" ht="19.5" customHeight="1" outlineLevel="1">
      <c r="A81" s="64"/>
      <c r="B81" s="88"/>
      <c r="C81" s="123" t="s">
        <v>72</v>
      </c>
      <c r="D81" s="95"/>
      <c r="E81" s="96"/>
      <c r="F81" s="131"/>
      <c r="G81" s="131"/>
      <c r="H81" s="71"/>
      <c r="I81" s="71"/>
      <c r="J81" s="71"/>
      <c r="K81" s="71"/>
    </row>
    <row r="82" ht="19.5" customHeight="1" outlineLevel="1">
      <c r="A82" s="64"/>
      <c r="B82" s="88"/>
      <c r="C82" s="123" t="s">
        <v>73</v>
      </c>
      <c r="D82" s="95"/>
      <c r="E82" s="96"/>
      <c r="F82" s="131"/>
      <c r="G82" s="131"/>
      <c r="H82" s="71"/>
      <c r="I82" s="71"/>
      <c r="J82" s="71"/>
      <c r="K82" s="71"/>
    </row>
    <row r="83" ht="19.5" customHeight="1" outlineLevel="1">
      <c r="A83" s="64"/>
      <c r="B83" s="88"/>
      <c r="C83" s="123" t="s">
        <v>74</v>
      </c>
      <c r="D83" s="95"/>
      <c r="E83" s="96"/>
      <c r="F83" s="131"/>
      <c r="G83" s="131"/>
      <c r="H83" s="71"/>
      <c r="I83" s="71"/>
      <c r="J83" s="71"/>
      <c r="K83" s="71"/>
    </row>
    <row r="84" ht="19.5" customHeight="1">
      <c r="A84" s="64"/>
      <c r="B84" s="132"/>
      <c r="C84" s="133" t="s">
        <v>75</v>
      </c>
      <c r="D84" s="134"/>
      <c r="E84" s="135"/>
      <c r="F84" s="134">
        <f t="shared" ref="F84:G84" si="17">SUM(F80:F83)</f>
        <v>0</v>
      </c>
      <c r="G84" s="136">
        <f t="shared" si="17"/>
        <v>0</v>
      </c>
      <c r="H84" s="71"/>
      <c r="I84" s="71"/>
      <c r="J84" s="71"/>
      <c r="K84" s="71"/>
    </row>
    <row r="85" ht="19.5" customHeight="1">
      <c r="A85" s="137"/>
      <c r="B85" s="138"/>
      <c r="C85" s="35"/>
      <c r="D85" s="138"/>
      <c r="E85" s="139"/>
      <c r="F85" s="138"/>
      <c r="G85" s="139"/>
      <c r="H85" s="71"/>
      <c r="I85" s="71"/>
      <c r="J85" s="71"/>
      <c r="K85" s="71"/>
    </row>
    <row r="86" ht="19.5" customHeight="1">
      <c r="A86" s="137"/>
      <c r="B86" s="138"/>
      <c r="C86" s="35"/>
      <c r="D86" s="138"/>
      <c r="E86" s="139"/>
      <c r="F86" s="138"/>
      <c r="G86" s="139"/>
      <c r="H86" s="71"/>
      <c r="I86" s="71"/>
      <c r="J86" s="71"/>
      <c r="K86" s="71"/>
    </row>
    <row r="87" ht="19.5" customHeight="1">
      <c r="A87" s="64"/>
      <c r="B87" s="140" t="s">
        <v>76</v>
      </c>
      <c r="C87" s="141"/>
      <c r="D87" s="142"/>
      <c r="E87" s="143"/>
      <c r="F87" s="142"/>
      <c r="G87" s="144"/>
      <c r="H87" s="71"/>
      <c r="I87" s="71"/>
      <c r="J87" s="71"/>
      <c r="K87" s="71"/>
    </row>
    <row r="88" ht="19.5" customHeight="1" outlineLevel="1">
      <c r="A88" s="64"/>
      <c r="B88" s="125"/>
      <c r="C88" s="126" t="s">
        <v>77</v>
      </c>
      <c r="D88" s="127"/>
      <c r="E88" s="128"/>
      <c r="F88" s="129"/>
      <c r="G88" s="130"/>
      <c r="H88" s="71"/>
      <c r="I88" s="71"/>
      <c r="J88" s="71"/>
      <c r="K88" s="71"/>
    </row>
    <row r="89" ht="19.5" customHeight="1" outlineLevel="1">
      <c r="A89" s="64"/>
      <c r="B89" s="145" t="s">
        <v>78</v>
      </c>
      <c r="C89" s="146"/>
      <c r="D89" s="147"/>
      <c r="E89" s="147"/>
      <c r="F89" s="92">
        <f t="shared" ref="F89:G89" si="18">D89*D43</f>
        <v>0</v>
      </c>
      <c r="G89" s="93">
        <f t="shared" si="18"/>
        <v>0</v>
      </c>
      <c r="H89" s="71"/>
      <c r="I89" s="71"/>
      <c r="J89" s="71"/>
      <c r="K89" s="71"/>
    </row>
    <row r="90" ht="19.5" customHeight="1" outlineLevel="1">
      <c r="A90" s="64"/>
      <c r="B90" s="148" t="s">
        <v>79</v>
      </c>
      <c r="C90" s="149"/>
      <c r="D90" s="147"/>
      <c r="E90" s="147"/>
      <c r="F90" s="92">
        <f t="shared" ref="F90:G90" si="19">D90*D43</f>
        <v>0</v>
      </c>
      <c r="G90" s="93">
        <f t="shared" si="19"/>
        <v>0</v>
      </c>
      <c r="H90" s="71"/>
      <c r="I90" s="71"/>
      <c r="J90" s="71"/>
      <c r="K90" s="71"/>
    </row>
    <row r="91" ht="19.5" customHeight="1" outlineLevel="1">
      <c r="A91" s="64"/>
      <c r="B91" s="150" t="s">
        <v>80</v>
      </c>
      <c r="C91" s="151"/>
      <c r="D91" s="147"/>
      <c r="E91" s="147"/>
      <c r="F91" s="92">
        <f t="shared" ref="F91:G91" si="20">D91*D43</f>
        <v>0</v>
      </c>
      <c r="G91" s="93">
        <f t="shared" si="20"/>
        <v>0</v>
      </c>
      <c r="H91" s="71"/>
      <c r="I91" s="71"/>
      <c r="J91" s="71"/>
      <c r="K91" s="71"/>
    </row>
    <row r="92" ht="19.5" customHeight="1">
      <c r="A92" s="64"/>
      <c r="B92" s="152" t="s">
        <v>81</v>
      </c>
      <c r="C92" s="153"/>
      <c r="D92" s="154">
        <f t="shared" ref="D92:G92" si="21">SUM(D90:D91)</f>
        <v>0</v>
      </c>
      <c r="E92" s="155">
        <f t="shared" si="21"/>
        <v>0</v>
      </c>
      <c r="F92" s="154">
        <f t="shared" si="21"/>
        <v>0</v>
      </c>
      <c r="G92" s="155">
        <f t="shared" si="21"/>
        <v>0</v>
      </c>
      <c r="H92" s="71"/>
      <c r="I92" s="71"/>
      <c r="J92" s="71"/>
      <c r="K92" s="71"/>
    </row>
    <row r="93" ht="19.5" customHeight="1">
      <c r="A93" s="64"/>
      <c r="B93" s="156" t="s">
        <v>82</v>
      </c>
      <c r="C93" s="157"/>
      <c r="D93" s="158">
        <f t="shared" ref="D93:G93" si="22">SUM(D92,D89)</f>
        <v>0</v>
      </c>
      <c r="E93" s="159">
        <f t="shared" si="22"/>
        <v>0</v>
      </c>
      <c r="F93" s="158">
        <f t="shared" si="22"/>
        <v>0</v>
      </c>
      <c r="G93" s="159">
        <f t="shared" si="22"/>
        <v>0</v>
      </c>
      <c r="H93" s="71"/>
      <c r="I93" s="71"/>
      <c r="J93" s="71"/>
      <c r="K93" s="71"/>
    </row>
    <row r="94" ht="19.5" customHeight="1" outlineLevel="1">
      <c r="A94" s="64"/>
      <c r="B94" s="125"/>
      <c r="C94" s="126" t="s">
        <v>83</v>
      </c>
      <c r="D94" s="127"/>
      <c r="E94" s="128"/>
      <c r="F94" s="129"/>
      <c r="G94" s="130"/>
      <c r="H94" s="71"/>
      <c r="I94" s="71"/>
      <c r="J94" s="71"/>
      <c r="K94" s="71"/>
    </row>
    <row r="95" ht="19.5" customHeight="1" outlineLevel="1">
      <c r="A95" s="64"/>
      <c r="B95" s="145" t="s">
        <v>84</v>
      </c>
      <c r="C95" s="146"/>
      <c r="D95" s="160"/>
      <c r="E95" s="160"/>
      <c r="F95" s="92">
        <f>D95*D43</f>
        <v>0</v>
      </c>
      <c r="G95" s="93">
        <f t="shared" ref="G95:G98" si="23">E95*$E$43</f>
        <v>0</v>
      </c>
      <c r="H95" s="71"/>
      <c r="I95" s="71"/>
      <c r="J95" s="71"/>
      <c r="K95" s="71"/>
    </row>
    <row r="96" ht="19.5" customHeight="1" outlineLevel="1">
      <c r="A96" s="64"/>
      <c r="B96" s="161" t="s">
        <v>85</v>
      </c>
      <c r="C96" s="149"/>
      <c r="D96" s="160"/>
      <c r="E96" s="160"/>
      <c r="F96" s="92">
        <f t="shared" ref="F96:F98" si="24">D96*$D$43</f>
        <v>0</v>
      </c>
      <c r="G96" s="93">
        <f t="shared" si="23"/>
        <v>0</v>
      </c>
      <c r="H96" s="71"/>
      <c r="I96" s="71"/>
      <c r="J96" s="71"/>
      <c r="K96" s="71"/>
    </row>
    <row r="97" ht="19.5" customHeight="1" outlineLevel="1">
      <c r="A97" s="64"/>
      <c r="B97" s="161" t="s">
        <v>86</v>
      </c>
      <c r="C97" s="149"/>
      <c r="D97" s="160"/>
      <c r="E97" s="160"/>
      <c r="F97" s="92">
        <f t="shared" si="24"/>
        <v>0</v>
      </c>
      <c r="G97" s="93">
        <f t="shared" si="23"/>
        <v>0</v>
      </c>
      <c r="H97" s="71"/>
      <c r="I97" s="71"/>
      <c r="J97" s="71"/>
      <c r="K97" s="71"/>
    </row>
    <row r="98" ht="19.5" customHeight="1" outlineLevel="1">
      <c r="A98" s="64"/>
      <c r="B98" s="162" t="s">
        <v>87</v>
      </c>
      <c r="C98" s="151"/>
      <c r="D98" s="160"/>
      <c r="E98" s="160"/>
      <c r="F98" s="92">
        <f t="shared" si="24"/>
        <v>0</v>
      </c>
      <c r="G98" s="93">
        <f t="shared" si="23"/>
        <v>0</v>
      </c>
      <c r="H98" s="71"/>
      <c r="I98" s="71"/>
      <c r="J98" s="71"/>
      <c r="K98" s="71"/>
    </row>
    <row r="99" ht="19.5" customHeight="1" outlineLevel="1">
      <c r="A99" s="64"/>
      <c r="B99" s="152" t="s">
        <v>88</v>
      </c>
      <c r="C99" s="153"/>
      <c r="D99" s="154">
        <f t="shared" ref="D99:G99" si="25">SUM(D96:D98)</f>
        <v>0</v>
      </c>
      <c r="E99" s="155">
        <f t="shared" si="25"/>
        <v>0</v>
      </c>
      <c r="F99" s="154">
        <f t="shared" si="25"/>
        <v>0</v>
      </c>
      <c r="G99" s="155">
        <f t="shared" si="25"/>
        <v>0</v>
      </c>
      <c r="H99" s="71"/>
      <c r="I99" s="71"/>
      <c r="J99" s="71"/>
      <c r="K99" s="71"/>
    </row>
    <row r="100" ht="19.5" customHeight="1" outlineLevel="1">
      <c r="A100" s="64"/>
      <c r="B100" s="163" t="s">
        <v>89</v>
      </c>
      <c r="C100" s="164"/>
      <c r="D100" s="158">
        <f t="shared" ref="D100:G100" si="26">sum(D99,D95)</f>
        <v>0</v>
      </c>
      <c r="E100" s="159">
        <f t="shared" si="26"/>
        <v>0</v>
      </c>
      <c r="F100" s="158">
        <f t="shared" si="26"/>
        <v>0</v>
      </c>
      <c r="G100" s="159">
        <f t="shared" si="26"/>
        <v>0</v>
      </c>
      <c r="H100" s="71"/>
      <c r="I100" s="71"/>
      <c r="J100" s="71"/>
      <c r="K100" s="71"/>
    </row>
    <row r="101" ht="19.5" customHeight="1" outlineLevel="1">
      <c r="A101" s="64"/>
      <c r="B101" s="125"/>
      <c r="C101" s="126" t="s">
        <v>90</v>
      </c>
      <c r="D101" s="127"/>
      <c r="E101" s="128"/>
      <c r="F101" s="129"/>
      <c r="G101" s="130"/>
      <c r="H101" s="71"/>
      <c r="I101" s="71"/>
      <c r="J101" s="71"/>
      <c r="K101" s="71"/>
    </row>
    <row r="102" ht="19.5" customHeight="1" outlineLevel="1">
      <c r="A102" s="64"/>
      <c r="B102" s="145" t="s">
        <v>91</v>
      </c>
      <c r="C102" s="146"/>
      <c r="D102" s="165"/>
      <c r="E102" s="166"/>
      <c r="F102" s="92">
        <f t="shared" ref="F102:G102" si="27">D102*D43</f>
        <v>0</v>
      </c>
      <c r="G102" s="93">
        <f t="shared" si="27"/>
        <v>0</v>
      </c>
      <c r="H102" s="71"/>
      <c r="I102" s="71"/>
      <c r="J102" s="71"/>
      <c r="K102" s="71"/>
    </row>
    <row r="103" ht="19.5" customHeight="1">
      <c r="A103" s="64"/>
      <c r="B103" s="167" t="s">
        <v>92</v>
      </c>
      <c r="C103" s="157"/>
      <c r="D103" s="158">
        <f t="shared" ref="D103:G103" si="28">SUM(D99,D95,D102)</f>
        <v>0</v>
      </c>
      <c r="E103" s="159">
        <f t="shared" si="28"/>
        <v>0</v>
      </c>
      <c r="F103" s="158">
        <f t="shared" si="28"/>
        <v>0</v>
      </c>
      <c r="G103" s="159">
        <f t="shared" si="28"/>
        <v>0</v>
      </c>
      <c r="H103" s="71"/>
      <c r="I103" s="71"/>
      <c r="J103" s="71"/>
      <c r="K103" s="71"/>
    </row>
    <row r="104" ht="19.5" customHeight="1">
      <c r="B104" s="168"/>
      <c r="C104" s="168"/>
      <c r="D104" s="169"/>
      <c r="E104" s="169"/>
      <c r="F104" s="169"/>
      <c r="G104" s="169"/>
      <c r="H104" s="66"/>
      <c r="I104" s="66"/>
      <c r="J104" s="66"/>
      <c r="K104" s="66"/>
    </row>
    <row r="105" ht="19.5" customHeight="1">
      <c r="B105" s="168"/>
      <c r="C105" s="168"/>
      <c r="D105" s="169"/>
      <c r="E105" s="169"/>
      <c r="F105" s="169"/>
      <c r="G105" s="169"/>
      <c r="H105" s="66"/>
      <c r="I105" s="66"/>
      <c r="J105" s="66"/>
      <c r="K105" s="66"/>
    </row>
    <row r="106" ht="19.5" customHeight="1">
      <c r="B106" s="168"/>
      <c r="C106" s="168"/>
      <c r="D106" s="169"/>
      <c r="E106" s="169"/>
      <c r="F106" s="169"/>
      <c r="G106" s="169"/>
      <c r="H106" s="66"/>
      <c r="I106" s="66"/>
      <c r="J106" s="66"/>
      <c r="K106" s="66"/>
    </row>
    <row r="107" ht="19.5" customHeight="1">
      <c r="B107" s="168"/>
      <c r="C107" s="168"/>
      <c r="D107" s="169"/>
      <c r="E107" s="169"/>
      <c r="F107" s="169"/>
      <c r="G107" s="169"/>
      <c r="H107" s="66"/>
      <c r="I107" s="66"/>
      <c r="J107" s="66"/>
      <c r="K107" s="66"/>
    </row>
    <row r="108" ht="19.5" customHeight="1">
      <c r="B108" s="168"/>
      <c r="C108" s="168"/>
      <c r="D108" s="169"/>
      <c r="E108" s="169"/>
      <c r="F108" s="169"/>
      <c r="G108" s="169"/>
      <c r="H108" s="66"/>
      <c r="I108" s="66"/>
      <c r="J108" s="66"/>
      <c r="K108" s="66"/>
    </row>
    <row r="109" ht="19.5" customHeight="1">
      <c r="B109" s="168"/>
      <c r="C109" s="168"/>
      <c r="D109" s="169"/>
      <c r="E109" s="169"/>
      <c r="F109" s="169"/>
      <c r="G109" s="169"/>
      <c r="H109" s="169"/>
      <c r="I109" s="169"/>
      <c r="J109" s="169"/>
      <c r="K109" s="169"/>
      <c r="L109" s="169"/>
      <c r="M109" s="66"/>
      <c r="N109" s="169"/>
      <c r="O109" s="169"/>
      <c r="P109" s="66"/>
      <c r="Q109" s="169"/>
      <c r="R109" s="169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</row>
    <row r="110" ht="19.5" customHeight="1">
      <c r="B110" s="168"/>
      <c r="C110" s="168"/>
      <c r="D110" s="169"/>
      <c r="E110" s="169"/>
      <c r="F110" s="169"/>
      <c r="G110" s="169"/>
      <c r="H110" s="169"/>
      <c r="I110" s="169"/>
      <c r="J110" s="169"/>
      <c r="K110" s="169"/>
      <c r="L110" s="169"/>
      <c r="M110" s="66"/>
      <c r="N110" s="169"/>
      <c r="O110" s="169"/>
      <c r="P110" s="66"/>
      <c r="Q110" s="169"/>
      <c r="R110" s="169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</row>
    <row r="111" ht="19.5" customHeight="1">
      <c r="B111" s="168"/>
      <c r="C111" s="168"/>
      <c r="D111" s="169"/>
      <c r="E111" s="169"/>
      <c r="F111" s="169"/>
      <c r="G111" s="169"/>
      <c r="H111" s="169"/>
      <c r="I111" s="169"/>
      <c r="J111" s="169"/>
      <c r="K111" s="169"/>
      <c r="L111" s="169"/>
      <c r="M111" s="66"/>
      <c r="N111" s="169"/>
      <c r="O111" s="169"/>
      <c r="P111" s="66"/>
      <c r="Q111" s="169"/>
      <c r="R111" s="169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</row>
    <row r="112" ht="19.5" customHeight="1">
      <c r="B112" s="168"/>
      <c r="C112" s="168"/>
      <c r="D112" s="169"/>
      <c r="E112" s="169"/>
      <c r="F112" s="169"/>
      <c r="G112" s="169"/>
      <c r="H112" s="169"/>
      <c r="I112" s="169"/>
      <c r="J112" s="169"/>
      <c r="K112" s="169"/>
      <c r="L112" s="169"/>
      <c r="M112" s="66"/>
      <c r="N112" s="169"/>
      <c r="O112" s="169"/>
      <c r="P112" s="66"/>
      <c r="Q112" s="169"/>
      <c r="R112" s="169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</row>
    <row r="113" ht="19.5" customHeight="1">
      <c r="B113" s="168"/>
      <c r="C113" s="168"/>
      <c r="D113" s="169"/>
      <c r="E113" s="169"/>
      <c r="F113" s="169"/>
      <c r="G113" s="169"/>
      <c r="H113" s="169"/>
      <c r="I113" s="169"/>
      <c r="J113" s="169"/>
      <c r="K113" s="169"/>
      <c r="L113" s="169"/>
      <c r="M113" s="66"/>
      <c r="N113" s="169"/>
      <c r="O113" s="169"/>
      <c r="P113" s="66"/>
      <c r="Q113" s="169"/>
      <c r="R113" s="169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</row>
    <row r="114" ht="19.5" customHeight="1">
      <c r="B114" s="168"/>
      <c r="C114" s="168"/>
      <c r="D114" s="169"/>
      <c r="E114" s="169"/>
      <c r="F114" s="169"/>
      <c r="G114" s="169"/>
      <c r="H114" s="169"/>
      <c r="I114" s="169"/>
      <c r="J114" s="169"/>
      <c r="K114" s="169"/>
      <c r="L114" s="169"/>
      <c r="M114" s="66"/>
      <c r="N114" s="169"/>
      <c r="O114" s="169"/>
      <c r="P114" s="66"/>
      <c r="Q114" s="169"/>
      <c r="R114" s="169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</row>
    <row r="115" ht="19.5" customHeight="1">
      <c r="B115" s="168"/>
      <c r="C115" s="168"/>
      <c r="D115" s="169"/>
      <c r="E115" s="169"/>
      <c r="F115" s="169"/>
      <c r="G115" s="169"/>
      <c r="H115" s="169"/>
      <c r="I115" s="169"/>
      <c r="J115" s="169"/>
      <c r="K115" s="169"/>
      <c r="L115" s="169"/>
      <c r="M115" s="66"/>
      <c r="N115" s="169"/>
      <c r="O115" s="169"/>
      <c r="P115" s="66"/>
      <c r="Q115" s="169"/>
      <c r="R115" s="169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 ht="19.5" customHeight="1">
      <c r="B116" s="168"/>
      <c r="C116" s="168"/>
      <c r="D116" s="169"/>
      <c r="E116" s="169"/>
      <c r="F116" s="169"/>
      <c r="G116" s="169"/>
      <c r="H116" s="169"/>
      <c r="I116" s="169"/>
      <c r="J116" s="169"/>
      <c r="K116" s="169"/>
      <c r="L116" s="169"/>
      <c r="M116" s="66"/>
      <c r="N116" s="169"/>
      <c r="O116" s="169"/>
      <c r="P116" s="66"/>
      <c r="Q116" s="169"/>
      <c r="R116" s="169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</row>
    <row r="117" ht="19.5" customHeight="1">
      <c r="B117" s="168"/>
      <c r="C117" s="168"/>
      <c r="D117" s="169"/>
      <c r="E117" s="169"/>
      <c r="F117" s="169"/>
      <c r="G117" s="169"/>
      <c r="H117" s="169"/>
      <c r="I117" s="169"/>
      <c r="J117" s="169"/>
      <c r="K117" s="169"/>
      <c r="L117" s="169"/>
      <c r="M117" s="66"/>
      <c r="N117" s="169"/>
      <c r="O117" s="169"/>
      <c r="P117" s="66"/>
      <c r="Q117" s="169"/>
      <c r="R117" s="169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</row>
    <row r="118" ht="19.5" customHeight="1">
      <c r="B118" s="168"/>
      <c r="C118" s="168"/>
      <c r="D118" s="169"/>
      <c r="E118" s="169"/>
      <c r="F118" s="169"/>
      <c r="G118" s="169"/>
      <c r="H118" s="169"/>
      <c r="I118" s="169"/>
      <c r="J118" s="169"/>
      <c r="K118" s="169"/>
      <c r="L118" s="169"/>
      <c r="M118" s="66"/>
      <c r="N118" s="169"/>
      <c r="O118" s="169"/>
      <c r="P118" s="66"/>
      <c r="Q118" s="169"/>
      <c r="R118" s="169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</row>
    <row r="119" ht="19.5" customHeight="1">
      <c r="B119" s="168"/>
      <c r="C119" s="168"/>
      <c r="D119" s="169"/>
      <c r="E119" s="169"/>
      <c r="F119" s="169"/>
      <c r="G119" s="169"/>
      <c r="H119" s="169"/>
      <c r="I119" s="169"/>
      <c r="J119" s="169"/>
      <c r="K119" s="169"/>
      <c r="L119" s="169"/>
      <c r="M119" s="66"/>
      <c r="N119" s="169"/>
      <c r="O119" s="169"/>
      <c r="P119" s="66"/>
      <c r="Q119" s="169"/>
      <c r="R119" s="169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</row>
    <row r="120" ht="19.5" customHeight="1">
      <c r="B120" s="168"/>
      <c r="C120" s="168"/>
      <c r="D120" s="169"/>
      <c r="E120" s="169"/>
      <c r="F120" s="169"/>
      <c r="G120" s="169"/>
      <c r="H120" s="169"/>
      <c r="I120" s="169"/>
      <c r="J120" s="169"/>
      <c r="K120" s="169"/>
      <c r="L120" s="169"/>
      <c r="M120" s="66"/>
      <c r="N120" s="169"/>
      <c r="O120" s="169"/>
      <c r="P120" s="66"/>
      <c r="Q120" s="169"/>
      <c r="R120" s="169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</row>
    <row r="121" ht="19.5" customHeight="1">
      <c r="B121" s="168"/>
      <c r="C121" s="168"/>
      <c r="D121" s="169"/>
      <c r="E121" s="169"/>
      <c r="F121" s="169"/>
      <c r="G121" s="169"/>
      <c r="H121" s="169"/>
      <c r="I121" s="169"/>
      <c r="J121" s="169"/>
      <c r="K121" s="169"/>
      <c r="L121" s="169"/>
      <c r="M121" s="66"/>
      <c r="N121" s="169"/>
      <c r="O121" s="169"/>
      <c r="P121" s="66"/>
      <c r="Q121" s="169"/>
      <c r="R121" s="169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</row>
    <row r="122" ht="19.5" customHeight="1">
      <c r="B122" s="168"/>
      <c r="C122" s="168"/>
      <c r="D122" s="169"/>
      <c r="E122" s="169"/>
      <c r="F122" s="169"/>
      <c r="G122" s="169"/>
      <c r="H122" s="169"/>
      <c r="I122" s="169"/>
      <c r="J122" s="169"/>
      <c r="K122" s="169"/>
      <c r="L122" s="169"/>
      <c r="M122" s="66"/>
      <c r="N122" s="169"/>
      <c r="O122" s="169"/>
      <c r="P122" s="66"/>
      <c r="Q122" s="169"/>
      <c r="R122" s="169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 ht="19.5" customHeight="1">
      <c r="B123" s="168"/>
      <c r="C123" s="168"/>
      <c r="D123" s="169"/>
      <c r="E123" s="169"/>
      <c r="F123" s="169"/>
      <c r="G123" s="169"/>
      <c r="H123" s="169"/>
      <c r="I123" s="169"/>
      <c r="J123" s="169"/>
      <c r="K123" s="169"/>
      <c r="L123" s="169"/>
      <c r="M123" s="66"/>
      <c r="N123" s="169"/>
      <c r="O123" s="169"/>
      <c r="P123" s="66"/>
      <c r="Q123" s="169"/>
      <c r="R123" s="169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 ht="19.5" customHeight="1">
      <c r="B124" s="168"/>
      <c r="C124" s="168"/>
      <c r="D124" s="169"/>
      <c r="E124" s="169"/>
      <c r="F124" s="169"/>
      <c r="G124" s="169"/>
      <c r="H124" s="169"/>
      <c r="I124" s="169"/>
      <c r="J124" s="169"/>
      <c r="K124" s="169"/>
      <c r="L124" s="169"/>
      <c r="M124" s="66"/>
      <c r="N124" s="169"/>
      <c r="O124" s="169"/>
      <c r="P124" s="66"/>
      <c r="Q124" s="169"/>
      <c r="R124" s="169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 ht="19.5" customHeight="1">
      <c r="B125" s="168"/>
      <c r="C125" s="168"/>
      <c r="D125" s="169"/>
      <c r="E125" s="169"/>
      <c r="F125" s="169"/>
      <c r="G125" s="169"/>
      <c r="H125" s="169"/>
      <c r="I125" s="169"/>
      <c r="J125" s="169"/>
      <c r="K125" s="169"/>
      <c r="L125" s="169"/>
      <c r="M125" s="66"/>
      <c r="N125" s="169"/>
      <c r="O125" s="169"/>
      <c r="P125" s="66"/>
      <c r="Q125" s="169"/>
      <c r="R125" s="169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 ht="19.5" customHeight="1">
      <c r="B126" s="168"/>
      <c r="C126" s="168"/>
      <c r="D126" s="169"/>
      <c r="E126" s="169"/>
      <c r="F126" s="169"/>
      <c r="G126" s="169"/>
      <c r="H126" s="169"/>
      <c r="I126" s="169"/>
      <c r="J126" s="169"/>
      <c r="K126" s="169"/>
      <c r="L126" s="169"/>
      <c r="M126" s="66"/>
      <c r="N126" s="169"/>
      <c r="O126" s="169"/>
      <c r="P126" s="66"/>
      <c r="Q126" s="169"/>
      <c r="R126" s="169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 ht="19.5" customHeight="1">
      <c r="B127" s="168"/>
      <c r="C127" s="168"/>
      <c r="D127" s="169"/>
      <c r="E127" s="169"/>
      <c r="F127" s="169"/>
      <c r="G127" s="169"/>
      <c r="H127" s="169"/>
      <c r="I127" s="169"/>
      <c r="J127" s="169"/>
      <c r="K127" s="169"/>
      <c r="L127" s="169"/>
      <c r="M127" s="66"/>
      <c r="N127" s="169"/>
      <c r="O127" s="169"/>
      <c r="P127" s="66"/>
      <c r="Q127" s="169"/>
      <c r="R127" s="169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 ht="19.5" customHeight="1">
      <c r="B128" s="168"/>
      <c r="C128" s="168"/>
      <c r="D128" s="169"/>
      <c r="E128" s="169"/>
      <c r="F128" s="169"/>
      <c r="G128" s="169"/>
      <c r="H128" s="169"/>
      <c r="I128" s="169"/>
      <c r="J128" s="169"/>
      <c r="K128" s="169"/>
      <c r="L128" s="169"/>
      <c r="M128" s="66"/>
      <c r="N128" s="169"/>
      <c r="O128" s="169"/>
      <c r="P128" s="66"/>
      <c r="Q128" s="169"/>
      <c r="R128" s="169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 ht="19.5" customHeight="1">
      <c r="B129" s="168"/>
      <c r="C129" s="168"/>
      <c r="D129" s="169"/>
      <c r="E129" s="169"/>
      <c r="F129" s="169"/>
      <c r="G129" s="169"/>
      <c r="H129" s="169"/>
      <c r="I129" s="169"/>
      <c r="J129" s="169"/>
      <c r="K129" s="169"/>
      <c r="L129" s="169"/>
      <c r="M129" s="66"/>
      <c r="N129" s="169"/>
      <c r="O129" s="169"/>
      <c r="P129" s="66"/>
      <c r="Q129" s="169"/>
      <c r="R129" s="169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 ht="19.5" customHeight="1">
      <c r="B130" s="168"/>
      <c r="C130" s="168"/>
      <c r="D130" s="169"/>
      <c r="E130" s="169"/>
      <c r="F130" s="169"/>
      <c r="G130" s="169"/>
      <c r="H130" s="169"/>
      <c r="I130" s="169"/>
      <c r="J130" s="169"/>
      <c r="K130" s="169"/>
      <c r="L130" s="169"/>
      <c r="M130" s="66"/>
      <c r="N130" s="169"/>
      <c r="O130" s="169"/>
      <c r="P130" s="66"/>
      <c r="Q130" s="169"/>
      <c r="R130" s="169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 ht="19.5" customHeight="1">
      <c r="B131" s="168"/>
      <c r="C131" s="168"/>
      <c r="D131" s="169"/>
      <c r="E131" s="169"/>
      <c r="F131" s="169"/>
      <c r="G131" s="169"/>
      <c r="H131" s="169"/>
      <c r="I131" s="169"/>
      <c r="J131" s="169"/>
      <c r="K131" s="169"/>
      <c r="L131" s="169"/>
      <c r="M131" s="66"/>
      <c r="N131" s="169"/>
      <c r="O131" s="169"/>
      <c r="P131" s="66"/>
      <c r="Q131" s="169"/>
      <c r="R131" s="169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 ht="19.5" customHeight="1">
      <c r="B132" s="168"/>
      <c r="C132" s="168"/>
      <c r="D132" s="169"/>
      <c r="E132" s="169"/>
      <c r="F132" s="169"/>
      <c r="G132" s="169"/>
      <c r="H132" s="169"/>
      <c r="I132" s="169"/>
      <c r="J132" s="169"/>
      <c r="K132" s="169"/>
      <c r="L132" s="169"/>
      <c r="M132" s="66"/>
      <c r="N132" s="169"/>
      <c r="O132" s="169"/>
      <c r="P132" s="66"/>
      <c r="Q132" s="169"/>
      <c r="R132" s="169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 ht="19.5" customHeight="1">
      <c r="B133" s="168"/>
      <c r="C133" s="168"/>
      <c r="D133" s="169"/>
      <c r="E133" s="169"/>
      <c r="F133" s="169"/>
      <c r="G133" s="169"/>
      <c r="H133" s="169"/>
      <c r="I133" s="169"/>
      <c r="J133" s="169"/>
      <c r="K133" s="169"/>
      <c r="L133" s="169"/>
      <c r="M133" s="66"/>
      <c r="N133" s="169"/>
      <c r="O133" s="169"/>
      <c r="P133" s="66"/>
      <c r="Q133" s="169"/>
      <c r="R133" s="169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</row>
    <row r="134" ht="19.5" customHeight="1">
      <c r="B134" s="168"/>
      <c r="C134" s="168"/>
      <c r="D134" s="169"/>
      <c r="E134" s="169"/>
      <c r="F134" s="169"/>
      <c r="G134" s="169"/>
      <c r="H134" s="169"/>
      <c r="I134" s="169"/>
      <c r="J134" s="169"/>
      <c r="K134" s="169"/>
      <c r="L134" s="169"/>
      <c r="M134" s="66"/>
      <c r="N134" s="169"/>
      <c r="O134" s="169"/>
      <c r="P134" s="66"/>
      <c r="Q134" s="169"/>
      <c r="R134" s="169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</row>
    <row r="135" ht="19.5" customHeight="1">
      <c r="B135" s="168"/>
      <c r="C135" s="168"/>
      <c r="D135" s="169"/>
      <c r="E135" s="169"/>
      <c r="F135" s="169"/>
      <c r="G135" s="169"/>
      <c r="H135" s="169"/>
      <c r="I135" s="169"/>
      <c r="J135" s="169"/>
      <c r="K135" s="169"/>
      <c r="L135" s="169"/>
      <c r="M135" s="66"/>
      <c r="N135" s="169"/>
      <c r="O135" s="169"/>
      <c r="P135" s="66"/>
      <c r="Q135" s="169"/>
      <c r="R135" s="169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</row>
    <row r="136" ht="19.5" customHeight="1">
      <c r="B136" s="168"/>
      <c r="C136" s="168"/>
      <c r="D136" s="169"/>
      <c r="E136" s="169"/>
      <c r="F136" s="169"/>
      <c r="G136" s="169"/>
      <c r="H136" s="169"/>
      <c r="I136" s="169"/>
      <c r="J136" s="169"/>
      <c r="K136" s="169"/>
      <c r="L136" s="169"/>
      <c r="M136" s="66"/>
      <c r="N136" s="169"/>
      <c r="O136" s="169"/>
      <c r="P136" s="66"/>
      <c r="Q136" s="169"/>
      <c r="R136" s="169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</row>
    <row r="137" ht="19.5" customHeight="1">
      <c r="B137" s="168"/>
      <c r="C137" s="168"/>
      <c r="D137" s="169"/>
      <c r="E137" s="169"/>
      <c r="F137" s="169"/>
      <c r="G137" s="169"/>
      <c r="H137" s="169"/>
      <c r="I137" s="169"/>
      <c r="J137" s="169"/>
      <c r="K137" s="169"/>
      <c r="L137" s="169"/>
      <c r="M137" s="66"/>
      <c r="N137" s="169"/>
      <c r="O137" s="169"/>
      <c r="P137" s="66"/>
      <c r="Q137" s="169"/>
      <c r="R137" s="169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</row>
    <row r="138" ht="19.5" customHeight="1">
      <c r="B138" s="168"/>
      <c r="C138" s="168"/>
      <c r="D138" s="169"/>
      <c r="E138" s="169"/>
      <c r="F138" s="169"/>
      <c r="G138" s="169"/>
      <c r="H138" s="169"/>
      <c r="I138" s="169"/>
      <c r="J138" s="169"/>
      <c r="K138" s="169"/>
      <c r="L138" s="169"/>
      <c r="M138" s="66"/>
      <c r="N138" s="169"/>
      <c r="O138" s="169"/>
      <c r="P138" s="66"/>
      <c r="Q138" s="169"/>
      <c r="R138" s="169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</row>
    <row r="139" ht="19.5" customHeight="1">
      <c r="B139" s="168"/>
      <c r="C139" s="168"/>
      <c r="D139" s="169"/>
      <c r="E139" s="169"/>
      <c r="F139" s="169"/>
      <c r="G139" s="169"/>
      <c r="H139" s="169"/>
      <c r="I139" s="169"/>
      <c r="J139" s="169"/>
      <c r="K139" s="169"/>
      <c r="L139" s="169"/>
      <c r="M139" s="66"/>
      <c r="N139" s="169"/>
      <c r="O139" s="169"/>
      <c r="P139" s="66"/>
      <c r="Q139" s="169"/>
      <c r="R139" s="169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</row>
    <row r="140" ht="19.5" customHeight="1">
      <c r="B140" s="168"/>
      <c r="C140" s="168"/>
      <c r="D140" s="169"/>
      <c r="E140" s="169"/>
      <c r="F140" s="169"/>
      <c r="G140" s="169"/>
      <c r="H140" s="169"/>
      <c r="I140" s="169"/>
      <c r="J140" s="169"/>
      <c r="K140" s="169"/>
      <c r="L140" s="169"/>
      <c r="M140" s="66"/>
      <c r="N140" s="169"/>
      <c r="O140" s="169"/>
      <c r="P140" s="66"/>
      <c r="Q140" s="169"/>
      <c r="R140" s="169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</row>
    <row r="141" ht="19.5" customHeight="1">
      <c r="B141" s="168"/>
      <c r="C141" s="168"/>
      <c r="D141" s="169"/>
      <c r="E141" s="169"/>
      <c r="F141" s="169"/>
      <c r="G141" s="169"/>
      <c r="H141" s="169"/>
      <c r="I141" s="169"/>
      <c r="J141" s="169"/>
      <c r="K141" s="169"/>
      <c r="L141" s="169"/>
      <c r="M141" s="66"/>
      <c r="N141" s="169"/>
      <c r="O141" s="169"/>
      <c r="P141" s="66"/>
      <c r="Q141" s="169"/>
      <c r="R141" s="169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</row>
    <row r="142" ht="19.5" customHeight="1">
      <c r="B142" s="168"/>
      <c r="C142" s="168"/>
      <c r="D142" s="169"/>
      <c r="E142" s="169"/>
      <c r="F142" s="169"/>
      <c r="G142" s="169"/>
      <c r="H142" s="169"/>
      <c r="I142" s="169"/>
      <c r="J142" s="169"/>
      <c r="K142" s="169"/>
      <c r="L142" s="169"/>
      <c r="M142" s="66"/>
      <c r="N142" s="169"/>
      <c r="O142" s="169"/>
      <c r="P142" s="66"/>
      <c r="Q142" s="169"/>
      <c r="R142" s="169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</row>
    <row r="143" ht="19.5" customHeight="1">
      <c r="B143" s="168"/>
      <c r="C143" s="168"/>
      <c r="D143" s="169"/>
      <c r="E143" s="169"/>
      <c r="F143" s="169"/>
      <c r="G143" s="169"/>
      <c r="H143" s="169"/>
      <c r="I143" s="169"/>
      <c r="J143" s="169"/>
      <c r="K143" s="169"/>
      <c r="L143" s="169"/>
      <c r="M143" s="66"/>
      <c r="N143" s="169"/>
      <c r="O143" s="169"/>
      <c r="P143" s="66"/>
      <c r="Q143" s="169"/>
      <c r="R143" s="169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 ht="19.5" customHeight="1">
      <c r="B144" s="168"/>
      <c r="C144" s="168"/>
      <c r="D144" s="169"/>
      <c r="E144" s="169"/>
      <c r="F144" s="169"/>
      <c r="G144" s="169"/>
      <c r="H144" s="169"/>
      <c r="I144" s="169"/>
      <c r="J144" s="169"/>
      <c r="K144" s="169"/>
      <c r="L144" s="169"/>
      <c r="M144" s="66"/>
      <c r="N144" s="169"/>
      <c r="O144" s="169"/>
      <c r="P144" s="66"/>
      <c r="Q144" s="169"/>
      <c r="R144" s="169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</row>
    <row r="145" ht="19.5" customHeight="1">
      <c r="B145" s="168"/>
      <c r="C145" s="168"/>
      <c r="D145" s="169"/>
      <c r="E145" s="169"/>
      <c r="F145" s="169"/>
      <c r="G145" s="169"/>
      <c r="H145" s="169"/>
      <c r="I145" s="169"/>
      <c r="J145" s="169"/>
      <c r="K145" s="169"/>
      <c r="L145" s="169"/>
      <c r="M145" s="66"/>
      <c r="N145" s="169"/>
      <c r="O145" s="169"/>
      <c r="P145" s="66"/>
      <c r="Q145" s="169"/>
      <c r="R145" s="169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</row>
    <row r="146" ht="19.5" customHeight="1">
      <c r="B146" s="168"/>
      <c r="C146" s="168"/>
      <c r="D146" s="169"/>
      <c r="E146" s="169"/>
      <c r="F146" s="169"/>
      <c r="G146" s="169"/>
      <c r="H146" s="169"/>
      <c r="I146" s="169"/>
      <c r="J146" s="169"/>
      <c r="K146" s="169"/>
      <c r="L146" s="169"/>
      <c r="M146" s="66"/>
      <c r="N146" s="169"/>
      <c r="O146" s="169"/>
      <c r="P146" s="66"/>
      <c r="Q146" s="169"/>
      <c r="R146" s="169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</row>
    <row r="147" ht="19.5" customHeight="1">
      <c r="B147" s="168"/>
      <c r="C147" s="168"/>
      <c r="D147" s="169"/>
      <c r="E147" s="169"/>
      <c r="F147" s="169"/>
      <c r="G147" s="169"/>
      <c r="H147" s="169"/>
      <c r="I147" s="169"/>
      <c r="J147" s="169"/>
      <c r="K147" s="169"/>
      <c r="L147" s="169"/>
      <c r="M147" s="66"/>
      <c r="N147" s="169"/>
      <c r="O147" s="169"/>
      <c r="P147" s="66"/>
      <c r="Q147" s="169"/>
      <c r="R147" s="169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</row>
    <row r="148" ht="19.5" customHeight="1">
      <c r="B148" s="168"/>
      <c r="C148" s="168"/>
      <c r="D148" s="169"/>
      <c r="E148" s="169"/>
      <c r="F148" s="169"/>
      <c r="G148" s="169"/>
      <c r="H148" s="169"/>
      <c r="I148" s="169"/>
      <c r="J148" s="169"/>
      <c r="K148" s="169"/>
      <c r="L148" s="169"/>
      <c r="M148" s="66"/>
      <c r="N148" s="169"/>
      <c r="O148" s="169"/>
      <c r="P148" s="66"/>
      <c r="Q148" s="169"/>
      <c r="R148" s="169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</row>
    <row r="149" ht="19.5" customHeight="1">
      <c r="B149" s="168"/>
      <c r="C149" s="168"/>
      <c r="D149" s="169"/>
      <c r="E149" s="169"/>
      <c r="F149" s="169"/>
      <c r="G149" s="169"/>
      <c r="H149" s="169"/>
      <c r="I149" s="169"/>
      <c r="J149" s="169"/>
      <c r="K149" s="169"/>
      <c r="L149" s="169"/>
      <c r="M149" s="66"/>
      <c r="N149" s="169"/>
      <c r="O149" s="169"/>
      <c r="P149" s="66"/>
      <c r="Q149" s="169"/>
      <c r="R149" s="169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</row>
    <row r="150" ht="19.5" customHeight="1">
      <c r="B150" s="168"/>
      <c r="C150" s="168"/>
      <c r="D150" s="169"/>
      <c r="E150" s="169"/>
      <c r="F150" s="169"/>
      <c r="G150" s="169"/>
      <c r="H150" s="169"/>
      <c r="I150" s="169"/>
      <c r="J150" s="169"/>
      <c r="K150" s="169"/>
      <c r="L150" s="169"/>
      <c r="M150" s="66"/>
      <c r="N150" s="169"/>
      <c r="O150" s="169"/>
      <c r="P150" s="66"/>
      <c r="Q150" s="169"/>
      <c r="R150" s="169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 ht="19.5" customHeight="1">
      <c r="B151" s="168"/>
      <c r="C151" s="168"/>
      <c r="D151" s="169"/>
      <c r="E151" s="169"/>
      <c r="F151" s="169"/>
      <c r="G151" s="169"/>
      <c r="H151" s="169"/>
      <c r="I151" s="169"/>
      <c r="J151" s="169"/>
      <c r="K151" s="169"/>
      <c r="L151" s="169"/>
      <c r="M151" s="66"/>
      <c r="N151" s="169"/>
      <c r="O151" s="169"/>
      <c r="P151" s="66"/>
      <c r="Q151" s="169"/>
      <c r="R151" s="169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 ht="19.5" customHeight="1">
      <c r="B152" s="168"/>
      <c r="C152" s="168"/>
      <c r="D152" s="169"/>
      <c r="E152" s="169"/>
      <c r="F152" s="169"/>
      <c r="G152" s="169"/>
      <c r="H152" s="169"/>
      <c r="I152" s="169"/>
      <c r="J152" s="169"/>
      <c r="K152" s="169"/>
      <c r="L152" s="169"/>
      <c r="M152" s="66"/>
      <c r="N152" s="169"/>
      <c r="O152" s="169"/>
      <c r="P152" s="66"/>
      <c r="Q152" s="169"/>
      <c r="R152" s="169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 ht="19.5" customHeight="1">
      <c r="B153" s="168"/>
      <c r="C153" s="168"/>
      <c r="D153" s="169"/>
      <c r="E153" s="169"/>
      <c r="F153" s="169"/>
      <c r="G153" s="169"/>
      <c r="H153" s="169"/>
      <c r="I153" s="169"/>
      <c r="J153" s="169"/>
      <c r="K153" s="169"/>
      <c r="L153" s="169"/>
      <c r="M153" s="66"/>
      <c r="N153" s="169"/>
      <c r="O153" s="169"/>
      <c r="P153" s="66"/>
      <c r="Q153" s="169"/>
      <c r="R153" s="169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 ht="19.5" customHeight="1">
      <c r="B154" s="168"/>
      <c r="C154" s="168"/>
      <c r="D154" s="169"/>
      <c r="E154" s="169"/>
      <c r="F154" s="169"/>
      <c r="G154" s="169"/>
      <c r="H154" s="169"/>
      <c r="I154" s="169"/>
      <c r="J154" s="169"/>
      <c r="K154" s="169"/>
      <c r="L154" s="169"/>
      <c r="M154" s="66"/>
      <c r="N154" s="169"/>
      <c r="O154" s="169"/>
      <c r="P154" s="66"/>
      <c r="Q154" s="169"/>
      <c r="R154" s="169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 ht="19.5" customHeight="1">
      <c r="B155" s="168"/>
      <c r="C155" s="168"/>
      <c r="D155" s="169"/>
      <c r="E155" s="169"/>
      <c r="F155" s="169"/>
      <c r="G155" s="169"/>
      <c r="H155" s="169"/>
      <c r="I155" s="169"/>
      <c r="J155" s="169"/>
      <c r="K155" s="169"/>
      <c r="L155" s="169"/>
      <c r="M155" s="66"/>
      <c r="N155" s="169"/>
      <c r="O155" s="169"/>
      <c r="P155" s="66"/>
      <c r="Q155" s="169"/>
      <c r="R155" s="169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 ht="19.5" customHeight="1">
      <c r="B156" s="168"/>
      <c r="C156" s="168"/>
      <c r="D156" s="169"/>
      <c r="E156" s="169"/>
      <c r="F156" s="169"/>
      <c r="G156" s="169"/>
      <c r="H156" s="169"/>
      <c r="I156" s="169"/>
      <c r="J156" s="169"/>
      <c r="K156" s="169"/>
      <c r="L156" s="169"/>
      <c r="M156" s="66"/>
      <c r="N156" s="169"/>
      <c r="O156" s="169"/>
      <c r="P156" s="66"/>
      <c r="Q156" s="169"/>
      <c r="R156" s="169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 ht="19.5" customHeight="1">
      <c r="B157" s="168"/>
      <c r="C157" s="168"/>
      <c r="D157" s="169"/>
      <c r="E157" s="169"/>
      <c r="F157" s="169"/>
      <c r="G157" s="169"/>
      <c r="H157" s="169"/>
      <c r="I157" s="169"/>
      <c r="J157" s="169"/>
      <c r="K157" s="169"/>
      <c r="L157" s="169"/>
      <c r="M157" s="66"/>
      <c r="N157" s="169"/>
      <c r="O157" s="169"/>
      <c r="P157" s="66"/>
      <c r="Q157" s="169"/>
      <c r="R157" s="169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 ht="19.5" customHeight="1">
      <c r="B158" s="168"/>
      <c r="C158" s="168"/>
      <c r="D158" s="169"/>
      <c r="E158" s="169"/>
      <c r="F158" s="169"/>
      <c r="G158" s="169"/>
      <c r="H158" s="169"/>
      <c r="I158" s="169"/>
      <c r="J158" s="169"/>
      <c r="K158" s="169"/>
      <c r="L158" s="169"/>
      <c r="M158" s="66"/>
      <c r="N158" s="169"/>
      <c r="O158" s="169"/>
      <c r="P158" s="66"/>
      <c r="Q158" s="169"/>
      <c r="R158" s="169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</row>
    <row r="159" ht="19.5" customHeight="1">
      <c r="B159" s="168"/>
      <c r="C159" s="168"/>
      <c r="D159" s="169"/>
      <c r="E159" s="169"/>
      <c r="F159" s="169"/>
      <c r="G159" s="169"/>
      <c r="H159" s="169"/>
      <c r="I159" s="169"/>
      <c r="J159" s="169"/>
      <c r="K159" s="169"/>
      <c r="L159" s="169"/>
      <c r="M159" s="66"/>
      <c r="N159" s="169"/>
      <c r="O159" s="169"/>
      <c r="P159" s="66"/>
      <c r="Q159" s="169"/>
      <c r="R159" s="169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 ht="19.5" customHeight="1">
      <c r="B160" s="168"/>
      <c r="C160" s="168"/>
      <c r="D160" s="169"/>
      <c r="E160" s="169"/>
      <c r="F160" s="169"/>
      <c r="G160" s="169"/>
      <c r="H160" s="169"/>
      <c r="I160" s="169"/>
      <c r="J160" s="169"/>
      <c r="K160" s="169"/>
      <c r="L160" s="169"/>
      <c r="M160" s="66"/>
      <c r="N160" s="169"/>
      <c r="O160" s="169"/>
      <c r="P160" s="66"/>
      <c r="Q160" s="169"/>
      <c r="R160" s="169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 ht="19.5" customHeight="1">
      <c r="B161" s="168"/>
      <c r="C161" s="168"/>
      <c r="D161" s="169"/>
      <c r="E161" s="169"/>
      <c r="F161" s="169"/>
      <c r="G161" s="169"/>
      <c r="H161" s="169"/>
      <c r="I161" s="169"/>
      <c r="J161" s="169"/>
      <c r="K161" s="169"/>
      <c r="L161" s="169"/>
      <c r="M161" s="66"/>
      <c r="N161" s="169"/>
      <c r="O161" s="169"/>
      <c r="P161" s="66"/>
      <c r="Q161" s="169"/>
      <c r="R161" s="169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</row>
    <row r="162" ht="19.5" customHeight="1">
      <c r="B162" s="168"/>
      <c r="C162" s="168"/>
      <c r="D162" s="169"/>
      <c r="E162" s="169"/>
      <c r="F162" s="169"/>
      <c r="G162" s="169"/>
      <c r="H162" s="169"/>
      <c r="I162" s="169"/>
      <c r="J162" s="169"/>
      <c r="K162" s="169"/>
      <c r="L162" s="169"/>
      <c r="M162" s="66"/>
      <c r="N162" s="169"/>
      <c r="O162" s="169"/>
      <c r="P162" s="66"/>
      <c r="Q162" s="169"/>
      <c r="R162" s="169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 ht="19.5" customHeight="1">
      <c r="B163" s="168"/>
      <c r="C163" s="168"/>
      <c r="D163" s="169"/>
      <c r="E163" s="169"/>
      <c r="F163" s="169"/>
      <c r="G163" s="169"/>
      <c r="H163" s="169"/>
      <c r="I163" s="169"/>
      <c r="J163" s="169"/>
      <c r="K163" s="169"/>
      <c r="L163" s="169"/>
      <c r="M163" s="66"/>
      <c r="N163" s="169"/>
      <c r="O163" s="169"/>
      <c r="P163" s="66"/>
      <c r="Q163" s="169"/>
      <c r="R163" s="169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 ht="19.5" customHeight="1">
      <c r="B164" s="168"/>
      <c r="C164" s="168"/>
      <c r="D164" s="169"/>
      <c r="E164" s="169"/>
      <c r="F164" s="169"/>
      <c r="G164" s="169"/>
      <c r="H164" s="169"/>
      <c r="I164" s="169"/>
      <c r="J164" s="169"/>
      <c r="K164" s="169"/>
      <c r="L164" s="169"/>
      <c r="M164" s="66"/>
      <c r="N164" s="169"/>
      <c r="O164" s="169"/>
      <c r="P164" s="66"/>
      <c r="Q164" s="169"/>
      <c r="R164" s="169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 ht="19.5" customHeight="1">
      <c r="B165" s="168"/>
      <c r="C165" s="168"/>
      <c r="D165" s="169"/>
      <c r="E165" s="169"/>
      <c r="F165" s="169"/>
      <c r="G165" s="169"/>
      <c r="H165" s="169"/>
      <c r="I165" s="169"/>
      <c r="J165" s="169"/>
      <c r="K165" s="169"/>
      <c r="L165" s="169"/>
      <c r="M165" s="66"/>
      <c r="N165" s="169"/>
      <c r="O165" s="169"/>
      <c r="P165" s="66"/>
      <c r="Q165" s="169"/>
      <c r="R165" s="169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</row>
    <row r="166" ht="19.5" customHeight="1">
      <c r="B166" s="168"/>
      <c r="C166" s="168"/>
      <c r="D166" s="169"/>
      <c r="E166" s="169"/>
      <c r="F166" s="169"/>
      <c r="G166" s="169"/>
      <c r="H166" s="169"/>
      <c r="I166" s="169"/>
      <c r="J166" s="169"/>
      <c r="K166" s="169"/>
      <c r="L166" s="169"/>
      <c r="M166" s="66"/>
      <c r="N166" s="169"/>
      <c r="O166" s="169"/>
      <c r="P166" s="66"/>
      <c r="Q166" s="169"/>
      <c r="R166" s="169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</row>
    <row r="167" ht="19.5" customHeight="1">
      <c r="B167" s="168"/>
      <c r="C167" s="168"/>
      <c r="D167" s="169"/>
      <c r="E167" s="169"/>
      <c r="F167" s="169"/>
      <c r="G167" s="169"/>
      <c r="H167" s="169"/>
      <c r="I167" s="169"/>
      <c r="J167" s="169"/>
      <c r="K167" s="169"/>
      <c r="L167" s="169"/>
      <c r="M167" s="66"/>
      <c r="N167" s="169"/>
      <c r="O167" s="169"/>
      <c r="P167" s="66"/>
      <c r="Q167" s="169"/>
      <c r="R167" s="169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 ht="19.5" customHeight="1">
      <c r="B168" s="168"/>
      <c r="C168" s="168"/>
      <c r="D168" s="169"/>
      <c r="E168" s="169"/>
      <c r="F168" s="169"/>
      <c r="G168" s="169"/>
      <c r="H168" s="169"/>
      <c r="I168" s="169"/>
      <c r="J168" s="169"/>
      <c r="K168" s="169"/>
      <c r="L168" s="169"/>
      <c r="M168" s="66"/>
      <c r="N168" s="169"/>
      <c r="O168" s="169"/>
      <c r="P168" s="66"/>
      <c r="Q168" s="169"/>
      <c r="R168" s="169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 ht="19.5" customHeight="1">
      <c r="B169" s="168"/>
      <c r="C169" s="168"/>
      <c r="D169" s="169"/>
      <c r="E169" s="169"/>
      <c r="F169" s="169"/>
      <c r="G169" s="169"/>
      <c r="H169" s="169"/>
      <c r="I169" s="169"/>
      <c r="J169" s="169"/>
      <c r="K169" s="169"/>
      <c r="L169" s="169"/>
      <c r="M169" s="66"/>
      <c r="N169" s="169"/>
      <c r="O169" s="169"/>
      <c r="P169" s="66"/>
      <c r="Q169" s="169"/>
      <c r="R169" s="169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</row>
    <row r="170" ht="19.5" customHeight="1">
      <c r="B170" s="168"/>
      <c r="C170" s="168"/>
      <c r="D170" s="169"/>
      <c r="E170" s="169"/>
      <c r="F170" s="169"/>
      <c r="G170" s="169"/>
      <c r="H170" s="169"/>
      <c r="I170" s="169"/>
      <c r="J170" s="169"/>
      <c r="K170" s="169"/>
      <c r="L170" s="169"/>
      <c r="M170" s="66"/>
      <c r="N170" s="169"/>
      <c r="O170" s="169"/>
      <c r="P170" s="66"/>
      <c r="Q170" s="169"/>
      <c r="R170" s="169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</row>
    <row r="171" ht="19.5" customHeight="1">
      <c r="B171" s="168"/>
      <c r="C171" s="168"/>
      <c r="D171" s="169"/>
      <c r="E171" s="169"/>
      <c r="F171" s="169"/>
      <c r="G171" s="169"/>
      <c r="H171" s="169"/>
      <c r="I171" s="169"/>
      <c r="J171" s="169"/>
      <c r="K171" s="169"/>
      <c r="L171" s="169"/>
      <c r="M171" s="66"/>
      <c r="N171" s="169"/>
      <c r="O171" s="169"/>
      <c r="P171" s="66"/>
      <c r="Q171" s="169"/>
      <c r="R171" s="169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 ht="19.5" customHeight="1">
      <c r="B172" s="168"/>
      <c r="C172" s="168"/>
      <c r="D172" s="169"/>
      <c r="E172" s="169"/>
      <c r="F172" s="169"/>
      <c r="G172" s="169"/>
      <c r="H172" s="169"/>
      <c r="I172" s="169"/>
      <c r="J172" s="169"/>
      <c r="K172" s="169"/>
      <c r="L172" s="169"/>
      <c r="M172" s="66"/>
      <c r="N172" s="169"/>
      <c r="O172" s="169"/>
      <c r="P172" s="66"/>
      <c r="Q172" s="169"/>
      <c r="R172" s="169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</row>
    <row r="173" ht="19.5" customHeight="1">
      <c r="B173" s="168"/>
      <c r="C173" s="168"/>
      <c r="D173" s="169"/>
      <c r="E173" s="169"/>
      <c r="F173" s="169"/>
      <c r="G173" s="169"/>
      <c r="H173" s="169"/>
      <c r="I173" s="169"/>
      <c r="J173" s="169"/>
      <c r="K173" s="169"/>
      <c r="L173" s="169"/>
      <c r="M173" s="66"/>
      <c r="N173" s="169"/>
      <c r="O173" s="169"/>
      <c r="P173" s="66"/>
      <c r="Q173" s="169"/>
      <c r="R173" s="169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</row>
    <row r="174" ht="19.5" customHeight="1">
      <c r="B174" s="168"/>
      <c r="C174" s="168"/>
      <c r="D174" s="169"/>
      <c r="E174" s="169"/>
      <c r="F174" s="169"/>
      <c r="G174" s="169"/>
      <c r="H174" s="169"/>
      <c r="I174" s="169"/>
      <c r="J174" s="169"/>
      <c r="K174" s="169"/>
      <c r="L174" s="169"/>
      <c r="M174" s="66"/>
      <c r="N174" s="169"/>
      <c r="O174" s="169"/>
      <c r="P174" s="66"/>
      <c r="Q174" s="169"/>
      <c r="R174" s="169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</row>
    <row r="175" ht="19.5" customHeight="1">
      <c r="B175" s="168"/>
      <c r="C175" s="168"/>
      <c r="D175" s="169"/>
      <c r="E175" s="169"/>
      <c r="F175" s="169"/>
      <c r="G175" s="169"/>
      <c r="H175" s="169"/>
      <c r="I175" s="169"/>
      <c r="J175" s="169"/>
      <c r="K175" s="169"/>
      <c r="L175" s="169"/>
      <c r="M175" s="66"/>
      <c r="N175" s="169"/>
      <c r="O175" s="169"/>
      <c r="P175" s="66"/>
      <c r="Q175" s="169"/>
      <c r="R175" s="169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</row>
    <row r="176" ht="19.5" customHeight="1">
      <c r="B176" s="168"/>
      <c r="C176" s="168"/>
      <c r="D176" s="169"/>
      <c r="E176" s="169"/>
      <c r="F176" s="169"/>
      <c r="G176" s="169"/>
      <c r="H176" s="169"/>
      <c r="I176" s="169"/>
      <c r="J176" s="169"/>
      <c r="K176" s="169"/>
      <c r="L176" s="169"/>
      <c r="M176" s="66"/>
      <c r="N176" s="169"/>
      <c r="O176" s="169"/>
      <c r="P176" s="66"/>
      <c r="Q176" s="169"/>
      <c r="R176" s="169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</row>
    <row r="177" ht="19.5" customHeight="1">
      <c r="B177" s="168"/>
      <c r="C177" s="168"/>
      <c r="D177" s="169"/>
      <c r="E177" s="169"/>
      <c r="F177" s="169"/>
      <c r="G177" s="169"/>
      <c r="H177" s="169"/>
      <c r="I177" s="169"/>
      <c r="J177" s="169"/>
      <c r="K177" s="169"/>
      <c r="L177" s="169"/>
      <c r="M177" s="66"/>
      <c r="N177" s="169"/>
      <c r="O177" s="169"/>
      <c r="P177" s="66"/>
      <c r="Q177" s="169"/>
      <c r="R177" s="169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</row>
    <row r="178" ht="19.5" customHeight="1">
      <c r="B178" s="168"/>
      <c r="C178" s="168"/>
      <c r="D178" s="169"/>
      <c r="E178" s="169"/>
      <c r="F178" s="169"/>
      <c r="G178" s="169"/>
      <c r="H178" s="169"/>
      <c r="I178" s="169"/>
      <c r="J178" s="169"/>
      <c r="K178" s="169"/>
      <c r="L178" s="169"/>
      <c r="M178" s="66"/>
      <c r="N178" s="169"/>
      <c r="O178" s="169"/>
      <c r="P178" s="66"/>
      <c r="Q178" s="169"/>
      <c r="R178" s="169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</row>
    <row r="179" ht="19.5" customHeight="1">
      <c r="B179" s="168"/>
      <c r="C179" s="168"/>
      <c r="D179" s="169"/>
      <c r="E179" s="169"/>
      <c r="F179" s="169"/>
      <c r="G179" s="169"/>
      <c r="H179" s="169"/>
      <c r="I179" s="169"/>
      <c r="J179" s="169"/>
      <c r="K179" s="169"/>
      <c r="L179" s="169"/>
      <c r="M179" s="66"/>
      <c r="N179" s="169"/>
      <c r="O179" s="169"/>
      <c r="P179" s="66"/>
      <c r="Q179" s="169"/>
      <c r="R179" s="169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</row>
    <row r="180" ht="19.5" customHeight="1">
      <c r="B180" s="168"/>
      <c r="C180" s="168"/>
      <c r="D180" s="169"/>
      <c r="E180" s="169"/>
      <c r="F180" s="169"/>
      <c r="G180" s="169"/>
      <c r="H180" s="169"/>
      <c r="I180" s="169"/>
      <c r="J180" s="169"/>
      <c r="K180" s="169"/>
      <c r="L180" s="169"/>
      <c r="M180" s="66"/>
      <c r="N180" s="169"/>
      <c r="O180" s="169"/>
      <c r="P180" s="66"/>
      <c r="Q180" s="169"/>
      <c r="R180" s="169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</row>
    <row r="181" ht="19.5" customHeight="1">
      <c r="B181" s="168"/>
      <c r="C181" s="168"/>
      <c r="D181" s="169"/>
      <c r="E181" s="169"/>
      <c r="F181" s="169"/>
      <c r="G181" s="169"/>
      <c r="H181" s="169"/>
      <c r="I181" s="169"/>
      <c r="J181" s="169"/>
      <c r="K181" s="169"/>
      <c r="L181" s="169"/>
      <c r="M181" s="66"/>
      <c r="N181" s="169"/>
      <c r="O181" s="169"/>
      <c r="P181" s="66"/>
      <c r="Q181" s="169"/>
      <c r="R181" s="169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</row>
    <row r="182" ht="19.5" customHeight="1">
      <c r="B182" s="168"/>
      <c r="C182" s="168"/>
      <c r="D182" s="169"/>
      <c r="E182" s="169"/>
      <c r="F182" s="169"/>
      <c r="G182" s="169"/>
      <c r="H182" s="169"/>
      <c r="I182" s="169"/>
      <c r="J182" s="169"/>
      <c r="K182" s="169"/>
      <c r="L182" s="169"/>
      <c r="M182" s="66"/>
      <c r="N182" s="169"/>
      <c r="O182" s="169"/>
      <c r="P182" s="66"/>
      <c r="Q182" s="169"/>
      <c r="R182" s="169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</row>
    <row r="183" ht="19.5" customHeight="1">
      <c r="B183" s="168"/>
      <c r="C183" s="168"/>
      <c r="D183" s="169"/>
      <c r="E183" s="169"/>
      <c r="F183" s="169"/>
      <c r="G183" s="169"/>
      <c r="H183" s="169"/>
      <c r="I183" s="169"/>
      <c r="J183" s="169"/>
      <c r="K183" s="169"/>
      <c r="L183" s="169"/>
      <c r="M183" s="66"/>
      <c r="N183" s="169"/>
      <c r="O183" s="169"/>
      <c r="P183" s="66"/>
      <c r="Q183" s="169"/>
      <c r="R183" s="169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</row>
    <row r="184" ht="19.5" customHeight="1">
      <c r="B184" s="168"/>
      <c r="C184" s="168"/>
      <c r="D184" s="169"/>
      <c r="E184" s="169"/>
      <c r="F184" s="169"/>
      <c r="G184" s="169"/>
      <c r="H184" s="169"/>
      <c r="I184" s="169"/>
      <c r="J184" s="169"/>
      <c r="K184" s="169"/>
      <c r="L184" s="169"/>
      <c r="M184" s="66"/>
      <c r="N184" s="169"/>
      <c r="O184" s="169"/>
      <c r="P184" s="66"/>
      <c r="Q184" s="169"/>
      <c r="R184" s="169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</row>
    <row r="185" ht="19.5" customHeight="1">
      <c r="B185" s="168"/>
      <c r="C185" s="168"/>
      <c r="D185" s="169"/>
      <c r="E185" s="169"/>
      <c r="F185" s="169"/>
      <c r="G185" s="169"/>
      <c r="H185" s="169"/>
      <c r="I185" s="169"/>
      <c r="J185" s="169"/>
      <c r="K185" s="169"/>
      <c r="L185" s="169"/>
      <c r="M185" s="66"/>
      <c r="N185" s="169"/>
      <c r="O185" s="169"/>
      <c r="P185" s="66"/>
      <c r="Q185" s="169"/>
      <c r="R185" s="169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 ht="19.5" customHeight="1">
      <c r="B186" s="168"/>
      <c r="C186" s="168"/>
      <c r="D186" s="169"/>
      <c r="E186" s="169"/>
      <c r="F186" s="169"/>
      <c r="G186" s="169"/>
      <c r="H186" s="169"/>
      <c r="I186" s="169"/>
      <c r="J186" s="169"/>
      <c r="K186" s="169"/>
      <c r="L186" s="169"/>
      <c r="M186" s="66"/>
      <c r="N186" s="169"/>
      <c r="O186" s="169"/>
      <c r="P186" s="66"/>
      <c r="Q186" s="169"/>
      <c r="R186" s="169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</row>
    <row r="187" ht="19.5" customHeight="1">
      <c r="B187" s="168"/>
      <c r="C187" s="168"/>
      <c r="D187" s="169"/>
      <c r="E187" s="169"/>
      <c r="F187" s="169"/>
      <c r="G187" s="169"/>
      <c r="H187" s="169"/>
      <c r="I187" s="169"/>
      <c r="J187" s="169"/>
      <c r="K187" s="169"/>
      <c r="L187" s="169"/>
      <c r="M187" s="66"/>
      <c r="N187" s="169"/>
      <c r="O187" s="169"/>
      <c r="P187" s="66"/>
      <c r="Q187" s="169"/>
      <c r="R187" s="169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</row>
    <row r="188" ht="19.5" customHeight="1">
      <c r="B188" s="168"/>
      <c r="C188" s="168"/>
      <c r="D188" s="169"/>
      <c r="E188" s="169"/>
      <c r="F188" s="169"/>
      <c r="G188" s="169"/>
      <c r="H188" s="169"/>
      <c r="I188" s="169"/>
      <c r="J188" s="169"/>
      <c r="K188" s="169"/>
      <c r="L188" s="169"/>
      <c r="M188" s="66"/>
      <c r="N188" s="169"/>
      <c r="O188" s="169"/>
      <c r="P188" s="66"/>
      <c r="Q188" s="169"/>
      <c r="R188" s="169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</row>
    <row r="189" ht="19.5" customHeight="1">
      <c r="B189" s="168"/>
      <c r="C189" s="168"/>
      <c r="D189" s="169"/>
      <c r="E189" s="169"/>
      <c r="F189" s="169"/>
      <c r="G189" s="169"/>
      <c r="H189" s="169"/>
      <c r="I189" s="169"/>
      <c r="J189" s="169"/>
      <c r="K189" s="169"/>
      <c r="L189" s="169"/>
      <c r="M189" s="66"/>
      <c r="N189" s="169"/>
      <c r="O189" s="169"/>
      <c r="P189" s="66"/>
      <c r="Q189" s="169"/>
      <c r="R189" s="169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</row>
    <row r="190" ht="19.5" customHeight="1">
      <c r="B190" s="168"/>
      <c r="C190" s="168"/>
      <c r="D190" s="169"/>
      <c r="E190" s="169"/>
      <c r="F190" s="169"/>
      <c r="G190" s="169"/>
      <c r="H190" s="169"/>
      <c r="I190" s="169"/>
      <c r="J190" s="169"/>
      <c r="K190" s="169"/>
      <c r="L190" s="169"/>
      <c r="M190" s="66"/>
      <c r="N190" s="169"/>
      <c r="O190" s="169"/>
      <c r="P190" s="66"/>
      <c r="Q190" s="169"/>
      <c r="R190" s="169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</row>
    <row r="191" ht="19.5" customHeight="1">
      <c r="B191" s="168"/>
      <c r="C191" s="168"/>
      <c r="D191" s="169"/>
      <c r="E191" s="169"/>
      <c r="F191" s="169"/>
      <c r="G191" s="169"/>
      <c r="H191" s="169"/>
      <c r="I191" s="169"/>
      <c r="J191" s="169"/>
      <c r="K191" s="169"/>
      <c r="L191" s="169"/>
      <c r="M191" s="66"/>
      <c r="N191" s="169"/>
      <c r="O191" s="169"/>
      <c r="P191" s="66"/>
      <c r="Q191" s="169"/>
      <c r="R191" s="169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</row>
    <row r="192" ht="19.5" customHeight="1">
      <c r="B192" s="168"/>
      <c r="C192" s="168"/>
      <c r="D192" s="169"/>
      <c r="E192" s="169"/>
      <c r="F192" s="169"/>
      <c r="G192" s="169"/>
      <c r="H192" s="169"/>
      <c r="I192" s="169"/>
      <c r="J192" s="169"/>
      <c r="K192" s="169"/>
      <c r="L192" s="169"/>
      <c r="M192" s="66"/>
      <c r="N192" s="169"/>
      <c r="O192" s="169"/>
      <c r="P192" s="66"/>
      <c r="Q192" s="169"/>
      <c r="R192" s="169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 ht="19.5" customHeight="1">
      <c r="B193" s="168"/>
      <c r="C193" s="168"/>
      <c r="D193" s="169"/>
      <c r="E193" s="169"/>
      <c r="F193" s="169"/>
      <c r="G193" s="169"/>
      <c r="H193" s="169"/>
      <c r="I193" s="169"/>
      <c r="J193" s="169"/>
      <c r="K193" s="169"/>
      <c r="L193" s="169"/>
      <c r="M193" s="66"/>
      <c r="N193" s="169"/>
      <c r="O193" s="169"/>
      <c r="P193" s="66"/>
      <c r="Q193" s="169"/>
      <c r="R193" s="169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</row>
    <row r="194" ht="19.5" customHeight="1">
      <c r="B194" s="168"/>
      <c r="C194" s="168"/>
      <c r="D194" s="169"/>
      <c r="E194" s="169"/>
      <c r="F194" s="169"/>
      <c r="G194" s="169"/>
      <c r="H194" s="169"/>
      <c r="I194" s="169"/>
      <c r="J194" s="169"/>
      <c r="K194" s="169"/>
      <c r="L194" s="169"/>
      <c r="M194" s="66"/>
      <c r="N194" s="169"/>
      <c r="O194" s="169"/>
      <c r="P194" s="66"/>
      <c r="Q194" s="169"/>
      <c r="R194" s="169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</row>
    <row r="195" ht="19.5" customHeight="1">
      <c r="B195" s="168"/>
      <c r="C195" s="168"/>
      <c r="D195" s="169"/>
      <c r="E195" s="169"/>
      <c r="F195" s="169"/>
      <c r="G195" s="169"/>
      <c r="H195" s="169"/>
      <c r="I195" s="169"/>
      <c r="J195" s="169"/>
      <c r="K195" s="169"/>
      <c r="L195" s="169"/>
      <c r="M195" s="66"/>
      <c r="N195" s="169"/>
      <c r="O195" s="169"/>
      <c r="P195" s="66"/>
      <c r="Q195" s="169"/>
      <c r="R195" s="169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</row>
    <row r="196" ht="19.5" customHeight="1">
      <c r="B196" s="168"/>
      <c r="C196" s="168"/>
      <c r="D196" s="169"/>
      <c r="E196" s="169"/>
      <c r="F196" s="169"/>
      <c r="G196" s="169"/>
      <c r="H196" s="169"/>
      <c r="I196" s="169"/>
      <c r="J196" s="169"/>
      <c r="K196" s="169"/>
      <c r="L196" s="169"/>
      <c r="M196" s="66"/>
      <c r="N196" s="169"/>
      <c r="O196" s="169"/>
      <c r="P196" s="66"/>
      <c r="Q196" s="169"/>
      <c r="R196" s="169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</row>
    <row r="197" ht="19.5" customHeight="1">
      <c r="B197" s="168"/>
      <c r="C197" s="168"/>
      <c r="D197" s="169"/>
      <c r="E197" s="169"/>
      <c r="F197" s="169"/>
      <c r="G197" s="169"/>
      <c r="H197" s="169"/>
      <c r="I197" s="169"/>
      <c r="J197" s="169"/>
      <c r="K197" s="169"/>
      <c r="L197" s="169"/>
      <c r="M197" s="66"/>
      <c r="N197" s="169"/>
      <c r="O197" s="169"/>
      <c r="P197" s="66"/>
      <c r="Q197" s="169"/>
      <c r="R197" s="169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</row>
    <row r="198" ht="19.5" customHeight="1">
      <c r="B198" s="168"/>
      <c r="C198" s="168"/>
      <c r="D198" s="169"/>
      <c r="E198" s="169"/>
      <c r="F198" s="169"/>
      <c r="G198" s="169"/>
      <c r="H198" s="169"/>
      <c r="I198" s="169"/>
      <c r="J198" s="169"/>
      <c r="K198" s="169"/>
      <c r="L198" s="169"/>
      <c r="M198" s="66"/>
      <c r="N198" s="169"/>
      <c r="O198" s="169"/>
      <c r="P198" s="66"/>
      <c r="Q198" s="169"/>
      <c r="R198" s="169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</row>
    <row r="199" ht="19.5" customHeight="1">
      <c r="B199" s="168"/>
      <c r="C199" s="168"/>
      <c r="D199" s="169"/>
      <c r="E199" s="169"/>
      <c r="F199" s="169"/>
      <c r="G199" s="169"/>
      <c r="H199" s="169"/>
      <c r="I199" s="169"/>
      <c r="J199" s="169"/>
      <c r="K199" s="169"/>
      <c r="L199" s="169"/>
      <c r="M199" s="66"/>
      <c r="N199" s="169"/>
      <c r="O199" s="169"/>
      <c r="P199" s="66"/>
      <c r="Q199" s="169"/>
      <c r="R199" s="169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 ht="19.5" customHeight="1">
      <c r="B200" s="168"/>
      <c r="C200" s="168"/>
      <c r="D200" s="169"/>
      <c r="E200" s="169"/>
      <c r="F200" s="169"/>
      <c r="G200" s="169"/>
      <c r="H200" s="169"/>
      <c r="I200" s="169"/>
      <c r="J200" s="169"/>
      <c r="K200" s="169"/>
      <c r="L200" s="169"/>
      <c r="M200" s="66"/>
      <c r="N200" s="169"/>
      <c r="O200" s="169"/>
      <c r="P200" s="66"/>
      <c r="Q200" s="169"/>
      <c r="R200" s="169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</row>
    <row r="201" ht="19.5" customHeight="1">
      <c r="B201" s="168"/>
      <c r="C201" s="168"/>
      <c r="D201" s="169"/>
      <c r="E201" s="169"/>
      <c r="F201" s="169"/>
      <c r="G201" s="169"/>
      <c r="H201" s="169"/>
      <c r="I201" s="169"/>
      <c r="J201" s="169"/>
      <c r="K201" s="169"/>
      <c r="L201" s="169"/>
      <c r="M201" s="66"/>
      <c r="N201" s="169"/>
      <c r="O201" s="169"/>
      <c r="P201" s="66"/>
      <c r="Q201" s="169"/>
      <c r="R201" s="169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</row>
    <row r="202" ht="19.5" customHeight="1">
      <c r="B202" s="168"/>
      <c r="C202" s="168"/>
      <c r="D202" s="169"/>
      <c r="E202" s="169"/>
      <c r="F202" s="169"/>
      <c r="G202" s="169"/>
      <c r="H202" s="169"/>
      <c r="I202" s="169"/>
      <c r="J202" s="169"/>
      <c r="K202" s="169"/>
      <c r="L202" s="169"/>
      <c r="M202" s="66"/>
      <c r="N202" s="169"/>
      <c r="O202" s="169"/>
      <c r="P202" s="66"/>
      <c r="Q202" s="169"/>
      <c r="R202" s="169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</row>
    <row r="203" ht="19.5" customHeight="1">
      <c r="B203" s="168"/>
      <c r="C203" s="168"/>
      <c r="D203" s="169"/>
      <c r="E203" s="169"/>
      <c r="F203" s="169"/>
      <c r="G203" s="169"/>
      <c r="H203" s="169"/>
      <c r="I203" s="169"/>
      <c r="J203" s="169"/>
      <c r="K203" s="169"/>
      <c r="L203" s="169"/>
      <c r="M203" s="66"/>
      <c r="N203" s="169"/>
      <c r="O203" s="169"/>
      <c r="P203" s="66"/>
      <c r="Q203" s="169"/>
      <c r="R203" s="169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</row>
    <row r="204" ht="19.5" customHeight="1">
      <c r="B204" s="168"/>
      <c r="C204" s="168"/>
      <c r="D204" s="169"/>
      <c r="E204" s="169"/>
      <c r="F204" s="169"/>
      <c r="G204" s="169"/>
      <c r="H204" s="169"/>
      <c r="I204" s="169"/>
      <c r="J204" s="169"/>
      <c r="K204" s="169"/>
      <c r="L204" s="169"/>
      <c r="M204" s="66"/>
      <c r="N204" s="169"/>
      <c r="O204" s="169"/>
      <c r="P204" s="66"/>
      <c r="Q204" s="169"/>
      <c r="R204" s="169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 ht="19.5" customHeight="1">
      <c r="B205" s="168"/>
      <c r="C205" s="168"/>
      <c r="D205" s="169"/>
      <c r="E205" s="169"/>
      <c r="F205" s="169"/>
      <c r="G205" s="169"/>
      <c r="H205" s="169"/>
      <c r="I205" s="169"/>
      <c r="J205" s="169"/>
      <c r="K205" s="169"/>
      <c r="L205" s="169"/>
      <c r="M205" s="66"/>
      <c r="N205" s="169"/>
      <c r="O205" s="169"/>
      <c r="P205" s="66"/>
      <c r="Q205" s="169"/>
      <c r="R205" s="169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</row>
    <row r="206" ht="19.5" customHeight="1">
      <c r="B206" s="168"/>
      <c r="C206" s="168"/>
      <c r="D206" s="169"/>
      <c r="E206" s="169"/>
      <c r="F206" s="169"/>
      <c r="G206" s="169"/>
      <c r="H206" s="169"/>
      <c r="I206" s="169"/>
      <c r="J206" s="169"/>
      <c r="K206" s="169"/>
      <c r="L206" s="169"/>
      <c r="M206" s="66"/>
      <c r="N206" s="169"/>
      <c r="O206" s="169"/>
      <c r="P206" s="66"/>
      <c r="Q206" s="169"/>
      <c r="R206" s="169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 ht="19.5" customHeight="1">
      <c r="B207" s="168"/>
      <c r="C207" s="168"/>
      <c r="D207" s="169"/>
      <c r="E207" s="169"/>
      <c r="F207" s="169"/>
      <c r="G207" s="169"/>
      <c r="H207" s="169"/>
      <c r="I207" s="169"/>
      <c r="J207" s="169"/>
      <c r="K207" s="169"/>
      <c r="L207" s="169"/>
      <c r="M207" s="66"/>
      <c r="N207" s="169"/>
      <c r="O207" s="169"/>
      <c r="P207" s="66"/>
      <c r="Q207" s="169"/>
      <c r="R207" s="169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</row>
    <row r="208" ht="19.5" customHeight="1">
      <c r="B208" s="168"/>
      <c r="C208" s="168"/>
      <c r="D208" s="169"/>
      <c r="E208" s="169"/>
      <c r="F208" s="169"/>
      <c r="G208" s="169"/>
      <c r="H208" s="169"/>
      <c r="I208" s="169"/>
      <c r="J208" s="169"/>
      <c r="K208" s="169"/>
      <c r="L208" s="169"/>
      <c r="M208" s="66"/>
      <c r="N208" s="169"/>
      <c r="O208" s="169"/>
      <c r="P208" s="66"/>
      <c r="Q208" s="169"/>
      <c r="R208" s="169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</row>
    <row r="209" ht="19.5" customHeight="1">
      <c r="B209" s="168"/>
      <c r="C209" s="168"/>
      <c r="D209" s="169"/>
      <c r="E209" s="169"/>
      <c r="F209" s="169"/>
      <c r="G209" s="169"/>
      <c r="H209" s="169"/>
      <c r="I209" s="169"/>
      <c r="J209" s="169"/>
      <c r="K209" s="169"/>
      <c r="L209" s="169"/>
      <c r="M209" s="66"/>
      <c r="N209" s="169"/>
      <c r="O209" s="169"/>
      <c r="P209" s="66"/>
      <c r="Q209" s="169"/>
      <c r="R209" s="169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</row>
    <row r="210" ht="19.5" customHeight="1">
      <c r="B210" s="168"/>
      <c r="C210" s="168"/>
      <c r="D210" s="169"/>
      <c r="E210" s="169"/>
      <c r="F210" s="169"/>
      <c r="G210" s="169"/>
      <c r="H210" s="169"/>
      <c r="I210" s="169"/>
      <c r="J210" s="169"/>
      <c r="K210" s="169"/>
      <c r="L210" s="169"/>
      <c r="M210" s="66"/>
      <c r="N210" s="169"/>
      <c r="O210" s="169"/>
      <c r="P210" s="66"/>
      <c r="Q210" s="169"/>
      <c r="R210" s="169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</row>
    <row r="211" ht="19.5" customHeight="1">
      <c r="B211" s="168"/>
      <c r="C211" s="168"/>
      <c r="D211" s="169"/>
      <c r="E211" s="169"/>
      <c r="F211" s="169"/>
      <c r="G211" s="169"/>
      <c r="H211" s="169"/>
      <c r="I211" s="169"/>
      <c r="J211" s="169"/>
      <c r="K211" s="169"/>
      <c r="L211" s="169"/>
      <c r="M211" s="66"/>
      <c r="N211" s="169"/>
      <c r="O211" s="169"/>
      <c r="P211" s="66"/>
      <c r="Q211" s="169"/>
      <c r="R211" s="169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</row>
    <row r="212" ht="19.5" customHeight="1">
      <c r="B212" s="168"/>
      <c r="C212" s="168"/>
      <c r="D212" s="169"/>
      <c r="E212" s="169"/>
      <c r="F212" s="169"/>
      <c r="G212" s="169"/>
      <c r="H212" s="169"/>
      <c r="I212" s="169"/>
      <c r="J212" s="169"/>
      <c r="K212" s="169"/>
      <c r="L212" s="169"/>
      <c r="M212" s="66"/>
      <c r="N212" s="169"/>
      <c r="O212" s="169"/>
      <c r="P212" s="66"/>
      <c r="Q212" s="169"/>
      <c r="R212" s="169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</row>
    <row r="213" ht="19.5" customHeight="1">
      <c r="B213" s="168"/>
      <c r="C213" s="168"/>
      <c r="D213" s="169"/>
      <c r="E213" s="169"/>
      <c r="F213" s="169"/>
      <c r="G213" s="169"/>
      <c r="H213" s="169"/>
      <c r="I213" s="169"/>
      <c r="J213" s="169"/>
      <c r="K213" s="169"/>
      <c r="L213" s="169"/>
      <c r="M213" s="66"/>
      <c r="N213" s="169"/>
      <c r="O213" s="169"/>
      <c r="P213" s="66"/>
      <c r="Q213" s="169"/>
      <c r="R213" s="169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 ht="19.5" customHeight="1">
      <c r="B214" s="168"/>
      <c r="C214" s="168"/>
      <c r="D214" s="169"/>
      <c r="E214" s="169"/>
      <c r="F214" s="169"/>
      <c r="G214" s="169"/>
      <c r="H214" s="169"/>
      <c r="I214" s="169"/>
      <c r="J214" s="169"/>
      <c r="K214" s="169"/>
      <c r="L214" s="169"/>
      <c r="M214" s="66"/>
      <c r="N214" s="169"/>
      <c r="O214" s="169"/>
      <c r="P214" s="66"/>
      <c r="Q214" s="169"/>
      <c r="R214" s="169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</row>
    <row r="215" ht="19.5" customHeight="1">
      <c r="B215" s="168"/>
      <c r="C215" s="168"/>
      <c r="D215" s="169"/>
      <c r="E215" s="169"/>
      <c r="F215" s="169"/>
      <c r="G215" s="169"/>
      <c r="H215" s="169"/>
      <c r="I215" s="169"/>
      <c r="J215" s="169"/>
      <c r="K215" s="169"/>
      <c r="L215" s="169"/>
      <c r="M215" s="66"/>
      <c r="N215" s="169"/>
      <c r="O215" s="169"/>
      <c r="P215" s="66"/>
      <c r="Q215" s="169"/>
      <c r="R215" s="169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</row>
    <row r="216" ht="19.5" customHeight="1">
      <c r="B216" s="168"/>
      <c r="C216" s="168"/>
      <c r="D216" s="169"/>
      <c r="E216" s="169"/>
      <c r="F216" s="169"/>
      <c r="G216" s="169"/>
      <c r="H216" s="169"/>
      <c r="I216" s="169"/>
      <c r="J216" s="169"/>
      <c r="K216" s="169"/>
      <c r="L216" s="169"/>
      <c r="M216" s="66"/>
      <c r="N216" s="169"/>
      <c r="O216" s="169"/>
      <c r="P216" s="66"/>
      <c r="Q216" s="169"/>
      <c r="R216" s="169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</row>
    <row r="217" ht="19.5" customHeight="1">
      <c r="B217" s="168"/>
      <c r="C217" s="168"/>
      <c r="D217" s="169"/>
      <c r="E217" s="169"/>
      <c r="F217" s="169"/>
      <c r="G217" s="169"/>
      <c r="H217" s="169"/>
      <c r="I217" s="169"/>
      <c r="J217" s="169"/>
      <c r="K217" s="169"/>
      <c r="L217" s="169"/>
      <c r="M217" s="66"/>
      <c r="N217" s="169"/>
      <c r="O217" s="169"/>
      <c r="P217" s="66"/>
      <c r="Q217" s="169"/>
      <c r="R217" s="169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</row>
    <row r="218" ht="19.5" customHeight="1">
      <c r="B218" s="168"/>
      <c r="C218" s="168"/>
      <c r="D218" s="169"/>
      <c r="E218" s="169"/>
      <c r="F218" s="169"/>
      <c r="G218" s="169"/>
      <c r="H218" s="169"/>
      <c r="I218" s="169"/>
      <c r="J218" s="169"/>
      <c r="K218" s="169"/>
      <c r="L218" s="169"/>
      <c r="M218" s="66"/>
      <c r="N218" s="169"/>
      <c r="O218" s="169"/>
      <c r="P218" s="66"/>
      <c r="Q218" s="169"/>
      <c r="R218" s="169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 ht="19.5" customHeight="1">
      <c r="B219" s="168"/>
      <c r="C219" s="168"/>
      <c r="D219" s="169"/>
      <c r="E219" s="169"/>
      <c r="F219" s="169"/>
      <c r="G219" s="169"/>
      <c r="H219" s="169"/>
      <c r="I219" s="169"/>
      <c r="J219" s="169"/>
      <c r="K219" s="169"/>
      <c r="L219" s="169"/>
      <c r="M219" s="66"/>
      <c r="N219" s="169"/>
      <c r="O219" s="169"/>
      <c r="P219" s="66"/>
      <c r="Q219" s="169"/>
      <c r="R219" s="169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</row>
    <row r="220" ht="19.5" customHeight="1">
      <c r="B220" s="168"/>
      <c r="C220" s="168"/>
      <c r="D220" s="169"/>
      <c r="E220" s="169"/>
      <c r="F220" s="169"/>
      <c r="G220" s="169"/>
      <c r="H220" s="169"/>
      <c r="I220" s="169"/>
      <c r="J220" s="169"/>
      <c r="K220" s="169"/>
      <c r="L220" s="169"/>
      <c r="M220" s="66"/>
      <c r="N220" s="169"/>
      <c r="O220" s="169"/>
      <c r="P220" s="66"/>
      <c r="Q220" s="169"/>
      <c r="R220" s="169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 ht="19.5" customHeight="1">
      <c r="B221" s="168"/>
      <c r="C221" s="168"/>
      <c r="D221" s="169"/>
      <c r="E221" s="169"/>
      <c r="F221" s="169"/>
      <c r="G221" s="169"/>
      <c r="H221" s="169"/>
      <c r="I221" s="169"/>
      <c r="J221" s="169"/>
      <c r="K221" s="169"/>
      <c r="L221" s="169"/>
      <c r="M221" s="66"/>
      <c r="N221" s="169"/>
      <c r="O221" s="169"/>
      <c r="P221" s="66"/>
      <c r="Q221" s="169"/>
      <c r="R221" s="169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 ht="19.5" customHeight="1">
      <c r="B222" s="168"/>
      <c r="C222" s="168"/>
      <c r="D222" s="169"/>
      <c r="E222" s="169"/>
      <c r="F222" s="169"/>
      <c r="G222" s="169"/>
      <c r="H222" s="169"/>
      <c r="I222" s="169"/>
      <c r="J222" s="169"/>
      <c r="K222" s="169"/>
      <c r="L222" s="169"/>
      <c r="M222" s="66"/>
      <c r="N222" s="169"/>
      <c r="O222" s="169"/>
      <c r="P222" s="66"/>
      <c r="Q222" s="169"/>
      <c r="R222" s="169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 ht="19.5" customHeight="1">
      <c r="B223" s="168"/>
      <c r="C223" s="168"/>
      <c r="D223" s="169"/>
      <c r="E223" s="169"/>
      <c r="F223" s="169"/>
      <c r="G223" s="169"/>
      <c r="H223" s="169"/>
      <c r="I223" s="169"/>
      <c r="J223" s="169"/>
      <c r="K223" s="169"/>
      <c r="L223" s="169"/>
      <c r="M223" s="66"/>
      <c r="N223" s="169"/>
      <c r="O223" s="169"/>
      <c r="P223" s="66"/>
      <c r="Q223" s="169"/>
      <c r="R223" s="169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 ht="19.5" customHeight="1">
      <c r="B224" s="168"/>
      <c r="C224" s="168"/>
      <c r="D224" s="169"/>
      <c r="E224" s="169"/>
      <c r="F224" s="169"/>
      <c r="G224" s="169"/>
      <c r="H224" s="169"/>
      <c r="I224" s="169"/>
      <c r="J224" s="169"/>
      <c r="K224" s="169"/>
      <c r="L224" s="169"/>
      <c r="M224" s="66"/>
      <c r="N224" s="169"/>
      <c r="O224" s="169"/>
      <c r="P224" s="66"/>
      <c r="Q224" s="169"/>
      <c r="R224" s="169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 ht="19.5" customHeight="1">
      <c r="B225" s="168"/>
      <c r="C225" s="168"/>
      <c r="D225" s="169"/>
      <c r="E225" s="169"/>
      <c r="F225" s="169"/>
      <c r="G225" s="169"/>
      <c r="H225" s="169"/>
      <c r="I225" s="169"/>
      <c r="J225" s="169"/>
      <c r="K225" s="169"/>
      <c r="L225" s="169"/>
      <c r="M225" s="66"/>
      <c r="N225" s="169"/>
      <c r="O225" s="169"/>
      <c r="P225" s="66"/>
      <c r="Q225" s="169"/>
      <c r="R225" s="169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 ht="19.5" customHeight="1">
      <c r="B226" s="168"/>
      <c r="C226" s="168"/>
      <c r="D226" s="169"/>
      <c r="E226" s="169"/>
      <c r="F226" s="169"/>
      <c r="G226" s="169"/>
      <c r="H226" s="169"/>
      <c r="I226" s="169"/>
      <c r="J226" s="169"/>
      <c r="K226" s="169"/>
      <c r="L226" s="169"/>
      <c r="M226" s="66"/>
      <c r="N226" s="169"/>
      <c r="O226" s="169"/>
      <c r="P226" s="66"/>
      <c r="Q226" s="169"/>
      <c r="R226" s="169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 ht="19.5" customHeight="1">
      <c r="B227" s="168"/>
      <c r="C227" s="168"/>
      <c r="D227" s="169"/>
      <c r="E227" s="169"/>
      <c r="F227" s="169"/>
      <c r="G227" s="169"/>
      <c r="H227" s="169"/>
      <c r="I227" s="169"/>
      <c r="J227" s="169"/>
      <c r="K227" s="169"/>
      <c r="L227" s="169"/>
      <c r="M227" s="66"/>
      <c r="N227" s="169"/>
      <c r="O227" s="169"/>
      <c r="P227" s="66"/>
      <c r="Q227" s="169"/>
      <c r="R227" s="169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 ht="19.5" customHeight="1">
      <c r="B228" s="168"/>
      <c r="C228" s="168"/>
      <c r="D228" s="169"/>
      <c r="E228" s="169"/>
      <c r="F228" s="169"/>
      <c r="G228" s="169"/>
      <c r="H228" s="169"/>
      <c r="I228" s="169"/>
      <c r="J228" s="169"/>
      <c r="K228" s="169"/>
      <c r="L228" s="169"/>
      <c r="M228" s="66"/>
      <c r="N228" s="169"/>
      <c r="O228" s="169"/>
      <c r="P228" s="66"/>
      <c r="Q228" s="169"/>
      <c r="R228" s="169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 ht="19.5" customHeight="1">
      <c r="B229" s="168"/>
      <c r="C229" s="168"/>
      <c r="D229" s="169"/>
      <c r="E229" s="169"/>
      <c r="F229" s="169"/>
      <c r="G229" s="169"/>
      <c r="H229" s="169"/>
      <c r="I229" s="169"/>
      <c r="J229" s="169"/>
      <c r="K229" s="169"/>
      <c r="L229" s="169"/>
      <c r="M229" s="66"/>
      <c r="N229" s="169"/>
      <c r="O229" s="169"/>
      <c r="P229" s="66"/>
      <c r="Q229" s="169"/>
      <c r="R229" s="169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 ht="19.5" customHeight="1">
      <c r="B230" s="168"/>
      <c r="C230" s="168"/>
      <c r="D230" s="169"/>
      <c r="E230" s="169"/>
      <c r="F230" s="169"/>
      <c r="G230" s="169"/>
      <c r="H230" s="169"/>
      <c r="I230" s="169"/>
      <c r="J230" s="169"/>
      <c r="K230" s="169"/>
      <c r="L230" s="169"/>
      <c r="M230" s="66"/>
      <c r="N230" s="169"/>
      <c r="O230" s="169"/>
      <c r="P230" s="66"/>
      <c r="Q230" s="169"/>
      <c r="R230" s="169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 ht="19.5" customHeight="1">
      <c r="B231" s="168"/>
      <c r="C231" s="168"/>
      <c r="D231" s="169"/>
      <c r="E231" s="169"/>
      <c r="F231" s="169"/>
      <c r="G231" s="169"/>
      <c r="H231" s="169"/>
      <c r="I231" s="169"/>
      <c r="J231" s="169"/>
      <c r="K231" s="169"/>
      <c r="L231" s="169"/>
      <c r="M231" s="66"/>
      <c r="N231" s="169"/>
      <c r="O231" s="169"/>
      <c r="P231" s="66"/>
      <c r="Q231" s="169"/>
      <c r="R231" s="169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 ht="19.5" customHeight="1">
      <c r="B232" s="168"/>
      <c r="C232" s="168"/>
      <c r="D232" s="169"/>
      <c r="E232" s="169"/>
      <c r="F232" s="169"/>
      <c r="G232" s="169"/>
      <c r="H232" s="169"/>
      <c r="I232" s="169"/>
      <c r="J232" s="169"/>
      <c r="K232" s="169"/>
      <c r="L232" s="169"/>
      <c r="M232" s="66"/>
      <c r="N232" s="169"/>
      <c r="O232" s="169"/>
      <c r="P232" s="66"/>
      <c r="Q232" s="169"/>
      <c r="R232" s="169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 ht="19.5" customHeight="1">
      <c r="B233" s="168"/>
      <c r="C233" s="168"/>
      <c r="D233" s="169"/>
      <c r="E233" s="169"/>
      <c r="F233" s="169"/>
      <c r="G233" s="169"/>
      <c r="H233" s="169"/>
      <c r="I233" s="169"/>
      <c r="J233" s="169"/>
      <c r="K233" s="169"/>
      <c r="L233" s="169"/>
      <c r="M233" s="66"/>
      <c r="N233" s="169"/>
      <c r="O233" s="169"/>
      <c r="P233" s="66"/>
      <c r="Q233" s="169"/>
      <c r="R233" s="169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 ht="19.5" customHeight="1">
      <c r="B234" s="168"/>
      <c r="C234" s="168"/>
      <c r="D234" s="169"/>
      <c r="E234" s="169"/>
      <c r="F234" s="169"/>
      <c r="G234" s="169"/>
      <c r="H234" s="169"/>
      <c r="I234" s="169"/>
      <c r="J234" s="169"/>
      <c r="K234" s="169"/>
      <c r="L234" s="169"/>
      <c r="M234" s="66"/>
      <c r="N234" s="169"/>
      <c r="O234" s="169"/>
      <c r="P234" s="66"/>
      <c r="Q234" s="169"/>
      <c r="R234" s="169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 ht="19.5" customHeight="1">
      <c r="B235" s="168"/>
      <c r="C235" s="168"/>
      <c r="D235" s="169"/>
      <c r="E235" s="169"/>
      <c r="F235" s="169"/>
      <c r="G235" s="169"/>
      <c r="H235" s="169"/>
      <c r="I235" s="169"/>
      <c r="J235" s="169"/>
      <c r="K235" s="169"/>
      <c r="L235" s="169"/>
      <c r="M235" s="66"/>
      <c r="N235" s="169"/>
      <c r="O235" s="169"/>
      <c r="P235" s="66"/>
      <c r="Q235" s="169"/>
      <c r="R235" s="169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 ht="19.5" customHeight="1">
      <c r="B236" s="168"/>
      <c r="C236" s="168"/>
      <c r="D236" s="169"/>
      <c r="E236" s="169"/>
      <c r="F236" s="169"/>
      <c r="G236" s="169"/>
      <c r="H236" s="169"/>
      <c r="I236" s="169"/>
      <c r="J236" s="169"/>
      <c r="K236" s="169"/>
      <c r="L236" s="169"/>
      <c r="M236" s="66"/>
      <c r="N236" s="169"/>
      <c r="O236" s="169"/>
      <c r="P236" s="66"/>
      <c r="Q236" s="169"/>
      <c r="R236" s="169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 ht="19.5" customHeight="1">
      <c r="B237" s="168"/>
      <c r="C237" s="168"/>
      <c r="D237" s="169"/>
      <c r="E237" s="169"/>
      <c r="F237" s="169"/>
      <c r="G237" s="169"/>
      <c r="H237" s="169"/>
      <c r="I237" s="169"/>
      <c r="J237" s="169"/>
      <c r="K237" s="169"/>
      <c r="L237" s="169"/>
      <c r="M237" s="66"/>
      <c r="N237" s="169"/>
      <c r="O237" s="169"/>
      <c r="P237" s="66"/>
      <c r="Q237" s="169"/>
      <c r="R237" s="169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 ht="19.5" customHeight="1">
      <c r="B238" s="168"/>
      <c r="C238" s="168"/>
      <c r="D238" s="169"/>
      <c r="E238" s="169"/>
      <c r="F238" s="169"/>
      <c r="G238" s="169"/>
      <c r="H238" s="169"/>
      <c r="I238" s="169"/>
      <c r="J238" s="169"/>
      <c r="K238" s="169"/>
      <c r="L238" s="169"/>
      <c r="M238" s="66"/>
      <c r="N238" s="169"/>
      <c r="O238" s="169"/>
      <c r="P238" s="66"/>
      <c r="Q238" s="169"/>
      <c r="R238" s="169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 ht="19.5" customHeight="1">
      <c r="B239" s="168"/>
      <c r="C239" s="168"/>
      <c r="D239" s="169"/>
      <c r="E239" s="169"/>
      <c r="F239" s="169"/>
      <c r="G239" s="169"/>
      <c r="H239" s="169"/>
      <c r="I239" s="169"/>
      <c r="J239" s="169"/>
      <c r="K239" s="169"/>
      <c r="L239" s="169"/>
      <c r="M239" s="66"/>
      <c r="N239" s="169"/>
      <c r="O239" s="169"/>
      <c r="P239" s="66"/>
      <c r="Q239" s="169"/>
      <c r="R239" s="169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 ht="19.5" customHeight="1">
      <c r="B240" s="168"/>
      <c r="C240" s="168"/>
      <c r="D240" s="169"/>
      <c r="E240" s="169"/>
      <c r="F240" s="169"/>
      <c r="G240" s="169"/>
      <c r="H240" s="169"/>
      <c r="I240" s="169"/>
      <c r="J240" s="169"/>
      <c r="K240" s="169"/>
      <c r="L240" s="169"/>
      <c r="M240" s="66"/>
      <c r="N240" s="169"/>
      <c r="O240" s="169"/>
      <c r="P240" s="66"/>
      <c r="Q240" s="169"/>
      <c r="R240" s="169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 ht="19.5" customHeight="1">
      <c r="B241" s="168"/>
      <c r="C241" s="168"/>
      <c r="D241" s="169"/>
      <c r="E241" s="169"/>
      <c r="F241" s="169"/>
      <c r="G241" s="169"/>
      <c r="H241" s="169"/>
      <c r="I241" s="169"/>
      <c r="J241" s="169"/>
      <c r="K241" s="169"/>
      <c r="L241" s="169"/>
      <c r="M241" s="66"/>
      <c r="N241" s="169"/>
      <c r="O241" s="169"/>
      <c r="P241" s="66"/>
      <c r="Q241" s="169"/>
      <c r="R241" s="169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 ht="19.5" customHeight="1">
      <c r="B242" s="168"/>
      <c r="C242" s="168"/>
      <c r="D242" s="169"/>
      <c r="E242" s="169"/>
      <c r="F242" s="169"/>
      <c r="G242" s="169"/>
      <c r="H242" s="169"/>
      <c r="I242" s="169"/>
      <c r="J242" s="169"/>
      <c r="K242" s="169"/>
      <c r="L242" s="169"/>
      <c r="M242" s="66"/>
      <c r="N242" s="169"/>
      <c r="O242" s="169"/>
      <c r="P242" s="66"/>
      <c r="Q242" s="169"/>
      <c r="R242" s="169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 ht="19.5" customHeight="1">
      <c r="B243" s="168"/>
      <c r="C243" s="168"/>
      <c r="D243" s="169"/>
      <c r="E243" s="169"/>
      <c r="F243" s="169"/>
      <c r="G243" s="169"/>
      <c r="H243" s="169"/>
      <c r="I243" s="169"/>
      <c r="J243" s="169"/>
      <c r="K243" s="169"/>
      <c r="L243" s="169"/>
      <c r="M243" s="66"/>
      <c r="N243" s="169"/>
      <c r="O243" s="169"/>
      <c r="P243" s="66"/>
      <c r="Q243" s="169"/>
      <c r="R243" s="169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 ht="19.5" customHeight="1">
      <c r="B244" s="168"/>
      <c r="C244" s="168"/>
      <c r="D244" s="169"/>
      <c r="E244" s="169"/>
      <c r="F244" s="169"/>
      <c r="G244" s="169"/>
      <c r="H244" s="169"/>
      <c r="I244" s="169"/>
      <c r="J244" s="169"/>
      <c r="K244" s="169"/>
      <c r="L244" s="169"/>
      <c r="M244" s="66"/>
      <c r="N244" s="169"/>
      <c r="O244" s="169"/>
      <c r="P244" s="66"/>
      <c r="Q244" s="169"/>
      <c r="R244" s="169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 ht="19.5" customHeight="1">
      <c r="B245" s="168"/>
      <c r="C245" s="168"/>
      <c r="D245" s="169"/>
      <c r="E245" s="169"/>
      <c r="F245" s="169"/>
      <c r="G245" s="169"/>
      <c r="H245" s="169"/>
      <c r="I245" s="169"/>
      <c r="J245" s="169"/>
      <c r="K245" s="169"/>
      <c r="L245" s="169"/>
      <c r="M245" s="66"/>
      <c r="N245" s="169"/>
      <c r="O245" s="169"/>
      <c r="P245" s="66"/>
      <c r="Q245" s="169"/>
      <c r="R245" s="169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 ht="19.5" customHeight="1">
      <c r="B246" s="168"/>
      <c r="C246" s="168"/>
      <c r="D246" s="169"/>
      <c r="E246" s="169"/>
      <c r="F246" s="169"/>
      <c r="G246" s="169"/>
      <c r="H246" s="169"/>
      <c r="I246" s="169"/>
      <c r="J246" s="169"/>
      <c r="K246" s="169"/>
      <c r="L246" s="169"/>
      <c r="M246" s="66"/>
      <c r="N246" s="169"/>
      <c r="O246" s="169"/>
      <c r="P246" s="66"/>
      <c r="Q246" s="169"/>
      <c r="R246" s="169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 ht="19.5" customHeight="1">
      <c r="B247" s="168"/>
      <c r="C247" s="168"/>
      <c r="D247" s="169"/>
      <c r="E247" s="169"/>
      <c r="F247" s="169"/>
      <c r="G247" s="169"/>
      <c r="H247" s="169"/>
      <c r="I247" s="169"/>
      <c r="J247" s="169"/>
      <c r="K247" s="169"/>
      <c r="L247" s="169"/>
      <c r="M247" s="66"/>
      <c r="N247" s="169"/>
      <c r="O247" s="169"/>
      <c r="P247" s="66"/>
      <c r="Q247" s="169"/>
      <c r="R247" s="169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 ht="19.5" customHeight="1">
      <c r="B248" s="168"/>
      <c r="C248" s="168"/>
      <c r="D248" s="169"/>
      <c r="E248" s="169"/>
      <c r="F248" s="169"/>
      <c r="G248" s="169"/>
      <c r="H248" s="169"/>
      <c r="I248" s="169"/>
      <c r="J248" s="169"/>
      <c r="K248" s="169"/>
      <c r="L248" s="169"/>
      <c r="M248" s="66"/>
      <c r="N248" s="169"/>
      <c r="O248" s="169"/>
      <c r="P248" s="66"/>
      <c r="Q248" s="169"/>
      <c r="R248" s="169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 ht="19.5" customHeight="1">
      <c r="B249" s="168"/>
      <c r="C249" s="168"/>
      <c r="D249" s="169"/>
      <c r="E249" s="169"/>
      <c r="F249" s="169"/>
      <c r="G249" s="169"/>
      <c r="H249" s="169"/>
      <c r="I249" s="169"/>
      <c r="J249" s="169"/>
      <c r="K249" s="169"/>
      <c r="L249" s="169"/>
      <c r="M249" s="66"/>
      <c r="N249" s="169"/>
      <c r="O249" s="169"/>
      <c r="P249" s="66"/>
      <c r="Q249" s="169"/>
      <c r="R249" s="169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 ht="19.5" customHeight="1">
      <c r="B250" s="168"/>
      <c r="C250" s="168"/>
      <c r="D250" s="169"/>
      <c r="E250" s="169"/>
      <c r="F250" s="169"/>
      <c r="G250" s="169"/>
      <c r="H250" s="169"/>
      <c r="I250" s="169"/>
      <c r="J250" s="169"/>
      <c r="K250" s="169"/>
      <c r="L250" s="169"/>
      <c r="M250" s="66"/>
      <c r="N250" s="169"/>
      <c r="O250" s="169"/>
      <c r="P250" s="66"/>
      <c r="Q250" s="169"/>
      <c r="R250" s="169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 ht="19.5" customHeight="1">
      <c r="B251" s="168"/>
      <c r="C251" s="168"/>
      <c r="D251" s="169"/>
      <c r="E251" s="169"/>
      <c r="F251" s="169"/>
      <c r="G251" s="169"/>
      <c r="H251" s="169"/>
      <c r="I251" s="169"/>
      <c r="J251" s="169"/>
      <c r="K251" s="169"/>
      <c r="L251" s="169"/>
      <c r="M251" s="66"/>
      <c r="N251" s="169"/>
      <c r="O251" s="169"/>
      <c r="P251" s="66"/>
      <c r="Q251" s="169"/>
      <c r="R251" s="169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 ht="19.5" customHeight="1">
      <c r="B252" s="168"/>
      <c r="C252" s="168"/>
      <c r="D252" s="169"/>
      <c r="E252" s="169"/>
      <c r="F252" s="169"/>
      <c r="G252" s="169"/>
      <c r="H252" s="169"/>
      <c r="I252" s="169"/>
      <c r="J252" s="169"/>
      <c r="K252" s="169"/>
      <c r="L252" s="169"/>
      <c r="M252" s="66"/>
      <c r="N252" s="169"/>
      <c r="O252" s="169"/>
      <c r="P252" s="66"/>
      <c r="Q252" s="169"/>
      <c r="R252" s="169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 ht="19.5" customHeight="1">
      <c r="B253" s="168"/>
      <c r="C253" s="168"/>
      <c r="D253" s="169"/>
      <c r="E253" s="169"/>
      <c r="F253" s="169"/>
      <c r="G253" s="169"/>
      <c r="H253" s="169"/>
      <c r="I253" s="169"/>
      <c r="J253" s="169"/>
      <c r="K253" s="169"/>
      <c r="L253" s="169"/>
      <c r="M253" s="66"/>
      <c r="N253" s="169"/>
      <c r="O253" s="169"/>
      <c r="P253" s="66"/>
      <c r="Q253" s="169"/>
      <c r="R253" s="169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 ht="19.5" customHeight="1">
      <c r="B254" s="168"/>
      <c r="C254" s="168"/>
      <c r="D254" s="169"/>
      <c r="E254" s="169"/>
      <c r="F254" s="169"/>
      <c r="G254" s="169"/>
      <c r="H254" s="169"/>
      <c r="I254" s="169"/>
      <c r="J254" s="169"/>
      <c r="K254" s="169"/>
      <c r="L254" s="169"/>
      <c r="M254" s="66"/>
      <c r="N254" s="169"/>
      <c r="O254" s="169"/>
      <c r="P254" s="66"/>
      <c r="Q254" s="169"/>
      <c r="R254" s="169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 ht="19.5" customHeight="1">
      <c r="B255" s="168"/>
      <c r="C255" s="168"/>
      <c r="D255" s="169"/>
      <c r="E255" s="169"/>
      <c r="F255" s="169"/>
      <c r="G255" s="169"/>
      <c r="H255" s="169"/>
      <c r="I255" s="169"/>
      <c r="J255" s="169"/>
      <c r="K255" s="169"/>
      <c r="L255" s="169"/>
      <c r="M255" s="66"/>
      <c r="N255" s="169"/>
      <c r="O255" s="169"/>
      <c r="P255" s="66"/>
      <c r="Q255" s="169"/>
      <c r="R255" s="169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 ht="19.5" customHeight="1">
      <c r="B256" s="168"/>
      <c r="C256" s="168"/>
      <c r="D256" s="169"/>
      <c r="E256" s="169"/>
      <c r="F256" s="169"/>
      <c r="G256" s="169"/>
      <c r="H256" s="169"/>
      <c r="I256" s="169"/>
      <c r="J256" s="169"/>
      <c r="K256" s="169"/>
      <c r="L256" s="169"/>
      <c r="M256" s="66"/>
      <c r="N256" s="169"/>
      <c r="O256" s="169"/>
      <c r="P256" s="66"/>
      <c r="Q256" s="169"/>
      <c r="R256" s="169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 ht="19.5" customHeight="1">
      <c r="B257" s="168"/>
      <c r="C257" s="168"/>
      <c r="D257" s="169"/>
      <c r="E257" s="169"/>
      <c r="F257" s="169"/>
      <c r="G257" s="169"/>
      <c r="H257" s="169"/>
      <c r="I257" s="169"/>
      <c r="J257" s="169"/>
      <c r="K257" s="169"/>
      <c r="L257" s="169"/>
      <c r="M257" s="66"/>
      <c r="N257" s="169"/>
      <c r="O257" s="169"/>
      <c r="P257" s="66"/>
      <c r="Q257" s="169"/>
      <c r="R257" s="169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 ht="19.5" customHeight="1">
      <c r="B258" s="168"/>
      <c r="C258" s="168"/>
      <c r="D258" s="169"/>
      <c r="E258" s="169"/>
      <c r="F258" s="169"/>
      <c r="G258" s="169"/>
      <c r="H258" s="169"/>
      <c r="I258" s="169"/>
      <c r="J258" s="169"/>
      <c r="K258" s="169"/>
      <c r="L258" s="169"/>
      <c r="M258" s="66"/>
      <c r="N258" s="169"/>
      <c r="O258" s="169"/>
      <c r="P258" s="66"/>
      <c r="Q258" s="169"/>
      <c r="R258" s="169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 ht="19.5" customHeight="1">
      <c r="B259" s="168"/>
      <c r="C259" s="168"/>
      <c r="D259" s="169"/>
      <c r="E259" s="169"/>
      <c r="F259" s="169"/>
      <c r="G259" s="169"/>
      <c r="H259" s="169"/>
      <c r="I259" s="169"/>
      <c r="J259" s="169"/>
      <c r="K259" s="169"/>
      <c r="L259" s="169"/>
      <c r="M259" s="66"/>
      <c r="N259" s="169"/>
      <c r="O259" s="169"/>
      <c r="P259" s="66"/>
      <c r="Q259" s="169"/>
      <c r="R259" s="169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 ht="19.5" customHeight="1">
      <c r="B260" s="168"/>
      <c r="C260" s="168"/>
      <c r="D260" s="169"/>
      <c r="E260" s="169"/>
      <c r="F260" s="169"/>
      <c r="G260" s="169"/>
      <c r="H260" s="169"/>
      <c r="I260" s="169"/>
      <c r="J260" s="169"/>
      <c r="K260" s="169"/>
      <c r="L260" s="169"/>
      <c r="M260" s="66"/>
      <c r="N260" s="169"/>
      <c r="O260" s="169"/>
      <c r="P260" s="66"/>
      <c r="Q260" s="169"/>
      <c r="R260" s="169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 ht="19.5" customHeight="1">
      <c r="B261" s="168"/>
      <c r="C261" s="168"/>
      <c r="D261" s="169"/>
      <c r="E261" s="169"/>
      <c r="F261" s="169"/>
      <c r="G261" s="169"/>
      <c r="H261" s="169"/>
      <c r="I261" s="169"/>
      <c r="J261" s="169"/>
      <c r="K261" s="169"/>
      <c r="L261" s="169"/>
      <c r="M261" s="66"/>
      <c r="N261" s="169"/>
      <c r="O261" s="169"/>
      <c r="P261" s="66"/>
      <c r="Q261" s="169"/>
      <c r="R261" s="169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 ht="19.5" customHeight="1">
      <c r="B262" s="168"/>
      <c r="C262" s="168"/>
      <c r="D262" s="169"/>
      <c r="E262" s="169"/>
      <c r="F262" s="169"/>
      <c r="G262" s="169"/>
      <c r="H262" s="169"/>
      <c r="I262" s="169"/>
      <c r="J262" s="169"/>
      <c r="K262" s="169"/>
      <c r="L262" s="169"/>
      <c r="M262" s="66"/>
      <c r="N262" s="169"/>
      <c r="O262" s="169"/>
      <c r="P262" s="66"/>
      <c r="Q262" s="169"/>
      <c r="R262" s="169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 ht="19.5" customHeight="1">
      <c r="B263" s="168"/>
      <c r="C263" s="168"/>
      <c r="D263" s="169"/>
      <c r="E263" s="169"/>
      <c r="F263" s="169"/>
      <c r="G263" s="169"/>
      <c r="H263" s="169"/>
      <c r="I263" s="169"/>
      <c r="J263" s="169"/>
      <c r="K263" s="169"/>
      <c r="L263" s="169"/>
      <c r="M263" s="66"/>
      <c r="N263" s="169"/>
      <c r="O263" s="169"/>
      <c r="P263" s="66"/>
      <c r="Q263" s="169"/>
      <c r="R263" s="169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 ht="19.5" customHeight="1">
      <c r="B264" s="168"/>
      <c r="C264" s="168"/>
      <c r="D264" s="169"/>
      <c r="E264" s="169"/>
      <c r="F264" s="169"/>
      <c r="G264" s="169"/>
      <c r="H264" s="169"/>
      <c r="I264" s="169"/>
      <c r="J264" s="169"/>
      <c r="K264" s="169"/>
      <c r="L264" s="169"/>
      <c r="M264" s="66"/>
      <c r="N264" s="169"/>
      <c r="O264" s="169"/>
      <c r="P264" s="66"/>
      <c r="Q264" s="169"/>
      <c r="R264" s="169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 ht="19.5" customHeight="1">
      <c r="B265" s="168"/>
      <c r="C265" s="168"/>
      <c r="D265" s="169"/>
      <c r="E265" s="169"/>
      <c r="F265" s="169"/>
      <c r="G265" s="169"/>
      <c r="H265" s="169"/>
      <c r="I265" s="169"/>
      <c r="J265" s="169"/>
      <c r="K265" s="169"/>
      <c r="L265" s="169"/>
      <c r="M265" s="66"/>
      <c r="N265" s="169"/>
      <c r="O265" s="169"/>
      <c r="P265" s="66"/>
      <c r="Q265" s="169"/>
      <c r="R265" s="169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 ht="19.5" customHeight="1">
      <c r="B266" s="168"/>
      <c r="C266" s="168"/>
      <c r="D266" s="169"/>
      <c r="E266" s="169"/>
      <c r="F266" s="169"/>
      <c r="G266" s="169"/>
      <c r="H266" s="169"/>
      <c r="I266" s="169"/>
      <c r="J266" s="169"/>
      <c r="K266" s="169"/>
      <c r="L266" s="169"/>
      <c r="M266" s="66"/>
      <c r="N266" s="169"/>
      <c r="O266" s="169"/>
      <c r="P266" s="66"/>
      <c r="Q266" s="169"/>
      <c r="R266" s="169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 ht="19.5" customHeight="1">
      <c r="B267" s="168"/>
      <c r="C267" s="168"/>
      <c r="D267" s="169"/>
      <c r="E267" s="169"/>
      <c r="F267" s="169"/>
      <c r="G267" s="169"/>
      <c r="H267" s="169"/>
      <c r="I267" s="169"/>
      <c r="J267" s="169"/>
      <c r="K267" s="169"/>
      <c r="L267" s="169"/>
      <c r="M267" s="66"/>
      <c r="N267" s="169"/>
      <c r="O267" s="169"/>
      <c r="P267" s="66"/>
      <c r="Q267" s="169"/>
      <c r="R267" s="169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 ht="19.5" customHeight="1">
      <c r="B268" s="168"/>
      <c r="C268" s="168"/>
      <c r="D268" s="169"/>
      <c r="E268" s="169"/>
      <c r="F268" s="169"/>
      <c r="G268" s="169"/>
      <c r="H268" s="169"/>
      <c r="I268" s="169"/>
      <c r="J268" s="169"/>
      <c r="K268" s="169"/>
      <c r="L268" s="169"/>
      <c r="M268" s="66"/>
      <c r="N268" s="169"/>
      <c r="O268" s="169"/>
      <c r="P268" s="66"/>
      <c r="Q268" s="169"/>
      <c r="R268" s="169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 ht="19.5" customHeight="1">
      <c r="B269" s="168"/>
      <c r="C269" s="168"/>
      <c r="D269" s="169"/>
      <c r="E269" s="169"/>
      <c r="F269" s="169"/>
      <c r="G269" s="169"/>
      <c r="H269" s="169"/>
      <c r="I269" s="169"/>
      <c r="J269" s="169"/>
      <c r="K269" s="169"/>
      <c r="L269" s="169"/>
      <c r="M269" s="66"/>
      <c r="N269" s="169"/>
      <c r="O269" s="169"/>
      <c r="P269" s="66"/>
      <c r="Q269" s="169"/>
      <c r="R269" s="169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 ht="19.5" customHeight="1">
      <c r="B270" s="168"/>
      <c r="C270" s="168"/>
      <c r="D270" s="169"/>
      <c r="E270" s="169"/>
      <c r="F270" s="169"/>
      <c r="G270" s="169"/>
      <c r="H270" s="169"/>
      <c r="I270" s="169"/>
      <c r="J270" s="169"/>
      <c r="K270" s="169"/>
      <c r="L270" s="169"/>
      <c r="M270" s="66"/>
      <c r="N270" s="169"/>
      <c r="O270" s="169"/>
      <c r="P270" s="66"/>
      <c r="Q270" s="169"/>
      <c r="R270" s="169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 ht="19.5" customHeight="1">
      <c r="B271" s="168"/>
      <c r="C271" s="168"/>
      <c r="D271" s="169"/>
      <c r="E271" s="169"/>
      <c r="F271" s="169"/>
      <c r="G271" s="169"/>
      <c r="H271" s="169"/>
      <c r="I271" s="169"/>
      <c r="J271" s="169"/>
      <c r="K271" s="169"/>
      <c r="L271" s="169"/>
      <c r="M271" s="66"/>
      <c r="N271" s="169"/>
      <c r="O271" s="169"/>
      <c r="P271" s="66"/>
      <c r="Q271" s="169"/>
      <c r="R271" s="169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 ht="19.5" customHeight="1">
      <c r="B272" s="168"/>
      <c r="C272" s="168"/>
      <c r="D272" s="169"/>
      <c r="E272" s="169"/>
      <c r="F272" s="169"/>
      <c r="G272" s="169"/>
      <c r="H272" s="169"/>
      <c r="I272" s="169"/>
      <c r="J272" s="169"/>
      <c r="K272" s="169"/>
      <c r="L272" s="169"/>
      <c r="M272" s="66"/>
      <c r="N272" s="169"/>
      <c r="O272" s="169"/>
      <c r="P272" s="66"/>
      <c r="Q272" s="169"/>
      <c r="R272" s="169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 ht="19.5" customHeight="1">
      <c r="B273" s="168"/>
      <c r="C273" s="168"/>
      <c r="D273" s="169"/>
      <c r="E273" s="169"/>
      <c r="F273" s="169"/>
      <c r="G273" s="169"/>
      <c r="H273" s="169"/>
      <c r="I273" s="169"/>
      <c r="J273" s="169"/>
      <c r="K273" s="169"/>
      <c r="L273" s="169"/>
      <c r="M273" s="66"/>
      <c r="N273" s="169"/>
      <c r="O273" s="169"/>
      <c r="P273" s="66"/>
      <c r="Q273" s="169"/>
      <c r="R273" s="169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 ht="19.5" customHeight="1">
      <c r="B274" s="168"/>
      <c r="C274" s="168"/>
      <c r="D274" s="169"/>
      <c r="E274" s="169"/>
      <c r="F274" s="169"/>
      <c r="G274" s="169"/>
      <c r="H274" s="169"/>
      <c r="I274" s="169"/>
      <c r="J274" s="169"/>
      <c r="K274" s="169"/>
      <c r="L274" s="169"/>
      <c r="M274" s="66"/>
      <c r="N274" s="169"/>
      <c r="O274" s="169"/>
      <c r="P274" s="66"/>
      <c r="Q274" s="169"/>
      <c r="R274" s="169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 ht="19.5" customHeight="1">
      <c r="B275" s="168"/>
      <c r="C275" s="168"/>
      <c r="D275" s="169"/>
      <c r="E275" s="169"/>
      <c r="F275" s="169"/>
      <c r="G275" s="169"/>
      <c r="H275" s="169"/>
      <c r="I275" s="169"/>
      <c r="J275" s="169"/>
      <c r="K275" s="169"/>
      <c r="L275" s="169"/>
      <c r="M275" s="66"/>
      <c r="N275" s="169"/>
      <c r="O275" s="169"/>
      <c r="P275" s="66"/>
      <c r="Q275" s="169"/>
      <c r="R275" s="169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 ht="19.5" customHeight="1">
      <c r="B276" s="168"/>
      <c r="C276" s="168"/>
      <c r="D276" s="169"/>
      <c r="E276" s="169"/>
      <c r="F276" s="169"/>
      <c r="G276" s="169"/>
      <c r="H276" s="169"/>
      <c r="I276" s="169"/>
      <c r="J276" s="169"/>
      <c r="K276" s="169"/>
      <c r="L276" s="169"/>
      <c r="M276" s="66"/>
      <c r="N276" s="169"/>
      <c r="O276" s="169"/>
      <c r="P276" s="66"/>
      <c r="Q276" s="169"/>
      <c r="R276" s="169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 ht="19.5" customHeight="1">
      <c r="B277" s="168"/>
      <c r="C277" s="168"/>
      <c r="D277" s="169"/>
      <c r="E277" s="169"/>
      <c r="F277" s="169"/>
      <c r="G277" s="169"/>
      <c r="H277" s="169"/>
      <c r="I277" s="169"/>
      <c r="J277" s="169"/>
      <c r="K277" s="169"/>
      <c r="L277" s="169"/>
      <c r="M277" s="66"/>
      <c r="N277" s="169"/>
      <c r="O277" s="169"/>
      <c r="P277" s="66"/>
      <c r="Q277" s="169"/>
      <c r="R277" s="169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 ht="19.5" customHeight="1">
      <c r="B278" s="168"/>
      <c r="C278" s="168"/>
      <c r="D278" s="169"/>
      <c r="E278" s="169"/>
      <c r="F278" s="169"/>
      <c r="G278" s="169"/>
      <c r="H278" s="169"/>
      <c r="I278" s="169"/>
      <c r="J278" s="169"/>
      <c r="K278" s="169"/>
      <c r="L278" s="169"/>
      <c r="M278" s="66"/>
      <c r="N278" s="169"/>
      <c r="O278" s="169"/>
      <c r="P278" s="66"/>
      <c r="Q278" s="169"/>
      <c r="R278" s="169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 ht="19.5" customHeight="1">
      <c r="B279" s="168"/>
      <c r="C279" s="168"/>
      <c r="D279" s="169"/>
      <c r="E279" s="169"/>
      <c r="F279" s="169"/>
      <c r="G279" s="169"/>
      <c r="H279" s="169"/>
      <c r="I279" s="169"/>
      <c r="J279" s="169"/>
      <c r="K279" s="169"/>
      <c r="L279" s="169"/>
      <c r="M279" s="66"/>
      <c r="N279" s="169"/>
      <c r="O279" s="169"/>
      <c r="P279" s="66"/>
      <c r="Q279" s="169"/>
      <c r="R279" s="169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 ht="19.5" customHeight="1">
      <c r="B280" s="168"/>
      <c r="C280" s="168"/>
      <c r="D280" s="169"/>
      <c r="E280" s="169"/>
      <c r="F280" s="169"/>
      <c r="G280" s="169"/>
      <c r="H280" s="169"/>
      <c r="I280" s="169"/>
      <c r="J280" s="169"/>
      <c r="K280" s="169"/>
      <c r="L280" s="169"/>
      <c r="M280" s="66"/>
      <c r="N280" s="169"/>
      <c r="O280" s="169"/>
      <c r="P280" s="66"/>
      <c r="Q280" s="169"/>
      <c r="R280" s="169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 ht="19.5" customHeight="1">
      <c r="B281" s="168"/>
      <c r="C281" s="168"/>
      <c r="D281" s="169"/>
      <c r="E281" s="169"/>
      <c r="F281" s="169"/>
      <c r="G281" s="169"/>
      <c r="H281" s="169"/>
      <c r="I281" s="169"/>
      <c r="J281" s="169"/>
      <c r="K281" s="169"/>
      <c r="L281" s="169"/>
      <c r="M281" s="66"/>
      <c r="N281" s="169"/>
      <c r="O281" s="169"/>
      <c r="P281" s="66"/>
      <c r="Q281" s="169"/>
      <c r="R281" s="169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 ht="19.5" customHeight="1">
      <c r="B282" s="168"/>
      <c r="C282" s="168"/>
      <c r="D282" s="169"/>
      <c r="E282" s="169"/>
      <c r="F282" s="169"/>
      <c r="G282" s="169"/>
      <c r="H282" s="169"/>
      <c r="I282" s="169"/>
      <c r="J282" s="169"/>
      <c r="K282" s="169"/>
      <c r="L282" s="169"/>
      <c r="M282" s="66"/>
      <c r="N282" s="169"/>
      <c r="O282" s="169"/>
      <c r="P282" s="66"/>
      <c r="Q282" s="169"/>
      <c r="R282" s="169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 ht="19.5" customHeight="1">
      <c r="B283" s="168"/>
      <c r="C283" s="168"/>
      <c r="D283" s="169"/>
      <c r="E283" s="169"/>
      <c r="F283" s="169"/>
      <c r="G283" s="169"/>
      <c r="H283" s="169"/>
      <c r="I283" s="169"/>
      <c r="J283" s="169"/>
      <c r="K283" s="169"/>
      <c r="L283" s="169"/>
      <c r="M283" s="66"/>
      <c r="N283" s="169"/>
      <c r="O283" s="169"/>
      <c r="P283" s="66"/>
      <c r="Q283" s="169"/>
      <c r="R283" s="169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 ht="19.5" customHeight="1">
      <c r="B284" s="168"/>
      <c r="C284" s="168"/>
      <c r="D284" s="169"/>
      <c r="E284" s="169"/>
      <c r="F284" s="169"/>
      <c r="G284" s="169"/>
      <c r="H284" s="169"/>
      <c r="I284" s="169"/>
      <c r="J284" s="169"/>
      <c r="K284" s="169"/>
      <c r="L284" s="169"/>
      <c r="M284" s="66"/>
      <c r="N284" s="169"/>
      <c r="O284" s="169"/>
      <c r="P284" s="66"/>
      <c r="Q284" s="169"/>
      <c r="R284" s="169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 ht="19.5" customHeight="1">
      <c r="B285" s="168"/>
      <c r="C285" s="168"/>
      <c r="D285" s="169"/>
      <c r="E285" s="169"/>
      <c r="F285" s="169"/>
      <c r="G285" s="169"/>
      <c r="H285" s="169"/>
      <c r="I285" s="169"/>
      <c r="J285" s="169"/>
      <c r="K285" s="169"/>
      <c r="L285" s="169"/>
      <c r="M285" s="66"/>
      <c r="N285" s="169"/>
      <c r="O285" s="169"/>
      <c r="P285" s="66"/>
      <c r="Q285" s="169"/>
      <c r="R285" s="169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 ht="19.5" customHeight="1">
      <c r="B286" s="168"/>
      <c r="C286" s="168"/>
      <c r="D286" s="169"/>
      <c r="E286" s="169"/>
      <c r="F286" s="169"/>
      <c r="G286" s="169"/>
      <c r="H286" s="169"/>
      <c r="I286" s="169"/>
      <c r="J286" s="169"/>
      <c r="K286" s="169"/>
      <c r="L286" s="169"/>
      <c r="M286" s="66"/>
      <c r="N286" s="169"/>
      <c r="O286" s="169"/>
      <c r="P286" s="66"/>
      <c r="Q286" s="169"/>
      <c r="R286" s="169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 ht="19.5" customHeight="1">
      <c r="B287" s="168"/>
      <c r="C287" s="168"/>
      <c r="D287" s="169"/>
      <c r="E287" s="169"/>
      <c r="F287" s="169"/>
      <c r="G287" s="169"/>
      <c r="H287" s="169"/>
      <c r="I287" s="169"/>
      <c r="J287" s="169"/>
      <c r="K287" s="169"/>
      <c r="L287" s="169"/>
      <c r="M287" s="66"/>
      <c r="N287" s="169"/>
      <c r="O287" s="169"/>
      <c r="P287" s="66"/>
      <c r="Q287" s="169"/>
      <c r="R287" s="169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 ht="19.5" customHeight="1">
      <c r="B288" s="168"/>
      <c r="C288" s="168"/>
      <c r="D288" s="169"/>
      <c r="E288" s="169"/>
      <c r="F288" s="169"/>
      <c r="G288" s="169"/>
      <c r="H288" s="169"/>
      <c r="I288" s="169"/>
      <c r="J288" s="169"/>
      <c r="K288" s="169"/>
      <c r="L288" s="169"/>
      <c r="M288" s="66"/>
      <c r="N288" s="169"/>
      <c r="O288" s="169"/>
      <c r="P288" s="66"/>
      <c r="Q288" s="169"/>
      <c r="R288" s="169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 ht="19.5" customHeight="1">
      <c r="B289" s="168"/>
      <c r="C289" s="168"/>
      <c r="D289" s="169"/>
      <c r="E289" s="169"/>
      <c r="F289" s="169"/>
      <c r="G289" s="169"/>
      <c r="H289" s="169"/>
      <c r="I289" s="169"/>
      <c r="J289" s="169"/>
      <c r="K289" s="169"/>
      <c r="L289" s="169"/>
      <c r="M289" s="66"/>
      <c r="N289" s="169"/>
      <c r="O289" s="169"/>
      <c r="P289" s="66"/>
      <c r="Q289" s="169"/>
      <c r="R289" s="169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 ht="19.5" customHeight="1">
      <c r="B290" s="168"/>
      <c r="C290" s="168"/>
      <c r="D290" s="169"/>
      <c r="E290" s="169"/>
      <c r="F290" s="169"/>
      <c r="G290" s="169"/>
      <c r="H290" s="169"/>
      <c r="I290" s="169"/>
      <c r="J290" s="169"/>
      <c r="K290" s="169"/>
      <c r="L290" s="169"/>
      <c r="M290" s="66"/>
      <c r="N290" s="169"/>
      <c r="O290" s="169"/>
      <c r="P290" s="66"/>
      <c r="Q290" s="169"/>
      <c r="R290" s="169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 ht="19.5" customHeight="1">
      <c r="B291" s="168"/>
      <c r="C291" s="168"/>
      <c r="D291" s="169"/>
      <c r="E291" s="169"/>
      <c r="F291" s="169"/>
      <c r="G291" s="169"/>
      <c r="H291" s="169"/>
      <c r="I291" s="169"/>
      <c r="J291" s="169"/>
      <c r="K291" s="169"/>
      <c r="L291" s="169"/>
      <c r="M291" s="66"/>
      <c r="N291" s="169"/>
      <c r="O291" s="169"/>
      <c r="P291" s="66"/>
      <c r="Q291" s="169"/>
      <c r="R291" s="169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 ht="19.5" customHeight="1">
      <c r="B292" s="168"/>
      <c r="C292" s="168"/>
      <c r="D292" s="169"/>
      <c r="E292" s="169"/>
      <c r="F292" s="169"/>
      <c r="G292" s="169"/>
      <c r="H292" s="169"/>
      <c r="I292" s="169"/>
      <c r="J292" s="169"/>
      <c r="K292" s="169"/>
      <c r="L292" s="169"/>
      <c r="M292" s="66"/>
      <c r="N292" s="169"/>
      <c r="O292" s="169"/>
      <c r="P292" s="66"/>
      <c r="Q292" s="169"/>
      <c r="R292" s="169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 ht="19.5" customHeight="1">
      <c r="B293" s="168"/>
      <c r="C293" s="168"/>
      <c r="D293" s="169"/>
      <c r="E293" s="169"/>
      <c r="F293" s="169"/>
      <c r="G293" s="169"/>
      <c r="H293" s="169"/>
      <c r="I293" s="169"/>
      <c r="J293" s="169"/>
      <c r="K293" s="169"/>
      <c r="L293" s="169"/>
      <c r="M293" s="66"/>
      <c r="N293" s="169"/>
      <c r="O293" s="169"/>
      <c r="P293" s="66"/>
      <c r="Q293" s="169"/>
      <c r="R293" s="169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 ht="19.5" customHeight="1">
      <c r="B294" s="168"/>
      <c r="C294" s="168"/>
      <c r="D294" s="169"/>
      <c r="E294" s="169"/>
      <c r="F294" s="169"/>
      <c r="G294" s="169"/>
      <c r="H294" s="169"/>
      <c r="I294" s="169"/>
      <c r="J294" s="169"/>
      <c r="K294" s="169"/>
      <c r="L294" s="169"/>
      <c r="M294" s="66"/>
      <c r="N294" s="169"/>
      <c r="O294" s="169"/>
      <c r="P294" s="66"/>
      <c r="Q294" s="169"/>
      <c r="R294" s="169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 ht="19.5" customHeight="1">
      <c r="B295" s="168"/>
      <c r="C295" s="168"/>
      <c r="D295" s="169"/>
      <c r="E295" s="169"/>
      <c r="F295" s="169"/>
      <c r="G295" s="169"/>
      <c r="H295" s="169"/>
      <c r="I295" s="169"/>
      <c r="J295" s="169"/>
      <c r="K295" s="169"/>
      <c r="L295" s="169"/>
      <c r="M295" s="66"/>
      <c r="N295" s="169"/>
      <c r="O295" s="169"/>
      <c r="P295" s="66"/>
      <c r="Q295" s="169"/>
      <c r="R295" s="169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 ht="19.5" customHeight="1">
      <c r="B296" s="168"/>
      <c r="C296" s="168"/>
      <c r="D296" s="169"/>
      <c r="E296" s="169"/>
      <c r="F296" s="169"/>
      <c r="G296" s="169"/>
      <c r="H296" s="169"/>
      <c r="I296" s="169"/>
      <c r="J296" s="169"/>
      <c r="K296" s="169"/>
      <c r="L296" s="169"/>
      <c r="M296" s="66"/>
      <c r="N296" s="169"/>
      <c r="O296" s="169"/>
      <c r="P296" s="66"/>
      <c r="Q296" s="169"/>
      <c r="R296" s="169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 ht="19.5" customHeight="1">
      <c r="B297" s="168"/>
      <c r="C297" s="168"/>
      <c r="D297" s="169"/>
      <c r="E297" s="169"/>
      <c r="F297" s="169"/>
      <c r="G297" s="169"/>
      <c r="H297" s="169"/>
      <c r="I297" s="169"/>
      <c r="J297" s="169"/>
      <c r="K297" s="169"/>
      <c r="L297" s="169"/>
      <c r="M297" s="66"/>
      <c r="N297" s="169"/>
      <c r="O297" s="169"/>
      <c r="P297" s="66"/>
      <c r="Q297" s="169"/>
      <c r="R297" s="169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 ht="19.5" customHeight="1">
      <c r="B298" s="168"/>
      <c r="C298" s="168"/>
      <c r="D298" s="169"/>
      <c r="E298" s="169"/>
      <c r="F298" s="169"/>
      <c r="G298" s="169"/>
      <c r="H298" s="169"/>
      <c r="I298" s="169"/>
      <c r="J298" s="169"/>
      <c r="K298" s="169"/>
      <c r="L298" s="169"/>
      <c r="M298" s="66"/>
      <c r="N298" s="169"/>
      <c r="O298" s="169"/>
      <c r="P298" s="66"/>
      <c r="Q298" s="169"/>
      <c r="R298" s="169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 ht="19.5" customHeight="1">
      <c r="B299" s="168"/>
      <c r="C299" s="168"/>
      <c r="D299" s="169"/>
      <c r="E299" s="169"/>
      <c r="F299" s="169"/>
      <c r="G299" s="169"/>
      <c r="H299" s="169"/>
      <c r="I299" s="169"/>
      <c r="J299" s="169"/>
      <c r="K299" s="169"/>
      <c r="L299" s="169"/>
      <c r="M299" s="66"/>
      <c r="N299" s="169"/>
      <c r="O299" s="169"/>
      <c r="P299" s="66"/>
      <c r="Q299" s="169"/>
      <c r="R299" s="169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 ht="19.5" customHeight="1">
      <c r="B300" s="168"/>
      <c r="C300" s="168"/>
      <c r="D300" s="169"/>
      <c r="E300" s="169"/>
      <c r="F300" s="169"/>
      <c r="G300" s="169"/>
      <c r="H300" s="169"/>
      <c r="I300" s="169"/>
      <c r="J300" s="169"/>
      <c r="K300" s="169"/>
      <c r="L300" s="169"/>
      <c r="M300" s="66"/>
      <c r="N300" s="169"/>
      <c r="O300" s="169"/>
      <c r="P300" s="66"/>
      <c r="Q300" s="169"/>
      <c r="R300" s="169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 ht="19.5" customHeight="1">
      <c r="B301" s="168"/>
      <c r="C301" s="168"/>
      <c r="D301" s="169"/>
      <c r="E301" s="169"/>
      <c r="F301" s="169"/>
      <c r="G301" s="169"/>
      <c r="H301" s="169"/>
      <c r="I301" s="169"/>
      <c r="J301" s="169"/>
      <c r="K301" s="169"/>
      <c r="L301" s="169"/>
      <c r="M301" s="66"/>
      <c r="N301" s="169"/>
      <c r="O301" s="169"/>
      <c r="P301" s="66"/>
      <c r="Q301" s="169"/>
      <c r="R301" s="169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 ht="19.5" customHeight="1">
      <c r="B302" s="168"/>
      <c r="C302" s="168"/>
      <c r="D302" s="169"/>
      <c r="E302" s="169"/>
      <c r="F302" s="169"/>
      <c r="G302" s="169"/>
      <c r="H302" s="169"/>
      <c r="I302" s="169"/>
      <c r="J302" s="169"/>
      <c r="K302" s="169"/>
      <c r="L302" s="169"/>
      <c r="M302" s="66"/>
      <c r="N302" s="169"/>
      <c r="O302" s="169"/>
      <c r="P302" s="66"/>
      <c r="Q302" s="169"/>
      <c r="R302" s="169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 ht="19.5" customHeight="1">
      <c r="B303" s="168"/>
      <c r="C303" s="168"/>
      <c r="D303" s="169"/>
      <c r="E303" s="169"/>
      <c r="F303" s="169"/>
      <c r="G303" s="169"/>
      <c r="H303" s="169"/>
      <c r="I303" s="169"/>
      <c r="J303" s="169"/>
      <c r="K303" s="169"/>
      <c r="L303" s="169"/>
      <c r="M303" s="66"/>
      <c r="N303" s="169"/>
      <c r="O303" s="169"/>
      <c r="P303" s="66"/>
      <c r="Q303" s="169"/>
      <c r="R303" s="169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 ht="19.5" customHeight="1">
      <c r="B304" s="168"/>
      <c r="C304" s="168"/>
      <c r="D304" s="169"/>
      <c r="E304" s="169"/>
      <c r="F304" s="169"/>
      <c r="G304" s="169"/>
      <c r="H304" s="169"/>
      <c r="I304" s="169"/>
      <c r="J304" s="169"/>
      <c r="K304" s="169"/>
      <c r="L304" s="169"/>
      <c r="M304" s="66"/>
      <c r="N304" s="169"/>
      <c r="O304" s="169"/>
      <c r="P304" s="66"/>
      <c r="Q304" s="169"/>
      <c r="R304" s="169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 ht="19.5" customHeight="1">
      <c r="B305" s="168"/>
      <c r="C305" s="168"/>
      <c r="D305" s="169"/>
      <c r="E305" s="169"/>
      <c r="F305" s="169"/>
      <c r="G305" s="169"/>
      <c r="H305" s="169"/>
      <c r="I305" s="169"/>
      <c r="J305" s="169"/>
      <c r="K305" s="169"/>
      <c r="L305" s="169"/>
      <c r="M305" s="66"/>
      <c r="N305" s="169"/>
      <c r="O305" s="169"/>
      <c r="P305" s="66"/>
      <c r="Q305" s="169"/>
      <c r="R305" s="169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 ht="19.5" customHeight="1">
      <c r="B306" s="168"/>
      <c r="C306" s="168"/>
      <c r="D306" s="169"/>
      <c r="E306" s="169"/>
      <c r="F306" s="169"/>
      <c r="G306" s="169"/>
      <c r="H306" s="169"/>
      <c r="I306" s="169"/>
      <c r="J306" s="169"/>
      <c r="K306" s="169"/>
      <c r="L306" s="169"/>
      <c r="M306" s="66"/>
      <c r="N306" s="169"/>
      <c r="O306" s="169"/>
      <c r="P306" s="66"/>
      <c r="Q306" s="169"/>
      <c r="R306" s="169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 ht="19.5" customHeight="1">
      <c r="B307" s="168"/>
      <c r="C307" s="168"/>
      <c r="D307" s="169"/>
      <c r="E307" s="169"/>
      <c r="F307" s="169"/>
      <c r="G307" s="169"/>
      <c r="H307" s="169"/>
      <c r="I307" s="169"/>
      <c r="J307" s="169"/>
      <c r="K307" s="169"/>
      <c r="L307" s="169"/>
      <c r="M307" s="66"/>
      <c r="N307" s="169"/>
      <c r="O307" s="169"/>
      <c r="P307" s="66"/>
      <c r="Q307" s="169"/>
      <c r="R307" s="169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 ht="19.5" customHeight="1">
      <c r="B308" s="168"/>
      <c r="C308" s="168"/>
      <c r="D308" s="169"/>
      <c r="E308" s="169"/>
      <c r="F308" s="169"/>
      <c r="G308" s="169"/>
      <c r="H308" s="169"/>
      <c r="I308" s="169"/>
      <c r="J308" s="169"/>
      <c r="K308" s="169"/>
      <c r="L308" s="169"/>
      <c r="M308" s="66"/>
      <c r="N308" s="169"/>
      <c r="O308" s="169"/>
      <c r="P308" s="66"/>
      <c r="Q308" s="169"/>
      <c r="R308" s="169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 ht="19.5" customHeight="1">
      <c r="B309" s="168"/>
      <c r="C309" s="168"/>
      <c r="D309" s="169"/>
      <c r="E309" s="169"/>
      <c r="F309" s="169"/>
      <c r="G309" s="169"/>
      <c r="H309" s="169"/>
      <c r="I309" s="169"/>
      <c r="J309" s="169"/>
      <c r="K309" s="169"/>
      <c r="L309" s="169"/>
      <c r="M309" s="66"/>
      <c r="N309" s="169"/>
      <c r="O309" s="169"/>
      <c r="P309" s="66"/>
      <c r="Q309" s="169"/>
      <c r="R309" s="169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 ht="19.5" customHeight="1">
      <c r="B310" s="168"/>
      <c r="C310" s="168"/>
      <c r="D310" s="169"/>
      <c r="E310" s="169"/>
      <c r="F310" s="169"/>
      <c r="G310" s="169"/>
      <c r="H310" s="169"/>
      <c r="I310" s="169"/>
      <c r="J310" s="169"/>
      <c r="K310" s="169"/>
      <c r="L310" s="169"/>
      <c r="M310" s="66"/>
      <c r="N310" s="169"/>
      <c r="O310" s="169"/>
      <c r="P310" s="66"/>
      <c r="Q310" s="169"/>
      <c r="R310" s="169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 ht="19.5" customHeight="1">
      <c r="B311" s="168"/>
      <c r="C311" s="168"/>
      <c r="D311" s="169"/>
      <c r="E311" s="169"/>
      <c r="F311" s="169"/>
      <c r="G311" s="169"/>
      <c r="H311" s="169"/>
      <c r="I311" s="169"/>
      <c r="J311" s="169"/>
      <c r="K311" s="169"/>
      <c r="L311" s="169"/>
      <c r="M311" s="66"/>
      <c r="N311" s="169"/>
      <c r="O311" s="169"/>
      <c r="P311" s="66"/>
      <c r="Q311" s="169"/>
      <c r="R311" s="169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 ht="19.5" customHeight="1">
      <c r="B312" s="168"/>
      <c r="C312" s="168"/>
      <c r="D312" s="169"/>
      <c r="E312" s="169"/>
      <c r="F312" s="169"/>
      <c r="G312" s="169"/>
      <c r="H312" s="169"/>
      <c r="I312" s="169"/>
      <c r="J312" s="169"/>
      <c r="K312" s="169"/>
      <c r="L312" s="169"/>
      <c r="M312" s="66"/>
      <c r="N312" s="169"/>
      <c r="O312" s="169"/>
      <c r="P312" s="66"/>
      <c r="Q312" s="169"/>
      <c r="R312" s="169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 ht="19.5" customHeight="1">
      <c r="B313" s="168"/>
      <c r="C313" s="168"/>
      <c r="D313" s="169"/>
      <c r="E313" s="169"/>
      <c r="F313" s="169"/>
      <c r="G313" s="169"/>
      <c r="H313" s="169"/>
      <c r="I313" s="169"/>
      <c r="J313" s="169"/>
      <c r="K313" s="169"/>
      <c r="L313" s="169"/>
      <c r="M313" s="66"/>
      <c r="N313" s="169"/>
      <c r="O313" s="169"/>
      <c r="P313" s="66"/>
      <c r="Q313" s="169"/>
      <c r="R313" s="169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 ht="19.5" customHeight="1">
      <c r="B314" s="168"/>
      <c r="C314" s="168"/>
      <c r="D314" s="169"/>
      <c r="E314" s="169"/>
      <c r="F314" s="169"/>
      <c r="G314" s="169"/>
      <c r="H314" s="169"/>
      <c r="I314" s="169"/>
      <c r="J314" s="169"/>
      <c r="K314" s="169"/>
      <c r="L314" s="169"/>
      <c r="M314" s="66"/>
      <c r="N314" s="169"/>
      <c r="O314" s="169"/>
      <c r="P314" s="66"/>
      <c r="Q314" s="169"/>
      <c r="R314" s="169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 ht="19.5" customHeight="1">
      <c r="B315" s="168"/>
      <c r="C315" s="168"/>
      <c r="D315" s="169"/>
      <c r="E315" s="169"/>
      <c r="F315" s="169"/>
      <c r="G315" s="169"/>
      <c r="H315" s="169"/>
      <c r="I315" s="169"/>
      <c r="J315" s="169"/>
      <c r="K315" s="169"/>
      <c r="L315" s="169"/>
      <c r="M315" s="66"/>
      <c r="N315" s="169"/>
      <c r="O315" s="169"/>
      <c r="P315" s="66"/>
      <c r="Q315" s="169"/>
      <c r="R315" s="169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 ht="19.5" customHeight="1">
      <c r="B316" s="168"/>
      <c r="C316" s="168"/>
      <c r="D316" s="169"/>
      <c r="E316" s="169"/>
      <c r="F316" s="169"/>
      <c r="G316" s="169"/>
      <c r="H316" s="169"/>
      <c r="I316" s="169"/>
      <c r="J316" s="169"/>
      <c r="K316" s="169"/>
      <c r="L316" s="169"/>
      <c r="M316" s="66"/>
      <c r="N316" s="169"/>
      <c r="O316" s="169"/>
      <c r="P316" s="66"/>
      <c r="Q316" s="169"/>
      <c r="R316" s="169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 ht="19.5" customHeight="1">
      <c r="B317" s="168"/>
      <c r="C317" s="168"/>
      <c r="D317" s="169"/>
      <c r="E317" s="169"/>
      <c r="F317" s="169"/>
      <c r="G317" s="169"/>
      <c r="H317" s="169"/>
      <c r="I317" s="169"/>
      <c r="J317" s="169"/>
      <c r="K317" s="169"/>
      <c r="L317" s="169"/>
      <c r="M317" s="66"/>
      <c r="N317" s="169"/>
      <c r="O317" s="169"/>
      <c r="P317" s="66"/>
      <c r="Q317" s="169"/>
      <c r="R317" s="169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 ht="19.5" customHeight="1">
      <c r="B318" s="168"/>
      <c r="C318" s="168"/>
      <c r="D318" s="169"/>
      <c r="E318" s="169"/>
      <c r="F318" s="169"/>
      <c r="G318" s="169"/>
      <c r="H318" s="169"/>
      <c r="I318" s="169"/>
      <c r="J318" s="169"/>
      <c r="K318" s="169"/>
      <c r="L318" s="169"/>
      <c r="M318" s="66"/>
      <c r="N318" s="169"/>
      <c r="O318" s="169"/>
      <c r="P318" s="66"/>
      <c r="Q318" s="169"/>
      <c r="R318" s="169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 ht="19.5" customHeight="1">
      <c r="B319" s="168"/>
      <c r="C319" s="168"/>
      <c r="D319" s="169"/>
      <c r="E319" s="169"/>
      <c r="F319" s="169"/>
      <c r="G319" s="169"/>
      <c r="H319" s="169"/>
      <c r="I319" s="169"/>
      <c r="J319" s="169"/>
      <c r="K319" s="169"/>
      <c r="L319" s="169"/>
      <c r="M319" s="66"/>
      <c r="N319" s="169"/>
      <c r="O319" s="169"/>
      <c r="P319" s="66"/>
      <c r="Q319" s="169"/>
      <c r="R319" s="169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 ht="19.5" customHeight="1">
      <c r="B320" s="168"/>
      <c r="C320" s="168"/>
      <c r="D320" s="169"/>
      <c r="E320" s="169"/>
      <c r="F320" s="169"/>
      <c r="G320" s="169"/>
      <c r="H320" s="169"/>
      <c r="I320" s="169"/>
      <c r="J320" s="169"/>
      <c r="K320" s="169"/>
      <c r="L320" s="169"/>
      <c r="M320" s="66"/>
      <c r="N320" s="169"/>
      <c r="O320" s="169"/>
      <c r="P320" s="66"/>
      <c r="Q320" s="169"/>
      <c r="R320" s="169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 ht="19.5" customHeight="1">
      <c r="B321" s="168"/>
      <c r="C321" s="168"/>
      <c r="D321" s="169"/>
      <c r="E321" s="169"/>
      <c r="F321" s="169"/>
      <c r="G321" s="169"/>
      <c r="H321" s="169"/>
      <c r="I321" s="169"/>
      <c r="J321" s="169"/>
      <c r="K321" s="169"/>
      <c r="L321" s="169"/>
      <c r="M321" s="66"/>
      <c r="N321" s="169"/>
      <c r="O321" s="169"/>
      <c r="P321" s="66"/>
      <c r="Q321" s="169"/>
      <c r="R321" s="169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 ht="19.5" customHeight="1">
      <c r="B322" s="168"/>
      <c r="C322" s="168"/>
      <c r="D322" s="169"/>
      <c r="E322" s="169"/>
      <c r="F322" s="169"/>
      <c r="G322" s="169"/>
      <c r="H322" s="169"/>
      <c r="I322" s="169"/>
      <c r="J322" s="169"/>
      <c r="K322" s="169"/>
      <c r="L322" s="169"/>
      <c r="M322" s="66"/>
      <c r="N322" s="169"/>
      <c r="O322" s="169"/>
      <c r="P322" s="66"/>
      <c r="Q322" s="169"/>
      <c r="R322" s="169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 ht="19.5" customHeight="1">
      <c r="B323" s="168"/>
      <c r="C323" s="168"/>
      <c r="D323" s="169"/>
      <c r="E323" s="169"/>
      <c r="F323" s="169"/>
      <c r="G323" s="169"/>
      <c r="H323" s="169"/>
      <c r="I323" s="169"/>
      <c r="J323" s="169"/>
      <c r="K323" s="169"/>
      <c r="L323" s="169"/>
      <c r="M323" s="66"/>
      <c r="N323" s="169"/>
      <c r="O323" s="169"/>
      <c r="P323" s="66"/>
      <c r="Q323" s="169"/>
      <c r="R323" s="169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 ht="19.5" customHeight="1">
      <c r="B324" s="168"/>
      <c r="C324" s="168"/>
      <c r="D324" s="169"/>
      <c r="E324" s="169"/>
      <c r="F324" s="169"/>
      <c r="G324" s="169"/>
      <c r="H324" s="169"/>
      <c r="I324" s="169"/>
      <c r="J324" s="169"/>
      <c r="K324" s="169"/>
      <c r="L324" s="169"/>
      <c r="M324" s="66"/>
      <c r="N324" s="169"/>
      <c r="O324" s="169"/>
      <c r="P324" s="66"/>
      <c r="Q324" s="169"/>
      <c r="R324" s="169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 ht="19.5" customHeight="1">
      <c r="B325" s="168"/>
      <c r="C325" s="168"/>
      <c r="D325" s="169"/>
      <c r="E325" s="169"/>
      <c r="F325" s="169"/>
      <c r="G325" s="169"/>
      <c r="H325" s="169"/>
      <c r="I325" s="169"/>
      <c r="J325" s="169"/>
      <c r="K325" s="169"/>
      <c r="L325" s="169"/>
      <c r="M325" s="66"/>
      <c r="N325" s="169"/>
      <c r="O325" s="169"/>
      <c r="P325" s="66"/>
      <c r="Q325" s="169"/>
      <c r="R325" s="169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 ht="19.5" customHeight="1">
      <c r="B326" s="168"/>
      <c r="C326" s="168"/>
      <c r="D326" s="169"/>
      <c r="E326" s="169"/>
      <c r="F326" s="169"/>
      <c r="G326" s="169"/>
      <c r="H326" s="169"/>
      <c r="I326" s="169"/>
      <c r="J326" s="169"/>
      <c r="K326" s="169"/>
      <c r="L326" s="169"/>
      <c r="M326" s="66"/>
      <c r="N326" s="169"/>
      <c r="O326" s="169"/>
      <c r="P326" s="66"/>
      <c r="Q326" s="169"/>
      <c r="R326" s="169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 ht="19.5" customHeight="1">
      <c r="B327" s="168"/>
      <c r="C327" s="168"/>
      <c r="D327" s="169"/>
      <c r="E327" s="169"/>
      <c r="F327" s="169"/>
      <c r="G327" s="169"/>
      <c r="H327" s="169"/>
      <c r="I327" s="169"/>
      <c r="J327" s="169"/>
      <c r="K327" s="169"/>
      <c r="L327" s="169"/>
      <c r="M327" s="66"/>
      <c r="N327" s="169"/>
      <c r="O327" s="169"/>
      <c r="P327" s="66"/>
      <c r="Q327" s="169"/>
      <c r="R327" s="169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 ht="19.5" customHeight="1">
      <c r="B328" s="168"/>
      <c r="C328" s="168"/>
      <c r="D328" s="169"/>
      <c r="E328" s="169"/>
      <c r="F328" s="169"/>
      <c r="G328" s="169"/>
      <c r="H328" s="169"/>
      <c r="I328" s="169"/>
      <c r="J328" s="169"/>
      <c r="K328" s="169"/>
      <c r="L328" s="169"/>
      <c r="M328" s="66"/>
      <c r="N328" s="169"/>
      <c r="O328" s="169"/>
      <c r="P328" s="66"/>
      <c r="Q328" s="169"/>
      <c r="R328" s="169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 ht="19.5" customHeight="1">
      <c r="B329" s="168"/>
      <c r="C329" s="168"/>
      <c r="D329" s="169"/>
      <c r="E329" s="169"/>
      <c r="F329" s="169"/>
      <c r="G329" s="169"/>
      <c r="H329" s="169"/>
      <c r="I329" s="169"/>
      <c r="J329" s="169"/>
      <c r="K329" s="169"/>
      <c r="L329" s="169"/>
      <c r="M329" s="66"/>
      <c r="N329" s="169"/>
      <c r="O329" s="169"/>
      <c r="P329" s="66"/>
      <c r="Q329" s="169"/>
      <c r="R329" s="169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 ht="19.5" customHeight="1">
      <c r="B330" s="168"/>
      <c r="C330" s="168"/>
      <c r="D330" s="169"/>
      <c r="E330" s="169"/>
      <c r="F330" s="169"/>
      <c r="G330" s="169"/>
      <c r="H330" s="169"/>
      <c r="I330" s="169"/>
      <c r="J330" s="169"/>
      <c r="K330" s="169"/>
      <c r="L330" s="169"/>
      <c r="M330" s="66"/>
      <c r="N330" s="169"/>
      <c r="O330" s="169"/>
      <c r="P330" s="66"/>
      <c r="Q330" s="169"/>
      <c r="R330" s="169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 ht="19.5" customHeight="1">
      <c r="B331" s="168"/>
      <c r="C331" s="168"/>
      <c r="D331" s="169"/>
      <c r="E331" s="169"/>
      <c r="F331" s="169"/>
      <c r="G331" s="169"/>
      <c r="H331" s="169"/>
      <c r="I331" s="169"/>
      <c r="J331" s="169"/>
      <c r="K331" s="169"/>
      <c r="L331" s="169"/>
      <c r="M331" s="66"/>
      <c r="N331" s="169"/>
      <c r="O331" s="169"/>
      <c r="P331" s="66"/>
      <c r="Q331" s="169"/>
      <c r="R331" s="169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 ht="19.5" customHeight="1">
      <c r="B332" s="168"/>
      <c r="C332" s="168"/>
      <c r="D332" s="169"/>
      <c r="E332" s="169"/>
      <c r="F332" s="169"/>
      <c r="G332" s="169"/>
      <c r="H332" s="169"/>
      <c r="I332" s="169"/>
      <c r="J332" s="169"/>
      <c r="K332" s="169"/>
      <c r="L332" s="169"/>
      <c r="M332" s="66"/>
      <c r="N332" s="169"/>
      <c r="O332" s="169"/>
      <c r="P332" s="66"/>
      <c r="Q332" s="169"/>
      <c r="R332" s="169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 ht="19.5" customHeight="1">
      <c r="B333" s="168"/>
      <c r="C333" s="168"/>
      <c r="D333" s="169"/>
      <c r="E333" s="169"/>
      <c r="F333" s="169"/>
      <c r="G333" s="169"/>
      <c r="H333" s="169"/>
      <c r="I333" s="169"/>
      <c r="J333" s="169"/>
      <c r="K333" s="169"/>
      <c r="L333" s="169"/>
      <c r="M333" s="66"/>
      <c r="N333" s="169"/>
      <c r="O333" s="169"/>
      <c r="P333" s="66"/>
      <c r="Q333" s="169"/>
      <c r="R333" s="169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 ht="19.5" customHeight="1">
      <c r="B334" s="168"/>
      <c r="C334" s="168"/>
      <c r="D334" s="169"/>
      <c r="E334" s="169"/>
      <c r="F334" s="169"/>
      <c r="G334" s="169"/>
      <c r="H334" s="169"/>
      <c r="I334" s="169"/>
      <c r="J334" s="169"/>
      <c r="K334" s="169"/>
      <c r="L334" s="169"/>
      <c r="M334" s="66"/>
      <c r="N334" s="169"/>
      <c r="O334" s="169"/>
      <c r="P334" s="66"/>
      <c r="Q334" s="169"/>
      <c r="R334" s="169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 ht="19.5" customHeight="1">
      <c r="B335" s="168"/>
      <c r="C335" s="168"/>
      <c r="D335" s="169"/>
      <c r="E335" s="169"/>
      <c r="F335" s="169"/>
      <c r="G335" s="169"/>
      <c r="H335" s="169"/>
      <c r="I335" s="169"/>
      <c r="J335" s="169"/>
      <c r="K335" s="169"/>
      <c r="L335" s="169"/>
      <c r="M335" s="66"/>
      <c r="N335" s="169"/>
      <c r="O335" s="169"/>
      <c r="P335" s="66"/>
      <c r="Q335" s="169"/>
      <c r="R335" s="169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 ht="19.5" customHeight="1">
      <c r="B336" s="168"/>
      <c r="C336" s="168"/>
      <c r="D336" s="169"/>
      <c r="E336" s="169"/>
      <c r="F336" s="169"/>
      <c r="G336" s="169"/>
      <c r="H336" s="169"/>
      <c r="I336" s="169"/>
      <c r="J336" s="169"/>
      <c r="K336" s="169"/>
      <c r="L336" s="169"/>
      <c r="M336" s="66"/>
      <c r="N336" s="169"/>
      <c r="O336" s="169"/>
      <c r="P336" s="66"/>
      <c r="Q336" s="169"/>
      <c r="R336" s="169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 ht="19.5" customHeight="1">
      <c r="B337" s="168"/>
      <c r="C337" s="168"/>
      <c r="D337" s="169"/>
      <c r="E337" s="169"/>
      <c r="F337" s="169"/>
      <c r="G337" s="169"/>
      <c r="H337" s="169"/>
      <c r="I337" s="169"/>
      <c r="J337" s="169"/>
      <c r="K337" s="169"/>
      <c r="L337" s="169"/>
      <c r="M337" s="66"/>
      <c r="N337" s="169"/>
      <c r="O337" s="169"/>
      <c r="P337" s="66"/>
      <c r="Q337" s="169"/>
      <c r="R337" s="169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 ht="19.5" customHeight="1">
      <c r="B338" s="168"/>
      <c r="C338" s="168"/>
      <c r="D338" s="169"/>
      <c r="E338" s="169"/>
      <c r="F338" s="169"/>
      <c r="G338" s="169"/>
      <c r="H338" s="169"/>
      <c r="I338" s="169"/>
      <c r="J338" s="169"/>
      <c r="K338" s="169"/>
      <c r="L338" s="169"/>
      <c r="M338" s="66"/>
      <c r="N338" s="169"/>
      <c r="O338" s="169"/>
      <c r="P338" s="66"/>
      <c r="Q338" s="169"/>
      <c r="R338" s="169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 ht="19.5" customHeight="1">
      <c r="B339" s="168"/>
      <c r="C339" s="168"/>
      <c r="D339" s="169"/>
      <c r="E339" s="169"/>
      <c r="F339" s="169"/>
      <c r="G339" s="169"/>
      <c r="H339" s="169"/>
      <c r="I339" s="169"/>
      <c r="J339" s="169"/>
      <c r="K339" s="169"/>
      <c r="L339" s="169"/>
      <c r="M339" s="66"/>
      <c r="N339" s="169"/>
      <c r="O339" s="169"/>
      <c r="P339" s="66"/>
      <c r="Q339" s="169"/>
      <c r="R339" s="169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 ht="19.5" customHeight="1">
      <c r="B340" s="168"/>
      <c r="C340" s="168"/>
      <c r="D340" s="169"/>
      <c r="E340" s="169"/>
      <c r="F340" s="169"/>
      <c r="G340" s="169"/>
      <c r="H340" s="169"/>
      <c r="I340" s="169"/>
      <c r="J340" s="169"/>
      <c r="K340" s="169"/>
      <c r="L340" s="169"/>
      <c r="M340" s="66"/>
      <c r="N340" s="169"/>
      <c r="O340" s="169"/>
      <c r="P340" s="66"/>
      <c r="Q340" s="169"/>
      <c r="R340" s="169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 ht="19.5" customHeight="1">
      <c r="B341" s="168"/>
      <c r="C341" s="168"/>
      <c r="D341" s="169"/>
      <c r="E341" s="169"/>
      <c r="F341" s="169"/>
      <c r="G341" s="169"/>
      <c r="H341" s="169"/>
      <c r="I341" s="169"/>
      <c r="J341" s="169"/>
      <c r="K341" s="169"/>
      <c r="L341" s="169"/>
      <c r="M341" s="66"/>
      <c r="N341" s="169"/>
      <c r="O341" s="169"/>
      <c r="P341" s="66"/>
      <c r="Q341" s="169"/>
      <c r="R341" s="169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 ht="19.5" customHeight="1">
      <c r="B342" s="168"/>
      <c r="C342" s="168"/>
      <c r="D342" s="169"/>
      <c r="E342" s="169"/>
      <c r="F342" s="169"/>
      <c r="G342" s="169"/>
      <c r="H342" s="169"/>
      <c r="I342" s="169"/>
      <c r="J342" s="169"/>
      <c r="K342" s="169"/>
      <c r="L342" s="169"/>
      <c r="M342" s="66"/>
      <c r="N342" s="169"/>
      <c r="O342" s="169"/>
      <c r="P342" s="66"/>
      <c r="Q342" s="169"/>
      <c r="R342" s="169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 ht="19.5" customHeight="1">
      <c r="B343" s="168"/>
      <c r="C343" s="168"/>
      <c r="D343" s="169"/>
      <c r="E343" s="169"/>
      <c r="F343" s="169"/>
      <c r="G343" s="169"/>
      <c r="H343" s="169"/>
      <c r="I343" s="169"/>
      <c r="J343" s="169"/>
      <c r="K343" s="169"/>
      <c r="L343" s="169"/>
      <c r="M343" s="66"/>
      <c r="N343" s="169"/>
      <c r="O343" s="169"/>
      <c r="P343" s="66"/>
      <c r="Q343" s="169"/>
      <c r="R343" s="169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 ht="19.5" customHeight="1">
      <c r="B344" s="168"/>
      <c r="C344" s="168"/>
      <c r="D344" s="169"/>
      <c r="E344" s="169"/>
      <c r="F344" s="169"/>
      <c r="G344" s="169"/>
      <c r="H344" s="169"/>
      <c r="I344" s="169"/>
      <c r="J344" s="169"/>
      <c r="K344" s="169"/>
      <c r="L344" s="169"/>
      <c r="M344" s="66"/>
      <c r="N344" s="169"/>
      <c r="O344" s="169"/>
      <c r="P344" s="66"/>
      <c r="Q344" s="169"/>
      <c r="R344" s="169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 ht="19.5" customHeight="1">
      <c r="B345" s="168"/>
      <c r="C345" s="168"/>
      <c r="D345" s="169"/>
      <c r="E345" s="169"/>
      <c r="F345" s="169"/>
      <c r="G345" s="169"/>
      <c r="H345" s="169"/>
      <c r="I345" s="169"/>
      <c r="J345" s="169"/>
      <c r="K345" s="169"/>
      <c r="L345" s="169"/>
      <c r="M345" s="66"/>
      <c r="N345" s="169"/>
      <c r="O345" s="169"/>
      <c r="P345" s="66"/>
      <c r="Q345" s="169"/>
      <c r="R345" s="169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 ht="19.5" customHeight="1">
      <c r="B346" s="168"/>
      <c r="C346" s="168"/>
      <c r="D346" s="169"/>
      <c r="E346" s="169"/>
      <c r="F346" s="169"/>
      <c r="G346" s="169"/>
      <c r="H346" s="169"/>
      <c r="I346" s="169"/>
      <c r="J346" s="169"/>
      <c r="K346" s="169"/>
      <c r="L346" s="169"/>
      <c r="M346" s="66"/>
      <c r="N346" s="169"/>
      <c r="O346" s="169"/>
      <c r="P346" s="66"/>
      <c r="Q346" s="169"/>
      <c r="R346" s="169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 ht="19.5" customHeight="1">
      <c r="B347" s="168"/>
      <c r="C347" s="168"/>
      <c r="D347" s="169"/>
      <c r="E347" s="169"/>
      <c r="F347" s="169"/>
      <c r="G347" s="169"/>
      <c r="H347" s="169"/>
      <c r="I347" s="169"/>
      <c r="J347" s="169"/>
      <c r="K347" s="169"/>
      <c r="L347" s="169"/>
      <c r="M347" s="66"/>
      <c r="N347" s="169"/>
      <c r="O347" s="169"/>
      <c r="P347" s="66"/>
      <c r="Q347" s="169"/>
      <c r="R347" s="169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 ht="19.5" customHeight="1">
      <c r="B348" s="168"/>
      <c r="C348" s="168"/>
      <c r="D348" s="169"/>
      <c r="E348" s="169"/>
      <c r="F348" s="169"/>
      <c r="G348" s="169"/>
      <c r="H348" s="169"/>
      <c r="I348" s="169"/>
      <c r="J348" s="169"/>
      <c r="K348" s="169"/>
      <c r="L348" s="169"/>
      <c r="M348" s="66"/>
      <c r="N348" s="169"/>
      <c r="O348" s="169"/>
      <c r="P348" s="66"/>
      <c r="Q348" s="169"/>
      <c r="R348" s="169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 ht="19.5" customHeight="1">
      <c r="B349" s="168"/>
      <c r="C349" s="168"/>
      <c r="D349" s="169"/>
      <c r="E349" s="169"/>
      <c r="F349" s="169"/>
      <c r="G349" s="169"/>
      <c r="H349" s="169"/>
      <c r="I349" s="169"/>
      <c r="J349" s="169"/>
      <c r="K349" s="169"/>
      <c r="L349" s="169"/>
      <c r="M349" s="66"/>
      <c r="N349" s="169"/>
      <c r="O349" s="169"/>
      <c r="P349" s="66"/>
      <c r="Q349" s="169"/>
      <c r="R349" s="169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 ht="19.5" customHeight="1">
      <c r="B350" s="168"/>
      <c r="C350" s="168"/>
      <c r="D350" s="169"/>
      <c r="E350" s="169"/>
      <c r="F350" s="169"/>
      <c r="G350" s="169"/>
      <c r="H350" s="169"/>
      <c r="I350" s="169"/>
      <c r="J350" s="169"/>
      <c r="K350" s="169"/>
      <c r="L350" s="169"/>
      <c r="M350" s="66"/>
      <c r="N350" s="169"/>
      <c r="O350" s="169"/>
      <c r="P350" s="66"/>
      <c r="Q350" s="169"/>
      <c r="R350" s="169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 ht="19.5" customHeight="1">
      <c r="B351" s="168"/>
      <c r="C351" s="168"/>
      <c r="D351" s="169"/>
      <c r="E351" s="169"/>
      <c r="F351" s="169"/>
      <c r="G351" s="169"/>
      <c r="H351" s="169"/>
      <c r="I351" s="169"/>
      <c r="J351" s="169"/>
      <c r="K351" s="169"/>
      <c r="L351" s="169"/>
      <c r="M351" s="66"/>
      <c r="N351" s="169"/>
      <c r="O351" s="169"/>
      <c r="P351" s="66"/>
      <c r="Q351" s="169"/>
      <c r="R351" s="169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 ht="19.5" customHeight="1">
      <c r="B352" s="168"/>
      <c r="C352" s="168"/>
      <c r="D352" s="169"/>
      <c r="E352" s="169"/>
      <c r="F352" s="169"/>
      <c r="G352" s="169"/>
      <c r="H352" s="169"/>
      <c r="I352" s="169"/>
      <c r="J352" s="169"/>
      <c r="K352" s="169"/>
      <c r="L352" s="169"/>
      <c r="M352" s="66"/>
      <c r="N352" s="169"/>
      <c r="O352" s="169"/>
      <c r="P352" s="66"/>
      <c r="Q352" s="169"/>
      <c r="R352" s="169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 ht="19.5" customHeight="1">
      <c r="B353" s="168"/>
      <c r="C353" s="168"/>
      <c r="D353" s="169"/>
      <c r="E353" s="169"/>
      <c r="F353" s="169"/>
      <c r="G353" s="169"/>
      <c r="H353" s="169"/>
      <c r="I353" s="169"/>
      <c r="J353" s="169"/>
      <c r="K353" s="169"/>
      <c r="L353" s="169"/>
      <c r="M353" s="66"/>
      <c r="N353" s="169"/>
      <c r="O353" s="169"/>
      <c r="P353" s="66"/>
      <c r="Q353" s="169"/>
      <c r="R353" s="169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 ht="19.5" customHeight="1">
      <c r="B354" s="168"/>
      <c r="C354" s="168"/>
      <c r="D354" s="169"/>
      <c r="E354" s="169"/>
      <c r="F354" s="169"/>
      <c r="G354" s="169"/>
      <c r="H354" s="169"/>
      <c r="I354" s="169"/>
      <c r="J354" s="169"/>
      <c r="K354" s="169"/>
      <c r="L354" s="169"/>
      <c r="M354" s="66"/>
      <c r="N354" s="169"/>
      <c r="O354" s="169"/>
      <c r="P354" s="66"/>
      <c r="Q354" s="169"/>
      <c r="R354" s="169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 ht="19.5" customHeight="1">
      <c r="B355" s="168"/>
      <c r="C355" s="168"/>
      <c r="D355" s="169"/>
      <c r="E355" s="169"/>
      <c r="F355" s="169"/>
      <c r="G355" s="169"/>
      <c r="H355" s="169"/>
      <c r="I355" s="169"/>
      <c r="J355" s="169"/>
      <c r="K355" s="169"/>
      <c r="L355" s="169"/>
      <c r="M355" s="66"/>
      <c r="N355" s="169"/>
      <c r="O355" s="169"/>
      <c r="P355" s="66"/>
      <c r="Q355" s="169"/>
      <c r="R355" s="169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 ht="19.5" customHeight="1">
      <c r="B356" s="168"/>
      <c r="C356" s="168"/>
      <c r="D356" s="169"/>
      <c r="E356" s="169"/>
      <c r="F356" s="169"/>
      <c r="G356" s="169"/>
      <c r="H356" s="169"/>
      <c r="I356" s="169"/>
      <c r="J356" s="169"/>
      <c r="K356" s="169"/>
      <c r="L356" s="169"/>
      <c r="M356" s="66"/>
      <c r="N356" s="169"/>
      <c r="O356" s="169"/>
      <c r="P356" s="66"/>
      <c r="Q356" s="169"/>
      <c r="R356" s="169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 ht="19.5" customHeight="1">
      <c r="B357" s="168"/>
      <c r="C357" s="168"/>
      <c r="D357" s="169"/>
      <c r="E357" s="169"/>
      <c r="F357" s="169"/>
      <c r="G357" s="169"/>
      <c r="H357" s="169"/>
      <c r="I357" s="169"/>
      <c r="J357" s="169"/>
      <c r="K357" s="169"/>
      <c r="L357" s="169"/>
      <c r="M357" s="66"/>
      <c r="N357" s="169"/>
      <c r="O357" s="169"/>
      <c r="P357" s="66"/>
      <c r="Q357" s="169"/>
      <c r="R357" s="169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 ht="19.5" customHeight="1">
      <c r="B358" s="168"/>
      <c r="C358" s="168"/>
      <c r="D358" s="169"/>
      <c r="E358" s="169"/>
      <c r="F358" s="169"/>
      <c r="G358" s="169"/>
      <c r="H358" s="169"/>
      <c r="I358" s="169"/>
      <c r="J358" s="169"/>
      <c r="K358" s="169"/>
      <c r="L358" s="169"/>
      <c r="M358" s="66"/>
      <c r="N358" s="169"/>
      <c r="O358" s="169"/>
      <c r="P358" s="66"/>
      <c r="Q358" s="169"/>
      <c r="R358" s="169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 ht="19.5" customHeight="1">
      <c r="B359" s="168"/>
      <c r="C359" s="168"/>
      <c r="D359" s="169"/>
      <c r="E359" s="169"/>
      <c r="F359" s="169"/>
      <c r="G359" s="169"/>
      <c r="H359" s="169"/>
      <c r="I359" s="169"/>
      <c r="J359" s="169"/>
      <c r="K359" s="169"/>
      <c r="L359" s="169"/>
      <c r="M359" s="66"/>
      <c r="N359" s="169"/>
      <c r="O359" s="169"/>
      <c r="P359" s="66"/>
      <c r="Q359" s="169"/>
      <c r="R359" s="169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 ht="19.5" customHeight="1">
      <c r="B360" s="168"/>
      <c r="C360" s="168"/>
      <c r="D360" s="169"/>
      <c r="E360" s="169"/>
      <c r="F360" s="169"/>
      <c r="G360" s="169"/>
      <c r="H360" s="169"/>
      <c r="I360" s="169"/>
      <c r="J360" s="169"/>
      <c r="K360" s="169"/>
      <c r="L360" s="169"/>
      <c r="M360" s="66"/>
      <c r="N360" s="169"/>
      <c r="O360" s="169"/>
      <c r="P360" s="66"/>
      <c r="Q360" s="169"/>
      <c r="R360" s="169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 ht="19.5" customHeight="1">
      <c r="B361" s="168"/>
      <c r="C361" s="168"/>
      <c r="D361" s="169"/>
      <c r="E361" s="169"/>
      <c r="F361" s="169"/>
      <c r="G361" s="169"/>
      <c r="H361" s="169"/>
      <c r="I361" s="169"/>
      <c r="J361" s="169"/>
      <c r="K361" s="169"/>
      <c r="L361" s="169"/>
      <c r="M361" s="66"/>
      <c r="N361" s="169"/>
      <c r="O361" s="169"/>
      <c r="P361" s="66"/>
      <c r="Q361" s="169"/>
      <c r="R361" s="169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 ht="19.5" customHeight="1">
      <c r="B362" s="168"/>
      <c r="C362" s="168"/>
      <c r="D362" s="169"/>
      <c r="E362" s="169"/>
      <c r="F362" s="169"/>
      <c r="G362" s="169"/>
      <c r="H362" s="169"/>
      <c r="I362" s="169"/>
      <c r="J362" s="169"/>
      <c r="K362" s="169"/>
      <c r="L362" s="169"/>
      <c r="M362" s="66"/>
      <c r="N362" s="169"/>
      <c r="O362" s="169"/>
      <c r="P362" s="66"/>
      <c r="Q362" s="169"/>
      <c r="R362" s="169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 ht="19.5" customHeight="1">
      <c r="B363" s="168"/>
      <c r="C363" s="168"/>
      <c r="D363" s="169"/>
      <c r="E363" s="169"/>
      <c r="F363" s="169"/>
      <c r="G363" s="169"/>
      <c r="H363" s="169"/>
      <c r="I363" s="169"/>
      <c r="J363" s="169"/>
      <c r="K363" s="169"/>
      <c r="L363" s="169"/>
      <c r="M363" s="66"/>
      <c r="N363" s="169"/>
      <c r="O363" s="169"/>
      <c r="P363" s="66"/>
      <c r="Q363" s="169"/>
      <c r="R363" s="169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 ht="19.5" customHeight="1">
      <c r="B364" s="168"/>
      <c r="C364" s="168"/>
      <c r="D364" s="169"/>
      <c r="E364" s="169"/>
      <c r="F364" s="169"/>
      <c r="G364" s="169"/>
      <c r="H364" s="169"/>
      <c r="I364" s="169"/>
      <c r="J364" s="169"/>
      <c r="K364" s="169"/>
      <c r="L364" s="169"/>
      <c r="M364" s="66"/>
      <c r="N364" s="169"/>
      <c r="O364" s="169"/>
      <c r="P364" s="66"/>
      <c r="Q364" s="169"/>
      <c r="R364" s="169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</sheetData>
  <mergeCells count="17">
    <mergeCell ref="D42:E42"/>
    <mergeCell ref="F42:G42"/>
    <mergeCell ref="F43:G43"/>
    <mergeCell ref="B87:C87"/>
    <mergeCell ref="B89:C89"/>
    <mergeCell ref="B90:C90"/>
    <mergeCell ref="B91:C91"/>
    <mergeCell ref="B100:C100"/>
    <mergeCell ref="B102:C102"/>
    <mergeCell ref="B103:C103"/>
    <mergeCell ref="B92:C92"/>
    <mergeCell ref="B93:C93"/>
    <mergeCell ref="B95:C95"/>
    <mergeCell ref="B96:C96"/>
    <mergeCell ref="B97:C97"/>
    <mergeCell ref="B98:C98"/>
    <mergeCell ref="B99:C99"/>
  </mergeCells>
  <conditionalFormatting sqref="D46:E46 F47:G50">
    <cfRule type="expression" dxfId="0" priority="1">
      <formula>indirect("Assumptions!C4")="Yes"</formula>
    </cfRule>
  </conditionalFormatting>
  <dataValidations>
    <dataValidation type="list" allowBlank="1" showErrorMessage="1" sqref="B18:B38">
      <formula1>"Liquid Assets,Education Assets,Taxable Assets,Retirement Assets,Personal Assets,Mortgages,Car Loans,Student Loans,Credit Cards,Other Loans,Other"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.38"/>
    <col customWidth="1" min="2" max="2" width="42.0"/>
    <col customWidth="1" min="3" max="3" width="26.13"/>
    <col customWidth="1" min="4" max="22" width="8.88"/>
  </cols>
  <sheetData>
    <row r="2">
      <c r="A2" s="170"/>
      <c r="B2" s="8" t="s">
        <v>93</v>
      </c>
      <c r="C2" s="170"/>
      <c r="D2" s="170"/>
      <c r="E2" s="170"/>
      <c r="F2" s="170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0"/>
    </row>
    <row r="3" ht="19.5" customHeight="1">
      <c r="A3" s="170"/>
      <c r="B3" s="171"/>
      <c r="C3" s="172"/>
      <c r="D3" s="170"/>
      <c r="E3" s="170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</row>
    <row r="4" ht="19.5" customHeight="1">
      <c r="B4" s="173" t="s">
        <v>94</v>
      </c>
      <c r="C4" s="174"/>
    </row>
    <row r="5" ht="19.5" customHeight="1">
      <c r="B5" s="175" t="s">
        <v>95</v>
      </c>
      <c r="C5" s="176" t="s">
        <v>96</v>
      </c>
    </row>
    <row r="6" ht="19.5" customHeight="1">
      <c r="B6" s="177"/>
      <c r="C6" s="178"/>
    </row>
    <row r="7" ht="19.5" customHeight="1">
      <c r="B7" s="177"/>
      <c r="C7" s="178"/>
    </row>
    <row r="8" ht="19.5" customHeight="1">
      <c r="B8" s="177"/>
      <c r="C8" s="179"/>
    </row>
    <row r="9" ht="19.5" customHeight="1">
      <c r="B9" s="180"/>
      <c r="C9" s="181"/>
    </row>
    <row r="10" ht="19.5" customHeight="1">
      <c r="B10" s="180"/>
      <c r="C10" s="181"/>
    </row>
    <row r="11" ht="19.5" customHeight="1">
      <c r="B11" s="180"/>
      <c r="C11" s="181"/>
    </row>
    <row r="12" ht="19.5" customHeight="1">
      <c r="B12" s="180"/>
      <c r="C12" s="181"/>
    </row>
    <row r="13" ht="19.5" customHeight="1">
      <c r="B13" s="180"/>
      <c r="C13" s="181"/>
    </row>
    <row r="14" ht="19.5" customHeight="1">
      <c r="B14" s="180"/>
      <c r="C14" s="181"/>
    </row>
    <row r="15" ht="19.5" customHeight="1">
      <c r="B15" s="180"/>
      <c r="C15" s="181"/>
    </row>
    <row r="16" ht="19.5" customHeight="1">
      <c r="B16" s="180"/>
      <c r="C16" s="181"/>
    </row>
    <row r="17" ht="19.5" customHeight="1">
      <c r="B17" s="180"/>
      <c r="C17" s="181"/>
    </row>
    <row r="18" ht="19.5" customHeight="1">
      <c r="B18" s="180"/>
      <c r="C18" s="181"/>
    </row>
    <row r="19" ht="18.75" customHeight="1">
      <c r="B19" s="182" t="s">
        <v>97</v>
      </c>
      <c r="C19" s="183">
        <f>SUM(C6:C18)</f>
        <v>0</v>
      </c>
    </row>
    <row r="20" ht="19.5" customHeight="1">
      <c r="B20" s="184" t="s">
        <v>98</v>
      </c>
      <c r="C20" s="185"/>
    </row>
    <row r="21" ht="19.5" customHeight="1">
      <c r="B21" s="175" t="s">
        <v>95</v>
      </c>
      <c r="C21" s="176" t="s">
        <v>96</v>
      </c>
    </row>
    <row r="22" ht="19.5" customHeight="1">
      <c r="B22" s="177"/>
      <c r="C22" s="179"/>
    </row>
    <row r="23" ht="19.5" customHeight="1">
      <c r="B23" s="177"/>
      <c r="C23" s="179"/>
    </row>
    <row r="24" ht="19.5" customHeight="1">
      <c r="B24" s="180"/>
      <c r="C24" s="181"/>
    </row>
    <row r="25" ht="19.5" customHeight="1">
      <c r="B25" s="180"/>
      <c r="C25" s="181"/>
    </row>
    <row r="26" ht="19.5" customHeight="1">
      <c r="B26" s="180"/>
      <c r="C26" s="181"/>
    </row>
    <row r="27" ht="19.5" customHeight="1">
      <c r="B27" s="180"/>
      <c r="C27" s="181"/>
    </row>
    <row r="28" ht="19.5" customHeight="1">
      <c r="B28" s="180"/>
      <c r="C28" s="181"/>
    </row>
    <row r="29" ht="19.5" customHeight="1">
      <c r="B29" s="180"/>
      <c r="C29" s="181"/>
    </row>
    <row r="30" ht="19.5" customHeight="1">
      <c r="B30" s="182" t="s">
        <v>99</v>
      </c>
      <c r="C30" s="183">
        <f>SUM(C22:C29)</f>
        <v>0</v>
      </c>
    </row>
    <row r="31" ht="7.5" customHeight="1">
      <c r="B31" s="186"/>
      <c r="C31" s="187"/>
    </row>
    <row r="32" ht="19.5" customHeight="1">
      <c r="B32" s="188" t="s">
        <v>100</v>
      </c>
      <c r="C32" s="189">
        <f>C19-C30</f>
        <v>0</v>
      </c>
    </row>
    <row r="33" ht="8.25" customHeight="1"/>
  </sheetData>
  <mergeCells count="1">
    <mergeCell ref="B4:C4"/>
  </mergeCells>
  <conditionalFormatting sqref="B6:B20 C6:C18 C20 B22:C29">
    <cfRule type="expression" dxfId="1" priority="1">
      <formula>NOT(ISNUMBER(FIND("|",$B6)))</formula>
    </cfRule>
  </conditionalFormatting>
  <conditionalFormatting sqref="C6:C18 C22:C29">
    <cfRule type="expression" dxfId="2" priority="2">
      <formula>not(isnumber(C6))</formula>
    </cfRule>
  </conditionalFormatting>
  <printOptions/>
  <pageMargins bottom="0.5" footer="0.0" header="0.0" left="0.5" right="0.5" top="0.75"/>
  <pageSetup orientation="landscape"/>
  <headerFooter>
    <oddFooter>&amp;L&amp;F&amp;R&amp;A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25"/>
    <col customWidth="1" min="2" max="2" width="11.13"/>
    <col customWidth="1" min="4" max="4" width="18.63"/>
    <col customWidth="1" min="5" max="5" width="42.75"/>
    <col customWidth="1" min="6" max="6" width="25.88"/>
  </cols>
  <sheetData>
    <row r="1">
      <c r="A1" s="190" t="s">
        <v>101</v>
      </c>
      <c r="B1" s="190" t="s">
        <v>102</v>
      </c>
      <c r="C1" s="190" t="s">
        <v>103</v>
      </c>
      <c r="D1" s="190" t="s">
        <v>104</v>
      </c>
      <c r="E1" s="190" t="s">
        <v>105</v>
      </c>
      <c r="F1" s="191" t="s">
        <v>106</v>
      </c>
    </row>
    <row r="2">
      <c r="A2" s="192" t="s">
        <v>107</v>
      </c>
      <c r="B2" s="193">
        <v>45414.70833333333</v>
      </c>
      <c r="C2" s="192">
        <v>-95.7</v>
      </c>
      <c r="D2" s="192" t="s">
        <v>108</v>
      </c>
      <c r="E2" s="192" t="s">
        <v>109</v>
      </c>
      <c r="F2" s="194" t="s">
        <v>110</v>
      </c>
    </row>
    <row r="3">
      <c r="A3" s="192" t="s">
        <v>107</v>
      </c>
      <c r="B3" s="193">
        <v>45573.70833333333</v>
      </c>
      <c r="C3" s="192">
        <v>-25.0</v>
      </c>
      <c r="D3" s="192" t="s">
        <v>111</v>
      </c>
      <c r="E3" s="192" t="s">
        <v>112</v>
      </c>
      <c r="F3" s="194" t="s">
        <v>110</v>
      </c>
    </row>
    <row r="4">
      <c r="A4" s="192" t="s">
        <v>107</v>
      </c>
      <c r="B4" s="193">
        <v>45401.70833333333</v>
      </c>
      <c r="C4" s="192">
        <v>-716.3</v>
      </c>
      <c r="D4" s="192" t="s">
        <v>113</v>
      </c>
      <c r="E4" s="192" t="s">
        <v>114</v>
      </c>
      <c r="F4" s="194" t="s">
        <v>115</v>
      </c>
    </row>
    <row r="5">
      <c r="A5" s="192" t="s">
        <v>107</v>
      </c>
      <c r="B5" s="193">
        <v>45401.70833333333</v>
      </c>
      <c r="C5" s="192">
        <v>-716.3</v>
      </c>
      <c r="D5" s="192" t="s">
        <v>113</v>
      </c>
      <c r="E5" s="192" t="s">
        <v>114</v>
      </c>
      <c r="F5" s="194" t="s">
        <v>115</v>
      </c>
    </row>
    <row r="6">
      <c r="A6" s="192" t="s">
        <v>107</v>
      </c>
      <c r="B6" s="193">
        <v>45338.66666666667</v>
      </c>
      <c r="C6" s="192">
        <v>-136.61</v>
      </c>
      <c r="D6" s="192" t="s">
        <v>116</v>
      </c>
      <c r="E6" s="192" t="s">
        <v>117</v>
      </c>
      <c r="F6" s="194" t="s">
        <v>115</v>
      </c>
    </row>
    <row r="7">
      <c r="A7" s="192" t="s">
        <v>107</v>
      </c>
      <c r="B7" s="193">
        <v>45584.70833333333</v>
      </c>
      <c r="C7" s="192">
        <v>-136.0</v>
      </c>
      <c r="D7" s="192" t="s">
        <v>118</v>
      </c>
      <c r="E7" s="192" t="s">
        <v>119</v>
      </c>
      <c r="F7" s="194" t="s">
        <v>115</v>
      </c>
    </row>
    <row r="8">
      <c r="A8" s="192" t="s">
        <v>107</v>
      </c>
      <c r="B8" s="193">
        <v>45584.70833333333</v>
      </c>
      <c r="C8" s="192">
        <v>-136.0</v>
      </c>
      <c r="D8" s="192" t="s">
        <v>118</v>
      </c>
      <c r="E8" s="192" t="s">
        <v>119</v>
      </c>
      <c r="F8" s="194" t="s">
        <v>115</v>
      </c>
    </row>
    <row r="9">
      <c r="A9" s="192" t="s">
        <v>107</v>
      </c>
      <c r="B9" s="193">
        <v>45250.66666666667</v>
      </c>
      <c r="C9" s="192">
        <v>-293.53</v>
      </c>
      <c r="D9" s="192" t="s">
        <v>120</v>
      </c>
      <c r="E9" s="192" t="s">
        <v>121</v>
      </c>
      <c r="F9" s="194" t="s">
        <v>120</v>
      </c>
    </row>
    <row r="10">
      <c r="A10" s="192" t="s">
        <v>107</v>
      </c>
      <c r="B10" s="193">
        <v>45302.66666666667</v>
      </c>
      <c r="C10" s="192">
        <v>-256.25</v>
      </c>
      <c r="D10" s="192" t="s">
        <v>120</v>
      </c>
      <c r="E10" s="192" t="s">
        <v>121</v>
      </c>
      <c r="F10" s="194" t="s">
        <v>120</v>
      </c>
    </row>
    <row r="11">
      <c r="A11" s="192" t="s">
        <v>107</v>
      </c>
      <c r="B11" s="193">
        <v>45248.66666666667</v>
      </c>
      <c r="C11" s="192">
        <v>-159.29</v>
      </c>
      <c r="D11" s="192" t="s">
        <v>120</v>
      </c>
      <c r="E11" s="192" t="s">
        <v>122</v>
      </c>
      <c r="F11" s="194" t="s">
        <v>120</v>
      </c>
    </row>
    <row r="12">
      <c r="A12" s="192" t="s">
        <v>107</v>
      </c>
      <c r="B12" s="193">
        <v>45447.70833333333</v>
      </c>
      <c r="C12" s="192">
        <v>-107.64</v>
      </c>
      <c r="D12" s="192" t="s">
        <v>120</v>
      </c>
      <c r="E12" s="192" t="s">
        <v>122</v>
      </c>
      <c r="F12" s="194" t="s">
        <v>120</v>
      </c>
    </row>
    <row r="13">
      <c r="A13" s="192" t="s">
        <v>107</v>
      </c>
      <c r="B13" s="193">
        <v>45325.66666666667</v>
      </c>
      <c r="C13" s="192">
        <v>-102.27</v>
      </c>
      <c r="D13" s="192" t="s">
        <v>120</v>
      </c>
      <c r="E13" s="192" t="s">
        <v>122</v>
      </c>
      <c r="F13" s="194" t="s">
        <v>120</v>
      </c>
    </row>
    <row r="14">
      <c r="A14" s="192" t="s">
        <v>107</v>
      </c>
      <c r="B14" s="193">
        <v>45467.70833333333</v>
      </c>
      <c r="C14" s="192">
        <v>-99.59</v>
      </c>
      <c r="D14" s="192" t="s">
        <v>120</v>
      </c>
      <c r="E14" s="192" t="s">
        <v>122</v>
      </c>
      <c r="F14" s="194" t="s">
        <v>120</v>
      </c>
    </row>
    <row r="15">
      <c r="A15" s="192" t="s">
        <v>107</v>
      </c>
      <c r="B15" s="193">
        <v>45552.70833333333</v>
      </c>
      <c r="C15" s="192">
        <v>-96.85</v>
      </c>
      <c r="D15" s="192" t="s">
        <v>120</v>
      </c>
      <c r="E15" s="192" t="s">
        <v>122</v>
      </c>
      <c r="F15" s="194" t="s">
        <v>120</v>
      </c>
    </row>
    <row r="16">
      <c r="A16" s="192" t="s">
        <v>107</v>
      </c>
      <c r="B16" s="193">
        <v>45260.66666666667</v>
      </c>
      <c r="C16" s="192">
        <v>-86.44</v>
      </c>
      <c r="D16" s="192" t="s">
        <v>120</v>
      </c>
      <c r="E16" s="192" t="s">
        <v>122</v>
      </c>
      <c r="F16" s="194" t="s">
        <v>120</v>
      </c>
    </row>
    <row r="17">
      <c r="A17" s="192" t="s">
        <v>107</v>
      </c>
      <c r="B17" s="193">
        <v>45462.70833333333</v>
      </c>
      <c r="C17" s="192">
        <v>-62.4</v>
      </c>
      <c r="D17" s="192" t="s">
        <v>120</v>
      </c>
      <c r="E17" s="192" t="s">
        <v>122</v>
      </c>
      <c r="F17" s="194" t="s">
        <v>120</v>
      </c>
    </row>
    <row r="18">
      <c r="A18" s="192" t="s">
        <v>107</v>
      </c>
      <c r="B18" s="193">
        <v>45266.66666666667</v>
      </c>
      <c r="C18" s="192">
        <v>-59.47</v>
      </c>
      <c r="D18" s="192" t="s">
        <v>120</v>
      </c>
      <c r="E18" s="192" t="s">
        <v>122</v>
      </c>
      <c r="F18" s="194" t="s">
        <v>120</v>
      </c>
    </row>
    <row r="19">
      <c r="A19" s="192" t="s">
        <v>107</v>
      </c>
      <c r="B19" s="193">
        <v>45397.70833333333</v>
      </c>
      <c r="C19" s="192">
        <v>-59.06</v>
      </c>
      <c r="D19" s="192" t="s">
        <v>120</v>
      </c>
      <c r="E19" s="192" t="s">
        <v>122</v>
      </c>
      <c r="F19" s="194" t="s">
        <v>120</v>
      </c>
    </row>
    <row r="20">
      <c r="A20" s="192" t="s">
        <v>107</v>
      </c>
      <c r="B20" s="193">
        <v>45348.66666666667</v>
      </c>
      <c r="C20" s="192">
        <v>-56.58</v>
      </c>
      <c r="D20" s="192" t="s">
        <v>120</v>
      </c>
      <c r="E20" s="192" t="s">
        <v>122</v>
      </c>
      <c r="F20" s="194" t="s">
        <v>120</v>
      </c>
    </row>
    <row r="21">
      <c r="A21" s="192" t="s">
        <v>107</v>
      </c>
      <c r="B21" s="193">
        <v>45342.66666666667</v>
      </c>
      <c r="C21" s="192">
        <v>-53.79</v>
      </c>
      <c r="D21" s="192" t="s">
        <v>120</v>
      </c>
      <c r="E21" s="192" t="s">
        <v>122</v>
      </c>
      <c r="F21" s="194" t="s">
        <v>120</v>
      </c>
    </row>
    <row r="22">
      <c r="A22" s="192" t="s">
        <v>107</v>
      </c>
      <c r="B22" s="193">
        <v>45277.66666666667</v>
      </c>
      <c r="C22" s="192">
        <v>-48.63</v>
      </c>
      <c r="D22" s="192" t="s">
        <v>120</v>
      </c>
      <c r="E22" s="192" t="s">
        <v>122</v>
      </c>
      <c r="F22" s="194" t="s">
        <v>120</v>
      </c>
    </row>
    <row r="23">
      <c r="A23" s="192" t="s">
        <v>107</v>
      </c>
      <c r="B23" s="193">
        <v>45447.70833333333</v>
      </c>
      <c r="C23" s="192">
        <v>-48.59</v>
      </c>
      <c r="D23" s="192" t="s">
        <v>120</v>
      </c>
      <c r="E23" s="192" t="s">
        <v>122</v>
      </c>
      <c r="F23" s="194" t="s">
        <v>120</v>
      </c>
    </row>
    <row r="24">
      <c r="A24" s="192" t="s">
        <v>107</v>
      </c>
      <c r="B24" s="193">
        <v>45323.66666666667</v>
      </c>
      <c r="C24" s="192">
        <v>-42.53</v>
      </c>
      <c r="D24" s="192" t="s">
        <v>120</v>
      </c>
      <c r="E24" s="192" t="s">
        <v>122</v>
      </c>
      <c r="F24" s="194" t="s">
        <v>120</v>
      </c>
    </row>
    <row r="25">
      <c r="A25" s="192" t="s">
        <v>107</v>
      </c>
      <c r="B25" s="193">
        <v>45395.70833333333</v>
      </c>
      <c r="C25" s="192">
        <v>-36.46</v>
      </c>
      <c r="D25" s="192" t="s">
        <v>120</v>
      </c>
      <c r="E25" s="192" t="s">
        <v>122</v>
      </c>
      <c r="F25" s="194" t="s">
        <v>120</v>
      </c>
    </row>
    <row r="26">
      <c r="A26" s="192" t="s">
        <v>107</v>
      </c>
      <c r="B26" s="193">
        <v>45365.70833333333</v>
      </c>
      <c r="C26" s="192">
        <v>-34.87</v>
      </c>
      <c r="D26" s="192" t="s">
        <v>120</v>
      </c>
      <c r="E26" s="192" t="s">
        <v>122</v>
      </c>
      <c r="F26" s="194" t="s">
        <v>120</v>
      </c>
    </row>
    <row r="27">
      <c r="A27" s="192" t="s">
        <v>107</v>
      </c>
      <c r="B27" s="193">
        <v>45565.70833333333</v>
      </c>
      <c r="C27" s="192">
        <v>-32.32</v>
      </c>
      <c r="D27" s="192" t="s">
        <v>120</v>
      </c>
      <c r="E27" s="192" t="s">
        <v>122</v>
      </c>
      <c r="F27" s="194" t="s">
        <v>120</v>
      </c>
    </row>
    <row r="28">
      <c r="A28" s="192" t="s">
        <v>107</v>
      </c>
      <c r="B28" s="193">
        <v>45444.70833333333</v>
      </c>
      <c r="C28" s="192">
        <v>-30.31</v>
      </c>
      <c r="D28" s="192" t="s">
        <v>120</v>
      </c>
      <c r="E28" s="192" t="s">
        <v>122</v>
      </c>
      <c r="F28" s="194" t="s">
        <v>120</v>
      </c>
    </row>
    <row r="29">
      <c r="A29" s="192" t="s">
        <v>107</v>
      </c>
      <c r="B29" s="193">
        <v>45351.66666666667</v>
      </c>
      <c r="C29" s="192">
        <v>-20.2</v>
      </c>
      <c r="D29" s="192" t="s">
        <v>120</v>
      </c>
      <c r="E29" s="192" t="s">
        <v>122</v>
      </c>
      <c r="F29" s="194" t="s">
        <v>120</v>
      </c>
    </row>
    <row r="30">
      <c r="A30" s="192" t="s">
        <v>107</v>
      </c>
      <c r="B30" s="193">
        <v>45456.70833333333</v>
      </c>
      <c r="C30" s="192">
        <v>-13.81</v>
      </c>
      <c r="D30" s="192" t="s">
        <v>120</v>
      </c>
      <c r="E30" s="192" t="s">
        <v>122</v>
      </c>
      <c r="F30" s="194" t="s">
        <v>120</v>
      </c>
    </row>
    <row r="31">
      <c r="A31" s="192" t="s">
        <v>107</v>
      </c>
      <c r="B31" s="193">
        <v>45569.70833333333</v>
      </c>
      <c r="C31" s="192">
        <v>-12.27</v>
      </c>
      <c r="D31" s="192" t="s">
        <v>120</v>
      </c>
      <c r="E31" s="192" t="s">
        <v>121</v>
      </c>
      <c r="F31" s="194" t="s">
        <v>120</v>
      </c>
    </row>
    <row r="32">
      <c r="A32" s="192" t="s">
        <v>107</v>
      </c>
      <c r="B32" s="193">
        <v>45257.66666666667</v>
      </c>
      <c r="C32" s="192">
        <v>-9.78</v>
      </c>
      <c r="D32" s="192" t="s">
        <v>120</v>
      </c>
      <c r="E32" s="192" t="s">
        <v>122</v>
      </c>
      <c r="F32" s="194" t="s">
        <v>120</v>
      </c>
    </row>
    <row r="33">
      <c r="A33" s="192" t="s">
        <v>123</v>
      </c>
      <c r="B33" s="193">
        <v>45500.70833333333</v>
      </c>
      <c r="C33" s="192">
        <v>-148.88</v>
      </c>
      <c r="D33" s="192" t="s">
        <v>120</v>
      </c>
      <c r="E33" s="192" t="s">
        <v>124</v>
      </c>
      <c r="F33" s="194" t="s">
        <v>120</v>
      </c>
    </row>
    <row r="34">
      <c r="A34" s="192" t="s">
        <v>123</v>
      </c>
      <c r="B34" s="193">
        <v>45314.66666666667</v>
      </c>
      <c r="C34" s="192">
        <v>-138.26</v>
      </c>
      <c r="D34" s="192" t="s">
        <v>120</v>
      </c>
      <c r="E34" s="192" t="s">
        <v>125</v>
      </c>
      <c r="F34" s="194" t="s">
        <v>120</v>
      </c>
    </row>
    <row r="35">
      <c r="A35" s="192" t="s">
        <v>123</v>
      </c>
      <c r="B35" s="193">
        <v>45273.66666666667</v>
      </c>
      <c r="C35" s="192">
        <v>-53.49</v>
      </c>
      <c r="D35" s="192" t="s">
        <v>120</v>
      </c>
      <c r="E35" s="192" t="s">
        <v>126</v>
      </c>
      <c r="F35" s="194" t="s">
        <v>120</v>
      </c>
    </row>
    <row r="36">
      <c r="A36" s="192" t="s">
        <v>123</v>
      </c>
      <c r="B36" s="193">
        <v>45572.70833333333</v>
      </c>
      <c r="C36" s="192">
        <v>-49.96</v>
      </c>
      <c r="D36" s="192" t="s">
        <v>120</v>
      </c>
      <c r="E36" s="192" t="s">
        <v>127</v>
      </c>
      <c r="F36" s="194" t="s">
        <v>120</v>
      </c>
    </row>
    <row r="37">
      <c r="A37" s="192" t="s">
        <v>123</v>
      </c>
      <c r="B37" s="193">
        <v>45273.66666666667</v>
      </c>
      <c r="C37" s="192">
        <v>-45.71</v>
      </c>
      <c r="D37" s="192" t="s">
        <v>120</v>
      </c>
      <c r="E37" s="192" t="s">
        <v>128</v>
      </c>
      <c r="F37" s="194" t="s">
        <v>120</v>
      </c>
    </row>
    <row r="38">
      <c r="A38" s="192" t="s">
        <v>123</v>
      </c>
      <c r="B38" s="193">
        <v>45259.66666666667</v>
      </c>
      <c r="C38" s="192">
        <v>-45.01</v>
      </c>
      <c r="D38" s="192" t="s">
        <v>120</v>
      </c>
      <c r="E38" s="192" t="s">
        <v>129</v>
      </c>
      <c r="F38" s="194" t="s">
        <v>120</v>
      </c>
    </row>
    <row r="39">
      <c r="A39" s="192" t="s">
        <v>123</v>
      </c>
      <c r="B39" s="193">
        <v>45257.66666666667</v>
      </c>
      <c r="C39" s="192">
        <v>-42.36</v>
      </c>
      <c r="D39" s="192" t="s">
        <v>120</v>
      </c>
      <c r="E39" s="192" t="s">
        <v>130</v>
      </c>
      <c r="F39" s="194" t="s">
        <v>120</v>
      </c>
    </row>
    <row r="40">
      <c r="A40" s="192" t="s">
        <v>123</v>
      </c>
      <c r="B40" s="193">
        <v>45261.66666666667</v>
      </c>
      <c r="C40" s="192">
        <v>-37.21</v>
      </c>
      <c r="D40" s="192" t="s">
        <v>120</v>
      </c>
      <c r="E40" s="192" t="s">
        <v>131</v>
      </c>
      <c r="F40" s="194" t="s">
        <v>120</v>
      </c>
    </row>
    <row r="41">
      <c r="A41" s="192" t="s">
        <v>123</v>
      </c>
      <c r="B41" s="193">
        <v>45503.70833333333</v>
      </c>
      <c r="C41" s="192">
        <v>-30.61</v>
      </c>
      <c r="D41" s="192" t="s">
        <v>120</v>
      </c>
      <c r="E41" s="192" t="s">
        <v>132</v>
      </c>
      <c r="F41" s="194" t="s">
        <v>120</v>
      </c>
    </row>
    <row r="42">
      <c r="A42" s="192" t="s">
        <v>133</v>
      </c>
      <c r="B42" s="193">
        <v>45550.70833333333</v>
      </c>
      <c r="C42" s="192">
        <v>-399.24</v>
      </c>
      <c r="D42" s="192" t="s">
        <v>120</v>
      </c>
      <c r="E42" s="192" t="s">
        <v>134</v>
      </c>
      <c r="F42" s="194" t="s">
        <v>120</v>
      </c>
    </row>
    <row r="43">
      <c r="A43" s="192" t="s">
        <v>133</v>
      </c>
      <c r="B43" s="193">
        <v>45262.66666666667</v>
      </c>
      <c r="C43" s="192">
        <v>-205.84</v>
      </c>
      <c r="D43" s="192" t="s">
        <v>120</v>
      </c>
      <c r="E43" s="192" t="s">
        <v>135</v>
      </c>
      <c r="F43" s="194" t="s">
        <v>120</v>
      </c>
    </row>
    <row r="44">
      <c r="A44" s="192" t="s">
        <v>133</v>
      </c>
      <c r="B44" s="193">
        <v>45320.66666666667</v>
      </c>
      <c r="C44" s="192">
        <v>-159.51</v>
      </c>
      <c r="D44" s="192" t="s">
        <v>120</v>
      </c>
      <c r="E44" s="192" t="s">
        <v>136</v>
      </c>
      <c r="F44" s="194" t="s">
        <v>120</v>
      </c>
    </row>
    <row r="45">
      <c r="A45" s="192" t="s">
        <v>133</v>
      </c>
      <c r="B45" s="193">
        <v>45523.70833333333</v>
      </c>
      <c r="C45" s="192">
        <v>-114.58</v>
      </c>
      <c r="D45" s="192" t="s">
        <v>120</v>
      </c>
      <c r="E45" s="192" t="s">
        <v>137</v>
      </c>
      <c r="F45" s="194" t="s">
        <v>120</v>
      </c>
    </row>
    <row r="46">
      <c r="A46" s="192" t="s">
        <v>133</v>
      </c>
      <c r="B46" s="193">
        <v>45573.70833333333</v>
      </c>
      <c r="C46" s="192">
        <v>-91.02</v>
      </c>
      <c r="D46" s="192" t="s">
        <v>120</v>
      </c>
      <c r="E46" s="192" t="s">
        <v>138</v>
      </c>
      <c r="F46" s="194" t="s">
        <v>120</v>
      </c>
    </row>
    <row r="47">
      <c r="A47" s="192" t="s">
        <v>133</v>
      </c>
      <c r="B47" s="193">
        <v>45272.66666666667</v>
      </c>
      <c r="C47" s="192">
        <v>-87.26</v>
      </c>
      <c r="D47" s="192" t="s">
        <v>120</v>
      </c>
      <c r="E47" s="192" t="s">
        <v>139</v>
      </c>
      <c r="F47" s="194" t="s">
        <v>120</v>
      </c>
    </row>
    <row r="48">
      <c r="A48" s="192" t="s">
        <v>133</v>
      </c>
      <c r="B48" s="193">
        <v>45333.66666666667</v>
      </c>
      <c r="C48" s="192">
        <v>-63.22</v>
      </c>
      <c r="D48" s="192" t="s">
        <v>120</v>
      </c>
      <c r="E48" s="192" t="s">
        <v>140</v>
      </c>
      <c r="F48" s="194" t="s">
        <v>120</v>
      </c>
    </row>
    <row r="49">
      <c r="A49" s="192" t="s">
        <v>133</v>
      </c>
      <c r="B49" s="193">
        <v>45273.66666666667</v>
      </c>
      <c r="C49" s="192">
        <v>-50.72</v>
      </c>
      <c r="D49" s="192" t="s">
        <v>120</v>
      </c>
      <c r="E49" s="192" t="s">
        <v>141</v>
      </c>
      <c r="F49" s="194" t="s">
        <v>120</v>
      </c>
    </row>
    <row r="50">
      <c r="A50" s="192" t="s">
        <v>133</v>
      </c>
      <c r="B50" s="193">
        <v>45290.66666666667</v>
      </c>
      <c r="C50" s="192">
        <v>-40.49</v>
      </c>
      <c r="D50" s="192" t="s">
        <v>120</v>
      </c>
      <c r="E50" s="192" t="s">
        <v>142</v>
      </c>
      <c r="F50" s="194" t="s">
        <v>120</v>
      </c>
    </row>
    <row r="51">
      <c r="A51" s="192" t="s">
        <v>133</v>
      </c>
      <c r="B51" s="193">
        <v>45311.66666666667</v>
      </c>
      <c r="C51" s="192">
        <v>-37.21</v>
      </c>
      <c r="D51" s="192" t="s">
        <v>120</v>
      </c>
      <c r="E51" s="192" t="s">
        <v>143</v>
      </c>
      <c r="F51" s="194" t="s">
        <v>120</v>
      </c>
    </row>
    <row r="52">
      <c r="A52" s="192" t="s">
        <v>133</v>
      </c>
      <c r="B52" s="193">
        <v>45307.66666666667</v>
      </c>
      <c r="C52" s="192">
        <v>-24.41</v>
      </c>
      <c r="D52" s="192" t="s">
        <v>120</v>
      </c>
      <c r="E52" s="192" t="s">
        <v>144</v>
      </c>
      <c r="F52" s="194" t="s">
        <v>120</v>
      </c>
    </row>
    <row r="53">
      <c r="A53" s="192" t="s">
        <v>133</v>
      </c>
      <c r="B53" s="193">
        <v>45323.66666666667</v>
      </c>
      <c r="C53" s="192">
        <v>-21.26</v>
      </c>
      <c r="D53" s="192" t="s">
        <v>120</v>
      </c>
      <c r="E53" s="192" t="s">
        <v>145</v>
      </c>
      <c r="F53" s="194" t="s">
        <v>120</v>
      </c>
    </row>
    <row r="54">
      <c r="A54" s="192" t="s">
        <v>133</v>
      </c>
      <c r="B54" s="193">
        <v>45307.66666666667</v>
      </c>
      <c r="C54" s="192">
        <v>-14.62</v>
      </c>
      <c r="D54" s="192" t="s">
        <v>120</v>
      </c>
      <c r="E54" s="192" t="s">
        <v>146</v>
      </c>
      <c r="F54" s="194" t="s">
        <v>120</v>
      </c>
    </row>
    <row r="55">
      <c r="A55" s="192" t="s">
        <v>107</v>
      </c>
      <c r="B55" s="193">
        <v>45329.66666666667</v>
      </c>
      <c r="C55" s="192">
        <v>-1776.04</v>
      </c>
      <c r="D55" s="192" t="s">
        <v>147</v>
      </c>
      <c r="E55" s="192" t="s">
        <v>148</v>
      </c>
      <c r="F55" s="194" t="s">
        <v>149</v>
      </c>
    </row>
    <row r="56">
      <c r="A56" s="192" t="s">
        <v>107</v>
      </c>
      <c r="B56" s="193">
        <v>45449.70833333333</v>
      </c>
      <c r="C56" s="192">
        <v>-286.83</v>
      </c>
      <c r="D56" s="192" t="s">
        <v>150</v>
      </c>
      <c r="E56" s="192" t="s">
        <v>151</v>
      </c>
      <c r="F56" s="194" t="s">
        <v>149</v>
      </c>
    </row>
    <row r="57">
      <c r="A57" s="192" t="s">
        <v>107</v>
      </c>
      <c r="B57" s="193">
        <v>45414.70833333333</v>
      </c>
      <c r="C57" s="192">
        <v>-197.77</v>
      </c>
      <c r="D57" s="192" t="s">
        <v>152</v>
      </c>
      <c r="E57" s="192" t="s">
        <v>153</v>
      </c>
      <c r="F57" s="194" t="s">
        <v>149</v>
      </c>
    </row>
    <row r="58">
      <c r="A58" s="192" t="s">
        <v>107</v>
      </c>
      <c r="B58" s="193">
        <v>45420.70833333333</v>
      </c>
      <c r="C58" s="192">
        <v>-72.05</v>
      </c>
      <c r="D58" s="192" t="s">
        <v>154</v>
      </c>
      <c r="E58" s="192" t="s">
        <v>155</v>
      </c>
      <c r="F58" s="194" t="s">
        <v>149</v>
      </c>
    </row>
    <row r="59">
      <c r="A59" s="192" t="s">
        <v>107</v>
      </c>
      <c r="B59" s="193">
        <v>45423.70833333333</v>
      </c>
      <c r="C59" s="192">
        <v>-57.27</v>
      </c>
      <c r="D59" s="192" t="s">
        <v>156</v>
      </c>
      <c r="E59" s="192" t="s">
        <v>157</v>
      </c>
      <c r="F59" s="194" t="s">
        <v>149</v>
      </c>
    </row>
    <row r="60">
      <c r="A60" s="192" t="s">
        <v>107</v>
      </c>
      <c r="B60" s="193">
        <v>45414.70833333333</v>
      </c>
      <c r="C60" s="192">
        <v>-53.16</v>
      </c>
      <c r="D60" s="192" t="s">
        <v>152</v>
      </c>
      <c r="E60" s="192" t="s">
        <v>153</v>
      </c>
      <c r="F60" s="194" t="s">
        <v>149</v>
      </c>
    </row>
    <row r="61">
      <c r="A61" s="192" t="s">
        <v>107</v>
      </c>
      <c r="B61" s="193">
        <v>45414.70833333333</v>
      </c>
      <c r="C61" s="192">
        <v>-36.13</v>
      </c>
      <c r="D61" s="192" t="s">
        <v>154</v>
      </c>
      <c r="E61" s="192" t="s">
        <v>155</v>
      </c>
      <c r="F61" s="194" t="s">
        <v>149</v>
      </c>
    </row>
    <row r="62">
      <c r="A62" s="192" t="s">
        <v>107</v>
      </c>
      <c r="B62" s="193">
        <v>45596.70833333333</v>
      </c>
      <c r="C62" s="192">
        <v>-19.12</v>
      </c>
      <c r="D62" s="192" t="s">
        <v>154</v>
      </c>
      <c r="E62" s="192" t="s">
        <v>155</v>
      </c>
      <c r="F62" s="194" t="s">
        <v>149</v>
      </c>
    </row>
    <row r="63">
      <c r="A63" s="192" t="s">
        <v>158</v>
      </c>
      <c r="B63" s="193">
        <v>45453.70833333333</v>
      </c>
      <c r="C63" s="192">
        <v>-1122.06</v>
      </c>
      <c r="D63" s="192" t="s">
        <v>159</v>
      </c>
      <c r="E63" s="192" t="s">
        <v>160</v>
      </c>
      <c r="F63" s="194" t="s">
        <v>149</v>
      </c>
    </row>
    <row r="64">
      <c r="A64" s="192" t="s">
        <v>158</v>
      </c>
      <c r="B64" s="193">
        <v>45462.70833333333</v>
      </c>
      <c r="C64" s="192">
        <v>-349.1</v>
      </c>
      <c r="D64" s="192" t="s">
        <v>159</v>
      </c>
      <c r="E64" s="192" t="s">
        <v>161</v>
      </c>
      <c r="F64" s="194" t="s">
        <v>149</v>
      </c>
    </row>
    <row r="65">
      <c r="A65" s="192" t="s">
        <v>158</v>
      </c>
      <c r="B65" s="193">
        <v>45301.66666666667</v>
      </c>
      <c r="C65" s="192">
        <v>-276.21</v>
      </c>
      <c r="D65" s="192" t="s">
        <v>159</v>
      </c>
      <c r="E65" s="192" t="s">
        <v>162</v>
      </c>
      <c r="F65" s="194" t="s">
        <v>149</v>
      </c>
    </row>
    <row r="66">
      <c r="A66" s="192" t="s">
        <v>107</v>
      </c>
      <c r="B66" s="193">
        <v>45452.70833333333</v>
      </c>
      <c r="C66" s="192">
        <v>-756.25</v>
      </c>
      <c r="D66" s="192" t="s">
        <v>163</v>
      </c>
      <c r="E66" s="192" t="s">
        <v>164</v>
      </c>
      <c r="F66" s="194" t="s">
        <v>165</v>
      </c>
    </row>
    <row r="67">
      <c r="A67" s="192" t="s">
        <v>107</v>
      </c>
      <c r="B67" s="193">
        <v>45309.66666666667</v>
      </c>
      <c r="C67" s="192">
        <v>-361.0</v>
      </c>
      <c r="D67" s="192" t="s">
        <v>163</v>
      </c>
      <c r="E67" s="192" t="s">
        <v>164</v>
      </c>
      <c r="F67" s="194" t="s">
        <v>165</v>
      </c>
    </row>
    <row r="68">
      <c r="A68" s="192" t="s">
        <v>107</v>
      </c>
      <c r="B68" s="193">
        <v>45374.70833333333</v>
      </c>
      <c r="C68" s="192">
        <v>-112.95</v>
      </c>
      <c r="D68" s="192" t="s">
        <v>166</v>
      </c>
      <c r="E68" s="192" t="s">
        <v>167</v>
      </c>
      <c r="F68" s="194" t="s">
        <v>165</v>
      </c>
    </row>
    <row r="69">
      <c r="A69" s="192" t="s">
        <v>107</v>
      </c>
      <c r="B69" s="193">
        <v>45440.70833333333</v>
      </c>
      <c r="C69" s="192">
        <v>-95.0</v>
      </c>
      <c r="E69" s="192" t="s">
        <v>168</v>
      </c>
      <c r="F69" s="194" t="s">
        <v>165</v>
      </c>
    </row>
    <row r="70">
      <c r="A70" s="192" t="s">
        <v>107</v>
      </c>
      <c r="B70" s="193">
        <v>45308.66666666667</v>
      </c>
      <c r="C70" s="192">
        <v>-34.2</v>
      </c>
      <c r="D70" s="192" t="s">
        <v>169</v>
      </c>
      <c r="E70" s="192" t="s">
        <v>170</v>
      </c>
      <c r="F70" s="194" t="s">
        <v>165</v>
      </c>
    </row>
    <row r="71">
      <c r="A71" s="192" t="s">
        <v>107</v>
      </c>
      <c r="B71" s="193">
        <v>45333.66666666667</v>
      </c>
      <c r="C71" s="192">
        <v>-18.7</v>
      </c>
      <c r="D71" s="192" t="s">
        <v>169</v>
      </c>
      <c r="E71" s="192" t="s">
        <v>170</v>
      </c>
      <c r="F71" s="194" t="s">
        <v>165</v>
      </c>
    </row>
    <row r="72">
      <c r="A72" s="192" t="s">
        <v>123</v>
      </c>
      <c r="B72" s="193">
        <v>45240.66666666667</v>
      </c>
      <c r="C72" s="192">
        <v>-63.65</v>
      </c>
      <c r="D72" s="192" t="s">
        <v>171</v>
      </c>
      <c r="E72" s="192" t="s">
        <v>172</v>
      </c>
      <c r="F72" s="194" t="s">
        <v>165</v>
      </c>
    </row>
    <row r="73">
      <c r="A73" s="192" t="s">
        <v>173</v>
      </c>
      <c r="B73" s="193">
        <v>45341.66666666667</v>
      </c>
      <c r="C73" s="192">
        <v>-130.0</v>
      </c>
      <c r="E73" s="192" t="s">
        <v>174</v>
      </c>
      <c r="F73" s="194" t="s">
        <v>165</v>
      </c>
    </row>
    <row r="74">
      <c r="A74" s="192" t="s">
        <v>133</v>
      </c>
      <c r="B74" s="193">
        <v>45317.66666666667</v>
      </c>
      <c r="C74" s="192">
        <v>-650.81</v>
      </c>
      <c r="D74" s="192" t="s">
        <v>175</v>
      </c>
      <c r="E74" s="192" t="s">
        <v>176</v>
      </c>
      <c r="F74" s="194" t="s">
        <v>165</v>
      </c>
    </row>
    <row r="75">
      <c r="A75" s="192" t="s">
        <v>133</v>
      </c>
      <c r="B75" s="193">
        <v>45330.66666666667</v>
      </c>
      <c r="C75" s="192">
        <v>-600.0</v>
      </c>
      <c r="D75" s="192" t="s">
        <v>175</v>
      </c>
      <c r="E75" s="192" t="s">
        <v>177</v>
      </c>
      <c r="F75" s="194" t="s">
        <v>165</v>
      </c>
    </row>
    <row r="76">
      <c r="A76" s="192" t="s">
        <v>133</v>
      </c>
      <c r="B76" s="193">
        <v>45322.66666666667</v>
      </c>
      <c r="C76" s="192">
        <v>-201.0</v>
      </c>
      <c r="D76" s="192" t="s">
        <v>175</v>
      </c>
      <c r="E76" s="192" t="s">
        <v>177</v>
      </c>
      <c r="F76" s="194" t="s">
        <v>165</v>
      </c>
    </row>
    <row r="77">
      <c r="A77" s="192" t="s">
        <v>133</v>
      </c>
      <c r="B77" s="193">
        <v>45304.66666666667</v>
      </c>
      <c r="C77" s="192">
        <v>-191.83</v>
      </c>
      <c r="D77" s="192" t="s">
        <v>175</v>
      </c>
      <c r="E77" s="192" t="s">
        <v>178</v>
      </c>
      <c r="F77" s="194" t="s">
        <v>165</v>
      </c>
    </row>
    <row r="78">
      <c r="A78" s="192" t="s">
        <v>133</v>
      </c>
      <c r="B78" s="193">
        <v>45463.70833333333</v>
      </c>
      <c r="C78" s="192">
        <v>-102.1</v>
      </c>
      <c r="D78" s="192" t="s">
        <v>179</v>
      </c>
      <c r="E78" s="192" t="s">
        <v>180</v>
      </c>
      <c r="F78" s="194" t="s">
        <v>165</v>
      </c>
    </row>
    <row r="79">
      <c r="A79" s="192" t="s">
        <v>133</v>
      </c>
      <c r="B79" s="193">
        <v>45539.70833333333</v>
      </c>
      <c r="C79" s="192">
        <v>-15.9</v>
      </c>
      <c r="E79" s="192" t="s">
        <v>181</v>
      </c>
      <c r="F79" s="194" t="s">
        <v>165</v>
      </c>
    </row>
    <row r="80">
      <c r="A80" s="192" t="s">
        <v>133</v>
      </c>
      <c r="B80" s="193">
        <v>45237.66666666667</v>
      </c>
      <c r="C80" s="192">
        <v>-2.39</v>
      </c>
      <c r="D80" s="192" t="s">
        <v>182</v>
      </c>
      <c r="E80" s="192" t="s">
        <v>183</v>
      </c>
      <c r="F80" s="194" t="s">
        <v>165</v>
      </c>
    </row>
    <row r="81">
      <c r="A81" s="192" t="s">
        <v>158</v>
      </c>
      <c r="B81" s="193">
        <v>45456.70833333333</v>
      </c>
      <c r="C81" s="192">
        <v>-500.0</v>
      </c>
      <c r="E81" s="192" t="s">
        <v>184</v>
      </c>
      <c r="F81" s="194" t="s">
        <v>185</v>
      </c>
    </row>
    <row r="82">
      <c r="A82" s="192" t="s">
        <v>158</v>
      </c>
      <c r="B82" s="193">
        <v>45579.70833333333</v>
      </c>
      <c r="C82" s="192">
        <v>-351.81</v>
      </c>
      <c r="E82" s="192" t="s">
        <v>186</v>
      </c>
      <c r="F82" s="194" t="s">
        <v>185</v>
      </c>
    </row>
    <row r="83">
      <c r="A83" s="192" t="s">
        <v>158</v>
      </c>
      <c r="B83" s="193">
        <v>45579.70833333333</v>
      </c>
      <c r="C83" s="192">
        <v>-300.0</v>
      </c>
      <c r="E83" s="192" t="s">
        <v>186</v>
      </c>
      <c r="F83" s="194" t="s">
        <v>185</v>
      </c>
    </row>
    <row r="84">
      <c r="A84" s="192" t="s">
        <v>158</v>
      </c>
      <c r="B84" s="193">
        <v>45259.66666666667</v>
      </c>
      <c r="C84" s="192">
        <v>-160.0</v>
      </c>
      <c r="E84" s="192" t="s">
        <v>187</v>
      </c>
      <c r="F84" s="194" t="s">
        <v>185</v>
      </c>
    </row>
    <row r="85">
      <c r="A85" s="192" t="s">
        <v>158</v>
      </c>
      <c r="B85" s="193">
        <v>45484.70833333333</v>
      </c>
      <c r="C85" s="192">
        <v>-60.0</v>
      </c>
      <c r="E85" s="192" t="s">
        <v>188</v>
      </c>
      <c r="F85" s="194" t="s">
        <v>185</v>
      </c>
    </row>
    <row r="86">
      <c r="A86" s="192" t="s">
        <v>158</v>
      </c>
      <c r="B86" s="193">
        <v>45512.70833333333</v>
      </c>
      <c r="C86" s="192">
        <v>-20.0</v>
      </c>
      <c r="E86" s="192" t="s">
        <v>189</v>
      </c>
      <c r="F86" s="194" t="s">
        <v>185</v>
      </c>
    </row>
    <row r="87">
      <c r="A87" s="192" t="s">
        <v>107</v>
      </c>
      <c r="B87" s="193">
        <v>45554.70833333333</v>
      </c>
      <c r="C87" s="192">
        <v>1078.78</v>
      </c>
      <c r="E87" s="192" t="s">
        <v>190</v>
      </c>
      <c r="F87" s="194" t="s">
        <v>191</v>
      </c>
    </row>
    <row r="88">
      <c r="A88" s="192" t="s">
        <v>107</v>
      </c>
      <c r="B88" s="193">
        <v>45374.70833333333</v>
      </c>
      <c r="C88" s="192">
        <v>1433.13</v>
      </c>
      <c r="E88" s="192" t="s">
        <v>190</v>
      </c>
      <c r="F88" s="194" t="s">
        <v>191</v>
      </c>
    </row>
    <row r="89">
      <c r="A89" s="192" t="s">
        <v>107</v>
      </c>
      <c r="B89" s="193">
        <v>45399.70833333333</v>
      </c>
      <c r="C89" s="192">
        <v>1913.07</v>
      </c>
      <c r="E89" s="192" t="s">
        <v>190</v>
      </c>
      <c r="F89" s="194" t="s">
        <v>191</v>
      </c>
    </row>
    <row r="90">
      <c r="A90" s="192" t="s">
        <v>107</v>
      </c>
      <c r="B90" s="193">
        <v>45325.66666666667</v>
      </c>
      <c r="C90" s="192">
        <v>2579.26</v>
      </c>
      <c r="E90" s="192" t="s">
        <v>190</v>
      </c>
      <c r="F90" s="194" t="s">
        <v>191</v>
      </c>
    </row>
    <row r="91">
      <c r="A91" s="192" t="s">
        <v>107</v>
      </c>
      <c r="B91" s="193">
        <v>45263.66666666667</v>
      </c>
      <c r="C91" s="192">
        <v>2686.42</v>
      </c>
      <c r="E91" s="192" t="s">
        <v>190</v>
      </c>
      <c r="F91" s="194" t="s">
        <v>191</v>
      </c>
    </row>
    <row r="92">
      <c r="A92" s="192" t="s">
        <v>107</v>
      </c>
      <c r="B92" s="193">
        <v>45462.70833333333</v>
      </c>
      <c r="C92" s="192">
        <v>2905.75</v>
      </c>
      <c r="E92" s="192" t="s">
        <v>190</v>
      </c>
      <c r="F92" s="194" t="s">
        <v>191</v>
      </c>
    </row>
    <row r="93">
      <c r="A93" s="192" t="s">
        <v>107</v>
      </c>
      <c r="B93" s="193">
        <v>45420.70833333333</v>
      </c>
      <c r="C93" s="192">
        <v>3224.81</v>
      </c>
      <c r="E93" s="192" t="s">
        <v>190</v>
      </c>
      <c r="F93" s="194" t="s">
        <v>191</v>
      </c>
    </row>
    <row r="94">
      <c r="A94" s="192" t="s">
        <v>107</v>
      </c>
      <c r="B94" s="193">
        <v>45295.66666666667</v>
      </c>
      <c r="C94" s="192">
        <v>3727.1</v>
      </c>
      <c r="E94" s="192" t="s">
        <v>190</v>
      </c>
      <c r="F94" s="194" t="s">
        <v>191</v>
      </c>
    </row>
    <row r="95">
      <c r="A95" s="192" t="s">
        <v>107</v>
      </c>
      <c r="B95" s="193">
        <v>45542.70833333333</v>
      </c>
      <c r="C95" s="192">
        <v>4254.83</v>
      </c>
      <c r="E95" s="192" t="s">
        <v>190</v>
      </c>
      <c r="F95" s="194" t="s">
        <v>191</v>
      </c>
    </row>
    <row r="96">
      <c r="A96" s="192" t="s">
        <v>107</v>
      </c>
      <c r="B96" s="193">
        <v>45522.70833333333</v>
      </c>
      <c r="C96" s="192">
        <v>4344.89</v>
      </c>
      <c r="E96" s="192" t="s">
        <v>190</v>
      </c>
      <c r="F96" s="194" t="s">
        <v>191</v>
      </c>
    </row>
    <row r="97">
      <c r="A97" s="192" t="s">
        <v>107</v>
      </c>
      <c r="B97" s="193">
        <v>45579.70833333333</v>
      </c>
      <c r="C97" s="192">
        <v>4781.8</v>
      </c>
      <c r="E97" s="192" t="s">
        <v>190</v>
      </c>
      <c r="F97" s="194" t="s">
        <v>191</v>
      </c>
    </row>
    <row r="98">
      <c r="A98" s="192" t="s">
        <v>107</v>
      </c>
      <c r="B98" s="193">
        <v>45494.70833333333</v>
      </c>
      <c r="C98" s="192">
        <v>4946.5</v>
      </c>
      <c r="E98" s="192" t="s">
        <v>190</v>
      </c>
      <c r="F98" s="194" t="s">
        <v>191</v>
      </c>
    </row>
    <row r="99">
      <c r="A99" s="192" t="s">
        <v>107</v>
      </c>
      <c r="B99" s="193">
        <v>45350.66666666667</v>
      </c>
      <c r="C99" s="192">
        <v>5981.89</v>
      </c>
      <c r="E99" s="192" t="s">
        <v>190</v>
      </c>
      <c r="F99" s="194" t="s">
        <v>191</v>
      </c>
    </row>
    <row r="100">
      <c r="A100" s="192" t="s">
        <v>107</v>
      </c>
      <c r="B100" s="193">
        <v>45442.70833333333</v>
      </c>
      <c r="C100" s="192">
        <v>6450.56</v>
      </c>
      <c r="E100" s="192" t="s">
        <v>190</v>
      </c>
      <c r="F100" s="194" t="s">
        <v>191</v>
      </c>
    </row>
    <row r="101">
      <c r="A101" s="192" t="s">
        <v>123</v>
      </c>
      <c r="B101" s="193">
        <v>45494.70833333333</v>
      </c>
      <c r="C101" s="192">
        <v>235.23</v>
      </c>
      <c r="D101" s="192" t="s">
        <v>192</v>
      </c>
      <c r="E101" s="192" t="s">
        <v>193</v>
      </c>
      <c r="F101" s="194" t="s">
        <v>191</v>
      </c>
    </row>
    <row r="102">
      <c r="A102" s="192" t="s">
        <v>123</v>
      </c>
      <c r="B102" s="193">
        <v>45350.66666666667</v>
      </c>
      <c r="C102" s="192">
        <v>245.68</v>
      </c>
      <c r="D102" s="192" t="s">
        <v>192</v>
      </c>
      <c r="E102" s="192" t="s">
        <v>193</v>
      </c>
      <c r="F102" s="194" t="s">
        <v>191</v>
      </c>
    </row>
    <row r="103">
      <c r="A103" s="192" t="s">
        <v>123</v>
      </c>
      <c r="B103" s="193">
        <v>45263.66666666667</v>
      </c>
      <c r="C103" s="192">
        <v>269.95</v>
      </c>
      <c r="D103" s="192" t="s">
        <v>192</v>
      </c>
      <c r="E103" s="192" t="s">
        <v>193</v>
      </c>
      <c r="F103" s="194" t="s">
        <v>191</v>
      </c>
    </row>
    <row r="104">
      <c r="A104" s="192" t="s">
        <v>123</v>
      </c>
      <c r="B104" s="193">
        <v>45522.70833333333</v>
      </c>
      <c r="C104" s="192">
        <v>318.27</v>
      </c>
      <c r="D104" s="192" t="s">
        <v>192</v>
      </c>
      <c r="E104" s="192" t="s">
        <v>193</v>
      </c>
      <c r="F104" s="194" t="s">
        <v>191</v>
      </c>
    </row>
    <row r="105">
      <c r="A105" s="192" t="s">
        <v>123</v>
      </c>
      <c r="B105" s="193">
        <v>45467.70833333333</v>
      </c>
      <c r="C105" s="192">
        <v>335.86</v>
      </c>
      <c r="D105" s="192" t="s">
        <v>192</v>
      </c>
      <c r="E105" s="192" t="s">
        <v>193</v>
      </c>
      <c r="F105" s="194" t="s">
        <v>191</v>
      </c>
    </row>
    <row r="106">
      <c r="A106" s="192" t="s">
        <v>123</v>
      </c>
      <c r="B106" s="193">
        <v>45325.66666666667</v>
      </c>
      <c r="C106" s="192">
        <v>357.72</v>
      </c>
      <c r="D106" s="192" t="s">
        <v>192</v>
      </c>
      <c r="E106" s="192" t="s">
        <v>193</v>
      </c>
      <c r="F106" s="194" t="s">
        <v>191</v>
      </c>
    </row>
    <row r="107">
      <c r="A107" s="192" t="s">
        <v>123</v>
      </c>
      <c r="B107" s="193">
        <v>45374.70833333333</v>
      </c>
      <c r="C107" s="192">
        <v>445.03</v>
      </c>
      <c r="D107" s="192" t="s">
        <v>192</v>
      </c>
      <c r="E107" s="192" t="s">
        <v>193</v>
      </c>
      <c r="F107" s="194" t="s">
        <v>191</v>
      </c>
    </row>
    <row r="108">
      <c r="A108" s="192" t="s">
        <v>123</v>
      </c>
      <c r="B108" s="193">
        <v>45442.70833333333</v>
      </c>
      <c r="C108" s="192">
        <v>465.39</v>
      </c>
      <c r="D108" s="192" t="s">
        <v>192</v>
      </c>
      <c r="E108" s="192" t="s">
        <v>193</v>
      </c>
      <c r="F108" s="194" t="s">
        <v>191</v>
      </c>
    </row>
    <row r="109">
      <c r="A109" s="192" t="s">
        <v>123</v>
      </c>
      <c r="B109" s="193">
        <v>45244.66666666667</v>
      </c>
      <c r="C109" s="192">
        <v>595.98</v>
      </c>
      <c r="D109" s="192" t="s">
        <v>192</v>
      </c>
      <c r="E109" s="192" t="s">
        <v>193</v>
      </c>
      <c r="F109" s="194" t="s">
        <v>191</v>
      </c>
    </row>
    <row r="110">
      <c r="A110" s="192" t="s">
        <v>123</v>
      </c>
      <c r="B110" s="193">
        <v>45295.66666666667</v>
      </c>
      <c r="C110" s="192">
        <v>600.39</v>
      </c>
      <c r="D110" s="192" t="s">
        <v>192</v>
      </c>
      <c r="E110" s="192" t="s">
        <v>193</v>
      </c>
      <c r="F110" s="194" t="s">
        <v>191</v>
      </c>
    </row>
    <row r="111">
      <c r="A111" s="192" t="s">
        <v>123</v>
      </c>
      <c r="B111" s="193">
        <v>45420.70833333333</v>
      </c>
      <c r="C111" s="192">
        <v>627.51</v>
      </c>
      <c r="D111" s="192" t="s">
        <v>192</v>
      </c>
      <c r="E111" s="192" t="s">
        <v>193</v>
      </c>
      <c r="F111" s="194" t="s">
        <v>191</v>
      </c>
    </row>
    <row r="112">
      <c r="A112" s="192" t="s">
        <v>123</v>
      </c>
      <c r="B112" s="193">
        <v>45575.70833333333</v>
      </c>
      <c r="C112" s="192">
        <v>1566.29</v>
      </c>
      <c r="D112" s="192" t="s">
        <v>192</v>
      </c>
      <c r="E112" s="192" t="s">
        <v>193</v>
      </c>
      <c r="F112" s="194" t="s">
        <v>191</v>
      </c>
    </row>
    <row r="113">
      <c r="A113" s="192" t="s">
        <v>173</v>
      </c>
      <c r="B113" s="193">
        <v>45575.70833333333</v>
      </c>
      <c r="C113" s="192">
        <v>-1566.29</v>
      </c>
      <c r="D113" s="192" t="s">
        <v>192</v>
      </c>
      <c r="E113" s="192" t="s">
        <v>194</v>
      </c>
      <c r="F113" s="194" t="s">
        <v>191</v>
      </c>
    </row>
    <row r="114">
      <c r="A114" s="192" t="s">
        <v>173</v>
      </c>
      <c r="B114" s="193">
        <v>45420.70833333333</v>
      </c>
      <c r="C114" s="192">
        <v>-627.51</v>
      </c>
      <c r="D114" s="192" t="s">
        <v>192</v>
      </c>
      <c r="E114" s="192" t="s">
        <v>195</v>
      </c>
      <c r="F114" s="194" t="s">
        <v>191</v>
      </c>
    </row>
    <row r="115">
      <c r="A115" s="192" t="s">
        <v>173</v>
      </c>
      <c r="B115" s="193">
        <v>45295.66666666667</v>
      </c>
      <c r="C115" s="192">
        <v>-600.39</v>
      </c>
      <c r="D115" s="192" t="s">
        <v>192</v>
      </c>
      <c r="E115" s="192" t="s">
        <v>196</v>
      </c>
      <c r="F115" s="194" t="s">
        <v>191</v>
      </c>
    </row>
    <row r="116">
      <c r="A116" s="192" t="s">
        <v>173</v>
      </c>
      <c r="B116" s="193">
        <v>45244.66666666667</v>
      </c>
      <c r="C116" s="192">
        <v>-595.98</v>
      </c>
      <c r="D116" s="192" t="s">
        <v>192</v>
      </c>
      <c r="E116" s="192" t="s">
        <v>197</v>
      </c>
      <c r="F116" s="194" t="s">
        <v>191</v>
      </c>
    </row>
    <row r="117">
      <c r="A117" s="192" t="s">
        <v>173</v>
      </c>
      <c r="B117" s="193">
        <v>45442.70833333333</v>
      </c>
      <c r="C117" s="192">
        <v>-465.39</v>
      </c>
      <c r="D117" s="192" t="s">
        <v>192</v>
      </c>
      <c r="E117" s="192" t="s">
        <v>198</v>
      </c>
      <c r="F117" s="194" t="s">
        <v>191</v>
      </c>
    </row>
    <row r="118">
      <c r="A118" s="192" t="s">
        <v>173</v>
      </c>
      <c r="B118" s="193">
        <v>45375.70833333333</v>
      </c>
      <c r="C118" s="192">
        <v>-445.03</v>
      </c>
      <c r="D118" s="192" t="s">
        <v>192</v>
      </c>
      <c r="E118" s="192" t="s">
        <v>199</v>
      </c>
      <c r="F118" s="194" t="s">
        <v>191</v>
      </c>
    </row>
    <row r="119">
      <c r="A119" s="192" t="s">
        <v>173</v>
      </c>
      <c r="B119" s="193">
        <v>45326.66666666667</v>
      </c>
      <c r="C119" s="192">
        <v>-357.72</v>
      </c>
      <c r="D119" s="192" t="s">
        <v>192</v>
      </c>
      <c r="E119" s="192" t="s">
        <v>200</v>
      </c>
      <c r="F119" s="194" t="s">
        <v>191</v>
      </c>
    </row>
    <row r="120">
      <c r="A120" s="192" t="s">
        <v>173</v>
      </c>
      <c r="B120" s="193">
        <v>45467.70833333333</v>
      </c>
      <c r="C120" s="192">
        <v>-335.86</v>
      </c>
      <c r="D120" s="192" t="s">
        <v>192</v>
      </c>
      <c r="E120" s="192" t="s">
        <v>201</v>
      </c>
      <c r="F120" s="194" t="s">
        <v>191</v>
      </c>
    </row>
    <row r="121">
      <c r="A121" s="192" t="s">
        <v>173</v>
      </c>
      <c r="B121" s="193">
        <v>45522.70833333333</v>
      </c>
      <c r="C121" s="192">
        <v>-318.27</v>
      </c>
      <c r="D121" s="192" t="s">
        <v>192</v>
      </c>
      <c r="E121" s="192" t="s">
        <v>202</v>
      </c>
      <c r="F121" s="194" t="s">
        <v>191</v>
      </c>
    </row>
    <row r="122">
      <c r="A122" s="192" t="s">
        <v>173</v>
      </c>
      <c r="B122" s="193">
        <v>45263.66666666667</v>
      </c>
      <c r="C122" s="192">
        <v>-269.95</v>
      </c>
      <c r="D122" s="192" t="s">
        <v>192</v>
      </c>
      <c r="E122" s="192" t="s">
        <v>203</v>
      </c>
      <c r="F122" s="194" t="s">
        <v>191</v>
      </c>
    </row>
    <row r="123">
      <c r="A123" s="192" t="s">
        <v>173</v>
      </c>
      <c r="B123" s="193">
        <v>45350.66666666667</v>
      </c>
      <c r="C123" s="192">
        <v>-245.68</v>
      </c>
      <c r="D123" s="192" t="s">
        <v>192</v>
      </c>
      <c r="E123" s="192" t="s">
        <v>204</v>
      </c>
      <c r="F123" s="194" t="s">
        <v>191</v>
      </c>
    </row>
    <row r="124">
      <c r="A124" s="192" t="s">
        <v>173</v>
      </c>
      <c r="B124" s="193">
        <v>45494.70833333333</v>
      </c>
      <c r="C124" s="192">
        <v>-235.23</v>
      </c>
      <c r="D124" s="192" t="s">
        <v>192</v>
      </c>
      <c r="E124" s="192" t="s">
        <v>205</v>
      </c>
      <c r="F124" s="194" t="s">
        <v>191</v>
      </c>
    </row>
    <row r="125">
      <c r="A125" s="192" t="s">
        <v>158</v>
      </c>
      <c r="B125" s="193">
        <v>45442.70833333333</v>
      </c>
      <c r="C125" s="192">
        <v>-6450.56</v>
      </c>
      <c r="D125" s="192" t="s">
        <v>206</v>
      </c>
      <c r="E125" s="192" t="s">
        <v>207</v>
      </c>
      <c r="F125" s="194" t="s">
        <v>191</v>
      </c>
    </row>
    <row r="126">
      <c r="A126" s="192" t="s">
        <v>158</v>
      </c>
      <c r="B126" s="193">
        <v>45350.66666666667</v>
      </c>
      <c r="C126" s="192">
        <v>-5981.89</v>
      </c>
      <c r="D126" s="192" t="s">
        <v>206</v>
      </c>
      <c r="E126" s="192" t="s">
        <v>208</v>
      </c>
      <c r="F126" s="194" t="s">
        <v>191</v>
      </c>
    </row>
    <row r="127">
      <c r="A127" s="192" t="s">
        <v>158</v>
      </c>
      <c r="B127" s="193">
        <v>45494.70833333333</v>
      </c>
      <c r="C127" s="192">
        <v>-4946.5</v>
      </c>
      <c r="D127" s="192" t="s">
        <v>206</v>
      </c>
      <c r="E127" s="192" t="s">
        <v>209</v>
      </c>
      <c r="F127" s="194" t="s">
        <v>191</v>
      </c>
    </row>
    <row r="128">
      <c r="A128" s="192" t="s">
        <v>158</v>
      </c>
      <c r="B128" s="193">
        <v>45579.70833333333</v>
      </c>
      <c r="C128" s="192">
        <v>-4781.8</v>
      </c>
      <c r="D128" s="192" t="s">
        <v>206</v>
      </c>
      <c r="E128" s="192" t="s">
        <v>210</v>
      </c>
      <c r="F128" s="194" t="s">
        <v>191</v>
      </c>
    </row>
    <row r="129">
      <c r="A129" s="192" t="s">
        <v>158</v>
      </c>
      <c r="B129" s="193">
        <v>45522.70833333333</v>
      </c>
      <c r="C129" s="192">
        <v>-4344.89</v>
      </c>
      <c r="D129" s="192" t="s">
        <v>206</v>
      </c>
      <c r="E129" s="192" t="s">
        <v>211</v>
      </c>
      <c r="F129" s="194" t="s">
        <v>191</v>
      </c>
    </row>
    <row r="130">
      <c r="A130" s="192" t="s">
        <v>158</v>
      </c>
      <c r="B130" s="193">
        <v>45543.70833333333</v>
      </c>
      <c r="C130" s="192">
        <v>-4254.83</v>
      </c>
      <c r="D130" s="192" t="s">
        <v>206</v>
      </c>
      <c r="E130" s="192" t="s">
        <v>212</v>
      </c>
      <c r="F130" s="194" t="s">
        <v>191</v>
      </c>
    </row>
    <row r="131">
      <c r="A131" s="192" t="s">
        <v>158</v>
      </c>
      <c r="B131" s="193">
        <v>45295.66666666667</v>
      </c>
      <c r="C131" s="192">
        <v>-3727.1</v>
      </c>
      <c r="D131" s="192" t="s">
        <v>206</v>
      </c>
      <c r="E131" s="192" t="s">
        <v>213</v>
      </c>
      <c r="F131" s="194" t="s">
        <v>191</v>
      </c>
    </row>
    <row r="132">
      <c r="A132" s="192" t="s">
        <v>158</v>
      </c>
      <c r="B132" s="193">
        <v>45420.70833333333</v>
      </c>
      <c r="C132" s="192">
        <v>-3224.81</v>
      </c>
      <c r="D132" s="192" t="s">
        <v>206</v>
      </c>
      <c r="E132" s="192" t="s">
        <v>214</v>
      </c>
      <c r="F132" s="194" t="s">
        <v>191</v>
      </c>
    </row>
    <row r="133">
      <c r="A133" s="192" t="s">
        <v>158</v>
      </c>
      <c r="B133" s="193">
        <v>45462.70833333333</v>
      </c>
      <c r="C133" s="192">
        <v>-2905.75</v>
      </c>
      <c r="D133" s="192" t="s">
        <v>206</v>
      </c>
      <c r="E133" s="192" t="s">
        <v>215</v>
      </c>
      <c r="F133" s="194" t="s">
        <v>191</v>
      </c>
    </row>
    <row r="134">
      <c r="A134" s="192" t="s">
        <v>158</v>
      </c>
      <c r="B134" s="193">
        <v>45263.66666666667</v>
      </c>
      <c r="C134" s="192">
        <v>-2686.42</v>
      </c>
      <c r="D134" s="192" t="s">
        <v>206</v>
      </c>
      <c r="E134" s="192" t="s">
        <v>216</v>
      </c>
      <c r="F134" s="194" t="s">
        <v>191</v>
      </c>
    </row>
    <row r="135">
      <c r="A135" s="192" t="s">
        <v>158</v>
      </c>
      <c r="B135" s="193">
        <v>45326.66666666667</v>
      </c>
      <c r="C135" s="192">
        <v>-2579.26</v>
      </c>
      <c r="D135" s="192" t="s">
        <v>206</v>
      </c>
      <c r="E135" s="192" t="s">
        <v>217</v>
      </c>
      <c r="F135" s="194" t="s">
        <v>191</v>
      </c>
    </row>
    <row r="136">
      <c r="A136" s="192" t="s">
        <v>158</v>
      </c>
      <c r="B136" s="193">
        <v>45399.70833333333</v>
      </c>
      <c r="C136" s="192">
        <v>-1913.07</v>
      </c>
      <c r="D136" s="192" t="s">
        <v>206</v>
      </c>
      <c r="E136" s="192" t="s">
        <v>218</v>
      </c>
      <c r="F136" s="194" t="s">
        <v>191</v>
      </c>
    </row>
    <row r="137">
      <c r="A137" s="192" t="s">
        <v>158</v>
      </c>
      <c r="B137" s="193">
        <v>45375.70833333333</v>
      </c>
      <c r="C137" s="192">
        <v>-1433.13</v>
      </c>
      <c r="D137" s="192" t="s">
        <v>206</v>
      </c>
      <c r="E137" s="192" t="s">
        <v>219</v>
      </c>
      <c r="F137" s="194" t="s">
        <v>191</v>
      </c>
    </row>
    <row r="138">
      <c r="A138" s="192" t="s">
        <v>158</v>
      </c>
      <c r="B138" s="193">
        <v>45554.70833333333</v>
      </c>
      <c r="C138" s="192">
        <v>-1078.78</v>
      </c>
      <c r="D138" s="192" t="s">
        <v>206</v>
      </c>
      <c r="E138" s="192" t="s">
        <v>220</v>
      </c>
      <c r="F138" s="194" t="s">
        <v>191</v>
      </c>
    </row>
    <row r="139">
      <c r="A139" s="192" t="s">
        <v>221</v>
      </c>
      <c r="B139" s="193">
        <v>45337.66666666667</v>
      </c>
      <c r="C139" s="192">
        <v>-2108.36</v>
      </c>
      <c r="D139" s="192" t="s">
        <v>222</v>
      </c>
      <c r="E139" s="192" t="s">
        <v>223</v>
      </c>
      <c r="F139" s="194" t="s">
        <v>191</v>
      </c>
    </row>
    <row r="140">
      <c r="A140" s="192" t="s">
        <v>221</v>
      </c>
      <c r="B140" s="193">
        <v>45277.66666666667</v>
      </c>
      <c r="C140" s="192">
        <v>-1122.29</v>
      </c>
      <c r="D140" s="192" t="s">
        <v>222</v>
      </c>
      <c r="E140" s="192" t="s">
        <v>224</v>
      </c>
      <c r="F140" s="194" t="s">
        <v>191</v>
      </c>
    </row>
    <row r="141">
      <c r="A141" s="192" t="s">
        <v>221</v>
      </c>
      <c r="B141" s="193">
        <v>45333.66666666667</v>
      </c>
      <c r="C141" s="192">
        <v>-814.16</v>
      </c>
      <c r="D141" s="192" t="s">
        <v>222</v>
      </c>
      <c r="E141" s="192" t="s">
        <v>225</v>
      </c>
      <c r="F141" s="194" t="s">
        <v>191</v>
      </c>
    </row>
    <row r="142">
      <c r="A142" s="192" t="s">
        <v>221</v>
      </c>
      <c r="B142" s="193">
        <v>45322.66666666667</v>
      </c>
      <c r="C142" s="192">
        <v>-650.81</v>
      </c>
      <c r="D142" s="192" t="s">
        <v>222</v>
      </c>
      <c r="E142" s="192" t="s">
        <v>226</v>
      </c>
      <c r="F142" s="194" t="s">
        <v>191</v>
      </c>
    </row>
    <row r="143">
      <c r="A143" s="192" t="s">
        <v>221</v>
      </c>
      <c r="B143" s="193">
        <v>45558.70833333333</v>
      </c>
      <c r="C143" s="192">
        <v>-471.15</v>
      </c>
      <c r="D143" s="192" t="s">
        <v>222</v>
      </c>
      <c r="E143" s="192" t="s">
        <v>227</v>
      </c>
      <c r="F143" s="194" t="s">
        <v>191</v>
      </c>
    </row>
    <row r="144">
      <c r="A144" s="192" t="s">
        <v>221</v>
      </c>
      <c r="B144" s="193">
        <v>45243.66666666667</v>
      </c>
      <c r="C144" s="192">
        <v>-458.21</v>
      </c>
      <c r="D144" s="192" t="s">
        <v>222</v>
      </c>
      <c r="E144" s="192" t="s">
        <v>228</v>
      </c>
      <c r="F144" s="194" t="s">
        <v>191</v>
      </c>
    </row>
    <row r="145">
      <c r="A145" s="192" t="s">
        <v>221</v>
      </c>
      <c r="B145" s="193">
        <v>45393.70833333333</v>
      </c>
      <c r="C145" s="192">
        <v>-416.3</v>
      </c>
      <c r="D145" s="192" t="s">
        <v>222</v>
      </c>
      <c r="E145" s="192" t="s">
        <v>229</v>
      </c>
      <c r="F145" s="194" t="s">
        <v>191</v>
      </c>
    </row>
    <row r="146">
      <c r="A146" s="192" t="s">
        <v>221</v>
      </c>
      <c r="B146" s="193">
        <v>45314.66666666667</v>
      </c>
      <c r="C146" s="192">
        <v>-381.68</v>
      </c>
      <c r="D146" s="192" t="s">
        <v>222</v>
      </c>
      <c r="E146" s="192" t="s">
        <v>230</v>
      </c>
      <c r="F146" s="194" t="s">
        <v>191</v>
      </c>
    </row>
    <row r="147">
      <c r="A147" s="192" t="s">
        <v>221</v>
      </c>
      <c r="B147" s="193">
        <v>45256.66666666667</v>
      </c>
      <c r="C147" s="192">
        <v>-291.43</v>
      </c>
      <c r="D147" s="192" t="s">
        <v>222</v>
      </c>
      <c r="E147" s="192" t="s">
        <v>231</v>
      </c>
      <c r="F147" s="194" t="s">
        <v>191</v>
      </c>
    </row>
    <row r="148">
      <c r="A148" s="192" t="s">
        <v>221</v>
      </c>
      <c r="B148" s="193">
        <v>45264.66666666667</v>
      </c>
      <c r="C148" s="192">
        <v>-290.0</v>
      </c>
      <c r="D148" s="192" t="s">
        <v>222</v>
      </c>
      <c r="E148" s="192" t="s">
        <v>232</v>
      </c>
      <c r="F148" s="194" t="s">
        <v>191</v>
      </c>
    </row>
    <row r="149">
      <c r="A149" s="192" t="s">
        <v>221</v>
      </c>
      <c r="B149" s="193">
        <v>45300.66666666667</v>
      </c>
      <c r="C149" s="192">
        <v>-280.68</v>
      </c>
      <c r="D149" s="192" t="s">
        <v>222</v>
      </c>
      <c r="E149" s="192" t="s">
        <v>233</v>
      </c>
      <c r="F149" s="194" t="s">
        <v>191</v>
      </c>
    </row>
    <row r="150">
      <c r="A150" s="192" t="s">
        <v>221</v>
      </c>
      <c r="B150" s="193">
        <v>45308.66666666667</v>
      </c>
      <c r="C150" s="192">
        <v>-222.66</v>
      </c>
      <c r="D150" s="192" t="s">
        <v>222</v>
      </c>
      <c r="E150" s="192" t="s">
        <v>234</v>
      </c>
      <c r="F150" s="194" t="s">
        <v>191</v>
      </c>
    </row>
    <row r="151">
      <c r="A151" s="192" t="s">
        <v>221</v>
      </c>
      <c r="B151" s="193">
        <v>45292.66666666667</v>
      </c>
      <c r="C151" s="192">
        <v>-221.94</v>
      </c>
      <c r="D151" s="192" t="s">
        <v>222</v>
      </c>
      <c r="E151" s="192" t="s">
        <v>235</v>
      </c>
      <c r="F151" s="194" t="s">
        <v>191</v>
      </c>
    </row>
    <row r="152">
      <c r="A152" s="192" t="s">
        <v>221</v>
      </c>
      <c r="B152" s="193">
        <v>45327.66666666667</v>
      </c>
      <c r="C152" s="192">
        <v>-201.0</v>
      </c>
      <c r="D152" s="192" t="s">
        <v>222</v>
      </c>
      <c r="E152" s="192" t="s">
        <v>236</v>
      </c>
      <c r="F152" s="194" t="s">
        <v>191</v>
      </c>
    </row>
    <row r="153">
      <c r="A153" s="192" t="s">
        <v>221</v>
      </c>
      <c r="B153" s="193">
        <v>45573.70833333333</v>
      </c>
      <c r="C153" s="192">
        <v>-195.27</v>
      </c>
      <c r="D153" s="192" t="s">
        <v>222</v>
      </c>
      <c r="E153" s="192" t="s">
        <v>237</v>
      </c>
      <c r="F153" s="194" t="s">
        <v>191</v>
      </c>
    </row>
    <row r="154">
      <c r="A154" s="192" t="s">
        <v>221</v>
      </c>
      <c r="B154" s="193">
        <v>45368.70833333333</v>
      </c>
      <c r="C154" s="192">
        <v>-154.68</v>
      </c>
      <c r="D154" s="192" t="s">
        <v>222</v>
      </c>
      <c r="E154" s="192" t="s">
        <v>238</v>
      </c>
      <c r="F154" s="194" t="s">
        <v>191</v>
      </c>
    </row>
    <row r="155">
      <c r="A155" s="192" t="s">
        <v>221</v>
      </c>
      <c r="B155" s="193">
        <v>45522.70833333333</v>
      </c>
      <c r="C155" s="192">
        <v>-137.75</v>
      </c>
      <c r="D155" s="192" t="s">
        <v>222</v>
      </c>
      <c r="E155" s="192" t="s">
        <v>239</v>
      </c>
      <c r="F155" s="194" t="s">
        <v>191</v>
      </c>
    </row>
    <row r="156">
      <c r="A156" s="192" t="s">
        <v>221</v>
      </c>
      <c r="B156" s="193">
        <v>45453.70833333333</v>
      </c>
      <c r="C156" s="192">
        <v>-130.81</v>
      </c>
      <c r="D156" s="192" t="s">
        <v>222</v>
      </c>
      <c r="E156" s="192" t="s">
        <v>240</v>
      </c>
      <c r="F156" s="194" t="s">
        <v>191</v>
      </c>
    </row>
    <row r="157">
      <c r="A157" s="192" t="s">
        <v>221</v>
      </c>
      <c r="B157" s="193">
        <v>45403.70833333333</v>
      </c>
      <c r="C157" s="192">
        <v>-130.22</v>
      </c>
      <c r="D157" s="192" t="s">
        <v>222</v>
      </c>
      <c r="E157" s="192" t="s">
        <v>241</v>
      </c>
      <c r="F157" s="194" t="s">
        <v>191</v>
      </c>
    </row>
    <row r="158">
      <c r="A158" s="192" t="s">
        <v>221</v>
      </c>
      <c r="B158" s="193">
        <v>45529.70833333333</v>
      </c>
      <c r="C158" s="192">
        <v>-114.58</v>
      </c>
      <c r="D158" s="192" t="s">
        <v>222</v>
      </c>
      <c r="E158" s="192" t="s">
        <v>242</v>
      </c>
      <c r="F158" s="194" t="s">
        <v>191</v>
      </c>
    </row>
    <row r="159">
      <c r="A159" s="192" t="s">
        <v>221</v>
      </c>
      <c r="B159" s="193">
        <v>45469.70833333333</v>
      </c>
      <c r="C159" s="192">
        <v>-102.1</v>
      </c>
      <c r="D159" s="192" t="s">
        <v>222</v>
      </c>
      <c r="E159" s="192" t="s">
        <v>243</v>
      </c>
      <c r="F159" s="194" t="s">
        <v>191</v>
      </c>
    </row>
    <row r="160">
      <c r="A160" s="192" t="s">
        <v>221</v>
      </c>
      <c r="B160" s="193">
        <v>45580.70833333333</v>
      </c>
      <c r="C160" s="192">
        <v>-92.02</v>
      </c>
      <c r="D160" s="192" t="s">
        <v>222</v>
      </c>
      <c r="E160" s="192" t="s">
        <v>244</v>
      </c>
      <c r="F160" s="194" t="s">
        <v>191</v>
      </c>
    </row>
    <row r="161">
      <c r="A161" s="192" t="s">
        <v>221</v>
      </c>
      <c r="B161" s="193">
        <v>45431.70833333333</v>
      </c>
      <c r="C161" s="192">
        <v>-91.02</v>
      </c>
      <c r="D161" s="192" t="s">
        <v>222</v>
      </c>
      <c r="E161" s="192" t="s">
        <v>245</v>
      </c>
      <c r="F161" s="194" t="s">
        <v>191</v>
      </c>
    </row>
    <row r="162">
      <c r="A162" s="192" t="s">
        <v>221</v>
      </c>
      <c r="B162" s="193">
        <v>45328.66666666667</v>
      </c>
      <c r="C162" s="192">
        <v>-77.81</v>
      </c>
      <c r="D162" s="192" t="s">
        <v>222</v>
      </c>
      <c r="E162" s="192" t="s">
        <v>246</v>
      </c>
      <c r="F162" s="194" t="s">
        <v>191</v>
      </c>
    </row>
    <row r="163">
      <c r="A163" s="192" t="s">
        <v>221</v>
      </c>
      <c r="B163" s="193">
        <v>45592.70833333333</v>
      </c>
      <c r="C163" s="192">
        <v>-65.02</v>
      </c>
      <c r="D163" s="192" t="s">
        <v>222</v>
      </c>
      <c r="E163" s="192" t="s">
        <v>247</v>
      </c>
      <c r="F163" s="194" t="s">
        <v>191</v>
      </c>
    </row>
    <row r="164">
      <c r="A164" s="192" t="s">
        <v>221</v>
      </c>
      <c r="B164" s="193">
        <v>45543.70833333333</v>
      </c>
      <c r="C164" s="192">
        <v>-54.79</v>
      </c>
      <c r="D164" s="192" t="s">
        <v>222</v>
      </c>
      <c r="E164" s="192" t="s">
        <v>248</v>
      </c>
      <c r="F164" s="194" t="s">
        <v>191</v>
      </c>
    </row>
    <row r="165">
      <c r="A165" s="192" t="s">
        <v>221</v>
      </c>
      <c r="B165" s="193">
        <v>45277.66666666667</v>
      </c>
      <c r="C165" s="192">
        <v>-50.72</v>
      </c>
      <c r="D165" s="192" t="s">
        <v>222</v>
      </c>
      <c r="E165" s="192" t="s">
        <v>249</v>
      </c>
      <c r="F165" s="194" t="s">
        <v>191</v>
      </c>
    </row>
    <row r="166">
      <c r="A166" s="192" t="s">
        <v>221</v>
      </c>
      <c r="B166" s="193">
        <v>45552.70833333333</v>
      </c>
      <c r="C166" s="192">
        <v>-47.03</v>
      </c>
      <c r="D166" s="192" t="s">
        <v>222</v>
      </c>
      <c r="E166" s="192" t="s">
        <v>250</v>
      </c>
      <c r="F166" s="194" t="s">
        <v>191</v>
      </c>
    </row>
    <row r="167">
      <c r="A167" s="192" t="s">
        <v>221</v>
      </c>
      <c r="B167" s="193">
        <v>45424.70833333333</v>
      </c>
      <c r="C167" s="192">
        <v>-43.54</v>
      </c>
      <c r="D167" s="192" t="s">
        <v>222</v>
      </c>
      <c r="E167" s="192" t="s">
        <v>251</v>
      </c>
      <c r="F167" s="194" t="s">
        <v>191</v>
      </c>
    </row>
    <row r="168">
      <c r="A168" s="192" t="s">
        <v>221</v>
      </c>
      <c r="B168" s="193">
        <v>45295.66666666667</v>
      </c>
      <c r="C168" s="192">
        <v>-40.49</v>
      </c>
      <c r="D168" s="192" t="s">
        <v>222</v>
      </c>
      <c r="E168" s="192" t="s">
        <v>252</v>
      </c>
      <c r="F168" s="194" t="s">
        <v>191</v>
      </c>
    </row>
    <row r="169">
      <c r="A169" s="192" t="s">
        <v>221</v>
      </c>
      <c r="B169" s="193">
        <v>45312.66666666667</v>
      </c>
      <c r="C169" s="192">
        <v>-39.03</v>
      </c>
      <c r="D169" s="192" t="s">
        <v>222</v>
      </c>
      <c r="E169" s="192" t="s">
        <v>253</v>
      </c>
      <c r="F169" s="194" t="s">
        <v>191</v>
      </c>
    </row>
    <row r="170">
      <c r="A170" s="192" t="s">
        <v>221</v>
      </c>
      <c r="B170" s="193">
        <v>45508.70833333333</v>
      </c>
      <c r="C170" s="192">
        <v>-35.38</v>
      </c>
      <c r="D170" s="192" t="s">
        <v>222</v>
      </c>
      <c r="E170" s="192" t="s">
        <v>254</v>
      </c>
      <c r="F170" s="194" t="s">
        <v>191</v>
      </c>
    </row>
    <row r="171">
      <c r="A171" s="192" t="s">
        <v>221</v>
      </c>
      <c r="B171" s="193">
        <v>45468.70833333333</v>
      </c>
      <c r="C171" s="192">
        <v>-35.19</v>
      </c>
      <c r="D171" s="192" t="s">
        <v>222</v>
      </c>
      <c r="E171" s="192" t="s">
        <v>255</v>
      </c>
      <c r="F171" s="194" t="s">
        <v>191</v>
      </c>
    </row>
    <row r="172">
      <c r="A172" s="192" t="s">
        <v>221</v>
      </c>
      <c r="B172" s="193">
        <v>45350.66666666667</v>
      </c>
      <c r="C172" s="192">
        <v>-22.64</v>
      </c>
      <c r="D172" s="192" t="s">
        <v>222</v>
      </c>
      <c r="E172" s="192" t="s">
        <v>256</v>
      </c>
      <c r="F172" s="194" t="s">
        <v>191</v>
      </c>
    </row>
    <row r="173">
      <c r="A173" s="192" t="s">
        <v>221</v>
      </c>
      <c r="B173" s="193">
        <v>45512.70833333333</v>
      </c>
      <c r="C173" s="192">
        <v>-18.07</v>
      </c>
      <c r="D173" s="192" t="s">
        <v>222</v>
      </c>
      <c r="E173" s="192" t="s">
        <v>257</v>
      </c>
      <c r="F173" s="194" t="s">
        <v>191</v>
      </c>
    </row>
    <row r="174">
      <c r="A174" s="192" t="s">
        <v>221</v>
      </c>
      <c r="B174" s="193">
        <v>45306.66666666667</v>
      </c>
      <c r="C174" s="192">
        <v>-11.2</v>
      </c>
      <c r="D174" s="192" t="s">
        <v>222</v>
      </c>
      <c r="E174" s="192" t="s">
        <v>258</v>
      </c>
      <c r="F174" s="194" t="s">
        <v>191</v>
      </c>
    </row>
    <row r="175">
      <c r="A175" s="192" t="s">
        <v>221</v>
      </c>
      <c r="B175" s="193">
        <v>45312.66666666667</v>
      </c>
      <c r="C175" s="192">
        <v>-5.75</v>
      </c>
      <c r="D175" s="192" t="s">
        <v>222</v>
      </c>
      <c r="E175" s="192" t="s">
        <v>259</v>
      </c>
      <c r="F175" s="194" t="s">
        <v>191</v>
      </c>
    </row>
    <row r="176">
      <c r="A176" s="192" t="s">
        <v>221</v>
      </c>
      <c r="B176" s="193">
        <v>45356.66666666667</v>
      </c>
      <c r="C176" s="192">
        <v>-5.4</v>
      </c>
      <c r="D176" s="192" t="s">
        <v>222</v>
      </c>
      <c r="E176" s="192" t="s">
        <v>260</v>
      </c>
      <c r="F176" s="194" t="s">
        <v>191</v>
      </c>
    </row>
    <row r="177">
      <c r="A177" s="192" t="s">
        <v>221</v>
      </c>
      <c r="B177" s="193">
        <v>45496.70833333333</v>
      </c>
      <c r="C177" s="192">
        <v>-1.0</v>
      </c>
      <c r="D177" s="192" t="s">
        <v>222</v>
      </c>
      <c r="E177" s="192" t="s">
        <v>261</v>
      </c>
      <c r="F177" s="194" t="s">
        <v>191</v>
      </c>
    </row>
    <row r="178">
      <c r="A178" s="192" t="s">
        <v>133</v>
      </c>
      <c r="B178" s="193">
        <v>45495.70833333333</v>
      </c>
      <c r="C178" s="192">
        <v>1.0</v>
      </c>
      <c r="E178" s="192" t="s">
        <v>262</v>
      </c>
      <c r="F178" s="194" t="s">
        <v>191</v>
      </c>
    </row>
    <row r="179">
      <c r="A179" s="192" t="s">
        <v>133</v>
      </c>
      <c r="B179" s="193">
        <v>45355.66666666667</v>
      </c>
      <c r="C179" s="192">
        <v>5.4</v>
      </c>
      <c r="E179" s="192" t="s">
        <v>262</v>
      </c>
      <c r="F179" s="194" t="s">
        <v>191</v>
      </c>
    </row>
    <row r="180">
      <c r="A180" s="192" t="s">
        <v>133</v>
      </c>
      <c r="B180" s="193">
        <v>45310.66666666667</v>
      </c>
      <c r="C180" s="192">
        <v>5.75</v>
      </c>
      <c r="E180" s="192" t="s">
        <v>262</v>
      </c>
      <c r="F180" s="194" t="s">
        <v>191</v>
      </c>
    </row>
    <row r="181">
      <c r="A181" s="192" t="s">
        <v>133</v>
      </c>
      <c r="B181" s="193">
        <v>45302.66666666667</v>
      </c>
      <c r="C181" s="192">
        <v>11.2</v>
      </c>
      <c r="E181" s="192" t="s">
        <v>262</v>
      </c>
      <c r="F181" s="194" t="s">
        <v>191</v>
      </c>
    </row>
    <row r="182">
      <c r="A182" s="192" t="s">
        <v>133</v>
      </c>
      <c r="B182" s="193">
        <v>45511.70833333333</v>
      </c>
      <c r="C182" s="192">
        <v>18.07</v>
      </c>
      <c r="E182" s="192" t="s">
        <v>262</v>
      </c>
      <c r="F182" s="194" t="s">
        <v>191</v>
      </c>
    </row>
    <row r="183">
      <c r="A183" s="192" t="s">
        <v>133</v>
      </c>
      <c r="B183" s="193">
        <v>45348.66666666667</v>
      </c>
      <c r="C183" s="192">
        <v>22.64</v>
      </c>
      <c r="E183" s="192" t="s">
        <v>262</v>
      </c>
      <c r="F183" s="194" t="s">
        <v>191</v>
      </c>
    </row>
    <row r="184">
      <c r="A184" s="192" t="s">
        <v>133</v>
      </c>
      <c r="B184" s="193">
        <v>45466.70833333333</v>
      </c>
      <c r="C184" s="192">
        <v>35.19</v>
      </c>
      <c r="E184" s="192" t="s">
        <v>262</v>
      </c>
      <c r="F184" s="194" t="s">
        <v>191</v>
      </c>
    </row>
    <row r="185">
      <c r="A185" s="192" t="s">
        <v>133</v>
      </c>
      <c r="B185" s="193">
        <v>45506.70833333333</v>
      </c>
      <c r="C185" s="192">
        <v>35.38</v>
      </c>
      <c r="E185" s="192" t="s">
        <v>262</v>
      </c>
      <c r="F185" s="194" t="s">
        <v>191</v>
      </c>
    </row>
    <row r="186">
      <c r="A186" s="192" t="s">
        <v>133</v>
      </c>
      <c r="B186" s="193">
        <v>45308.66666666667</v>
      </c>
      <c r="C186" s="192">
        <v>39.03</v>
      </c>
      <c r="E186" s="192" t="s">
        <v>262</v>
      </c>
      <c r="F186" s="194" t="s">
        <v>191</v>
      </c>
    </row>
    <row r="187">
      <c r="A187" s="192" t="s">
        <v>133</v>
      </c>
      <c r="B187" s="193">
        <v>45294.66666666667</v>
      </c>
      <c r="C187" s="192">
        <v>40.49</v>
      </c>
      <c r="E187" s="192" t="s">
        <v>262</v>
      </c>
      <c r="F187" s="194" t="s">
        <v>191</v>
      </c>
    </row>
    <row r="188">
      <c r="A188" s="192" t="s">
        <v>133</v>
      </c>
      <c r="B188" s="193">
        <v>45420.70833333333</v>
      </c>
      <c r="C188" s="192">
        <v>43.54</v>
      </c>
      <c r="E188" s="192" t="s">
        <v>262</v>
      </c>
      <c r="F188" s="194" t="s">
        <v>191</v>
      </c>
    </row>
    <row r="189">
      <c r="A189" s="192" t="s">
        <v>133</v>
      </c>
      <c r="B189" s="193">
        <v>45551.70833333333</v>
      </c>
      <c r="C189" s="192">
        <v>47.03</v>
      </c>
      <c r="E189" s="192" t="s">
        <v>262</v>
      </c>
      <c r="F189" s="194" t="s">
        <v>191</v>
      </c>
    </row>
    <row r="190">
      <c r="A190" s="192" t="s">
        <v>133</v>
      </c>
      <c r="B190" s="193">
        <v>45276.66666666667</v>
      </c>
      <c r="C190" s="192">
        <v>50.72</v>
      </c>
      <c r="E190" s="192" t="s">
        <v>262</v>
      </c>
      <c r="F190" s="194" t="s">
        <v>191</v>
      </c>
    </row>
    <row r="191">
      <c r="A191" s="192" t="s">
        <v>133</v>
      </c>
      <c r="B191" s="193">
        <v>45542.70833333333</v>
      </c>
      <c r="C191" s="192">
        <v>54.79</v>
      </c>
      <c r="E191" s="192" t="s">
        <v>262</v>
      </c>
      <c r="F191" s="194" t="s">
        <v>191</v>
      </c>
    </row>
    <row r="192">
      <c r="A192" s="192" t="s">
        <v>133</v>
      </c>
      <c r="B192" s="193">
        <v>45591.70833333333</v>
      </c>
      <c r="C192" s="192">
        <v>65.02</v>
      </c>
      <c r="E192" s="192" t="s">
        <v>262</v>
      </c>
      <c r="F192" s="194" t="s">
        <v>191</v>
      </c>
    </row>
    <row r="193">
      <c r="A193" s="192" t="s">
        <v>133</v>
      </c>
      <c r="B193" s="193">
        <v>45596.70833333333</v>
      </c>
      <c r="C193" s="192">
        <v>66.65</v>
      </c>
      <c r="E193" s="192" t="s">
        <v>263</v>
      </c>
      <c r="F193" s="194" t="s">
        <v>191</v>
      </c>
    </row>
    <row r="194">
      <c r="A194" s="192" t="s">
        <v>133</v>
      </c>
      <c r="B194" s="193">
        <v>45327.66666666667</v>
      </c>
      <c r="C194" s="192">
        <v>77.81</v>
      </c>
      <c r="E194" s="192" t="s">
        <v>262</v>
      </c>
      <c r="F194" s="194" t="s">
        <v>191</v>
      </c>
    </row>
    <row r="195">
      <c r="A195" s="192" t="s">
        <v>133</v>
      </c>
      <c r="B195" s="193">
        <v>45430.70833333333</v>
      </c>
      <c r="C195" s="192">
        <v>91.02</v>
      </c>
      <c r="E195" s="192" t="s">
        <v>262</v>
      </c>
      <c r="F195" s="194" t="s">
        <v>191</v>
      </c>
    </row>
    <row r="196">
      <c r="A196" s="192" t="s">
        <v>133</v>
      </c>
      <c r="B196" s="193">
        <v>45579.70833333333</v>
      </c>
      <c r="C196" s="192">
        <v>92.02</v>
      </c>
      <c r="E196" s="192" t="s">
        <v>262</v>
      </c>
      <c r="F196" s="194" t="s">
        <v>191</v>
      </c>
    </row>
    <row r="197">
      <c r="A197" s="192" t="s">
        <v>133</v>
      </c>
      <c r="B197" s="193">
        <v>45467.70833333333</v>
      </c>
      <c r="C197" s="192">
        <v>102.1</v>
      </c>
      <c r="E197" s="192" t="s">
        <v>262</v>
      </c>
      <c r="F197" s="194" t="s">
        <v>191</v>
      </c>
    </row>
    <row r="198">
      <c r="A198" s="192" t="s">
        <v>133</v>
      </c>
      <c r="B198" s="193">
        <v>45527.70833333333</v>
      </c>
      <c r="C198" s="192">
        <v>114.58</v>
      </c>
      <c r="E198" s="192" t="s">
        <v>262</v>
      </c>
      <c r="F198" s="194" t="s">
        <v>191</v>
      </c>
    </row>
    <row r="199">
      <c r="A199" s="192" t="s">
        <v>133</v>
      </c>
      <c r="B199" s="193">
        <v>45401.70833333333</v>
      </c>
      <c r="C199" s="192">
        <v>130.22</v>
      </c>
      <c r="E199" s="192" t="s">
        <v>262</v>
      </c>
      <c r="F199" s="194" t="s">
        <v>191</v>
      </c>
    </row>
    <row r="200">
      <c r="A200" s="192" t="s">
        <v>133</v>
      </c>
      <c r="B200" s="193">
        <v>45451.70833333333</v>
      </c>
      <c r="C200" s="192">
        <v>130.81</v>
      </c>
      <c r="E200" s="192" t="s">
        <v>262</v>
      </c>
      <c r="F200" s="194" t="s">
        <v>191</v>
      </c>
    </row>
    <row r="201">
      <c r="A201" s="192" t="s">
        <v>133</v>
      </c>
      <c r="B201" s="193">
        <v>45520.70833333333</v>
      </c>
      <c r="C201" s="192">
        <v>137.75</v>
      </c>
      <c r="E201" s="192" t="s">
        <v>262</v>
      </c>
      <c r="F201" s="194" t="s">
        <v>191</v>
      </c>
    </row>
    <row r="202">
      <c r="A202" s="192" t="s">
        <v>133</v>
      </c>
      <c r="B202" s="193">
        <v>45365.70833333333</v>
      </c>
      <c r="C202" s="192">
        <v>154.68</v>
      </c>
      <c r="E202" s="192" t="s">
        <v>262</v>
      </c>
      <c r="F202" s="194" t="s">
        <v>191</v>
      </c>
    </row>
    <row r="203">
      <c r="A203" s="192" t="s">
        <v>133</v>
      </c>
      <c r="B203" s="193">
        <v>45572.70833333333</v>
      </c>
      <c r="C203" s="192">
        <v>195.27</v>
      </c>
      <c r="E203" s="192" t="s">
        <v>262</v>
      </c>
      <c r="F203" s="194" t="s">
        <v>191</v>
      </c>
    </row>
    <row r="204">
      <c r="A204" s="192" t="s">
        <v>133</v>
      </c>
      <c r="B204" s="193">
        <v>45325.66666666667</v>
      </c>
      <c r="C204" s="192">
        <v>201.0</v>
      </c>
      <c r="E204" s="192" t="s">
        <v>262</v>
      </c>
      <c r="F204" s="194" t="s">
        <v>191</v>
      </c>
    </row>
    <row r="205">
      <c r="A205" s="192" t="s">
        <v>133</v>
      </c>
      <c r="B205" s="193">
        <v>45289.66666666667</v>
      </c>
      <c r="C205" s="192">
        <v>221.94</v>
      </c>
      <c r="E205" s="192" t="s">
        <v>262</v>
      </c>
      <c r="F205" s="194" t="s">
        <v>191</v>
      </c>
    </row>
    <row r="206">
      <c r="A206" s="192" t="s">
        <v>133</v>
      </c>
      <c r="B206" s="193">
        <v>45306.66666666667</v>
      </c>
      <c r="C206" s="192">
        <v>222.66</v>
      </c>
      <c r="E206" s="192" t="s">
        <v>262</v>
      </c>
      <c r="F206" s="194" t="s">
        <v>191</v>
      </c>
    </row>
    <row r="207">
      <c r="A207" s="192" t="s">
        <v>133</v>
      </c>
      <c r="B207" s="193">
        <v>45299.66666666667</v>
      </c>
      <c r="C207" s="192">
        <v>280.68</v>
      </c>
      <c r="E207" s="192" t="s">
        <v>262</v>
      </c>
      <c r="F207" s="194" t="s">
        <v>191</v>
      </c>
    </row>
    <row r="208">
      <c r="A208" s="192" t="s">
        <v>133</v>
      </c>
      <c r="B208" s="193">
        <v>45263.66666666667</v>
      </c>
      <c r="C208" s="192">
        <v>290.0</v>
      </c>
      <c r="E208" s="192" t="s">
        <v>262</v>
      </c>
      <c r="F208" s="194" t="s">
        <v>191</v>
      </c>
    </row>
    <row r="209">
      <c r="A209" s="192" t="s">
        <v>133</v>
      </c>
      <c r="B209" s="193">
        <v>45252.66666666667</v>
      </c>
      <c r="C209" s="192">
        <v>291.43</v>
      </c>
      <c r="E209" s="192" t="s">
        <v>262</v>
      </c>
      <c r="F209" s="194" t="s">
        <v>191</v>
      </c>
    </row>
    <row r="210">
      <c r="A210" s="192" t="s">
        <v>133</v>
      </c>
      <c r="B210" s="193">
        <v>45313.66666666667</v>
      </c>
      <c r="C210" s="192">
        <v>381.68</v>
      </c>
      <c r="E210" s="192" t="s">
        <v>262</v>
      </c>
      <c r="F210" s="194" t="s">
        <v>191</v>
      </c>
    </row>
    <row r="211">
      <c r="A211" s="192" t="s">
        <v>133</v>
      </c>
      <c r="B211" s="193">
        <v>45392.70833333333</v>
      </c>
      <c r="C211" s="192">
        <v>416.3</v>
      </c>
      <c r="E211" s="192" t="s">
        <v>262</v>
      </c>
      <c r="F211" s="194" t="s">
        <v>191</v>
      </c>
    </row>
    <row r="212">
      <c r="A212" s="192" t="s">
        <v>133</v>
      </c>
      <c r="B212" s="193">
        <v>45242.66666666667</v>
      </c>
      <c r="C212" s="192">
        <v>458.21</v>
      </c>
      <c r="E212" s="192" t="s">
        <v>262</v>
      </c>
      <c r="F212" s="194" t="s">
        <v>191</v>
      </c>
    </row>
    <row r="213">
      <c r="A213" s="192" t="s">
        <v>133</v>
      </c>
      <c r="B213" s="193">
        <v>45557.70833333333</v>
      </c>
      <c r="C213" s="192">
        <v>471.15</v>
      </c>
      <c r="E213" s="192" t="s">
        <v>262</v>
      </c>
      <c r="F213" s="194" t="s">
        <v>191</v>
      </c>
    </row>
    <row r="214">
      <c r="A214" s="192" t="s">
        <v>133</v>
      </c>
      <c r="B214" s="193">
        <v>45320.66666666667</v>
      </c>
      <c r="C214" s="192">
        <v>650.81</v>
      </c>
      <c r="E214" s="192" t="s">
        <v>262</v>
      </c>
      <c r="F214" s="194" t="s">
        <v>191</v>
      </c>
    </row>
    <row r="215">
      <c r="A215" s="192" t="s">
        <v>133</v>
      </c>
      <c r="B215" s="193">
        <v>45331.66666666667</v>
      </c>
      <c r="C215" s="192">
        <v>814.16</v>
      </c>
      <c r="E215" s="192" t="s">
        <v>262</v>
      </c>
      <c r="F215" s="194" t="s">
        <v>191</v>
      </c>
    </row>
    <row r="216">
      <c r="A216" s="192" t="s">
        <v>133</v>
      </c>
      <c r="B216" s="193">
        <v>45274.66666666667</v>
      </c>
      <c r="C216" s="192">
        <v>1122.29</v>
      </c>
      <c r="E216" s="192" t="s">
        <v>262</v>
      </c>
      <c r="F216" s="194" t="s">
        <v>191</v>
      </c>
    </row>
    <row r="217">
      <c r="A217" s="192" t="s">
        <v>133</v>
      </c>
      <c r="B217" s="193">
        <v>45335.66666666667</v>
      </c>
      <c r="C217" s="192">
        <v>2108.36</v>
      </c>
      <c r="E217" s="192" t="s">
        <v>262</v>
      </c>
      <c r="F217" s="194" t="s">
        <v>191</v>
      </c>
    </row>
    <row r="218">
      <c r="A218" s="192" t="s">
        <v>107</v>
      </c>
      <c r="B218" s="193">
        <v>45405.70833333333</v>
      </c>
      <c r="C218" s="192">
        <v>-52.62</v>
      </c>
      <c r="D218" s="192" t="s">
        <v>264</v>
      </c>
      <c r="E218" s="192" t="s">
        <v>265</v>
      </c>
      <c r="F218" s="194" t="s">
        <v>266</v>
      </c>
    </row>
    <row r="219">
      <c r="A219" s="192" t="s">
        <v>107</v>
      </c>
      <c r="B219" s="193">
        <v>45593.70833333333</v>
      </c>
      <c r="C219" s="192">
        <v>-23.0</v>
      </c>
      <c r="D219" s="192" t="s">
        <v>267</v>
      </c>
      <c r="E219" s="192" t="s">
        <v>268</v>
      </c>
      <c r="F219" s="194" t="s">
        <v>266</v>
      </c>
    </row>
    <row r="220">
      <c r="A220" s="192" t="s">
        <v>107</v>
      </c>
      <c r="B220" s="193">
        <v>45326.66666666667</v>
      </c>
      <c r="C220" s="192">
        <v>-18.0</v>
      </c>
      <c r="D220" s="192" t="s">
        <v>269</v>
      </c>
      <c r="E220" s="192" t="s">
        <v>270</v>
      </c>
      <c r="F220" s="194" t="s">
        <v>266</v>
      </c>
    </row>
    <row r="221">
      <c r="A221" s="192" t="s">
        <v>107</v>
      </c>
      <c r="B221" s="193">
        <v>45578.70833333333</v>
      </c>
      <c r="C221" s="192">
        <v>-1.0</v>
      </c>
      <c r="D221" s="192" t="s">
        <v>271</v>
      </c>
      <c r="E221" s="192" t="s">
        <v>272</v>
      </c>
      <c r="F221" s="194" t="s">
        <v>266</v>
      </c>
    </row>
    <row r="222">
      <c r="A222" s="192" t="s">
        <v>123</v>
      </c>
      <c r="B222" s="193">
        <v>45571.70833333333</v>
      </c>
      <c r="C222" s="192">
        <v>-50.0</v>
      </c>
      <c r="D222" s="192" t="s">
        <v>273</v>
      </c>
      <c r="E222" s="192" t="s">
        <v>274</v>
      </c>
      <c r="F222" s="194" t="s">
        <v>266</v>
      </c>
    </row>
    <row r="223">
      <c r="A223" s="192" t="s">
        <v>123</v>
      </c>
      <c r="B223" s="193">
        <v>45309.66666666667</v>
      </c>
      <c r="C223" s="192">
        <v>-32.41</v>
      </c>
      <c r="D223" s="192" t="s">
        <v>275</v>
      </c>
      <c r="E223" s="192" t="s">
        <v>276</v>
      </c>
      <c r="F223" s="194" t="s">
        <v>266</v>
      </c>
    </row>
    <row r="224">
      <c r="A224" s="192" t="s">
        <v>123</v>
      </c>
      <c r="B224" s="193">
        <v>45237.66666666667</v>
      </c>
      <c r="C224" s="192">
        <v>-10.0</v>
      </c>
      <c r="D224" s="192" t="s">
        <v>273</v>
      </c>
      <c r="E224" s="192" t="s">
        <v>274</v>
      </c>
      <c r="F224" s="194" t="s">
        <v>266</v>
      </c>
    </row>
    <row r="225">
      <c r="A225" s="192" t="s">
        <v>123</v>
      </c>
      <c r="B225" s="193">
        <v>45308.66666666667</v>
      </c>
      <c r="C225" s="192">
        <v>-10.0</v>
      </c>
      <c r="D225" s="192" t="s">
        <v>273</v>
      </c>
      <c r="E225" s="192" t="s">
        <v>274</v>
      </c>
      <c r="F225" s="194" t="s">
        <v>266</v>
      </c>
    </row>
    <row r="226">
      <c r="A226" s="192" t="s">
        <v>123</v>
      </c>
      <c r="B226" s="193">
        <v>45313.66666666667</v>
      </c>
      <c r="C226" s="192">
        <v>-5.0</v>
      </c>
      <c r="D226" s="192" t="s">
        <v>273</v>
      </c>
      <c r="E226" s="192" t="s">
        <v>274</v>
      </c>
      <c r="F226" s="194" t="s">
        <v>266</v>
      </c>
    </row>
    <row r="227">
      <c r="A227" s="192" t="s">
        <v>158</v>
      </c>
      <c r="B227" s="193">
        <v>45369.70833333333</v>
      </c>
      <c r="C227" s="192">
        <v>-616.72</v>
      </c>
      <c r="E227" s="192" t="s">
        <v>277</v>
      </c>
      <c r="F227" s="194" t="s">
        <v>278</v>
      </c>
    </row>
    <row r="228">
      <c r="A228" s="192" t="s">
        <v>158</v>
      </c>
      <c r="B228" s="193">
        <v>45361.70833333333</v>
      </c>
      <c r="C228" s="192">
        <v>-395.0</v>
      </c>
      <c r="E228" s="192" t="s">
        <v>279</v>
      </c>
      <c r="F228" s="194" t="s">
        <v>278</v>
      </c>
    </row>
    <row r="229">
      <c r="A229" s="192" t="s">
        <v>158</v>
      </c>
      <c r="B229" s="193">
        <v>45469.70833333333</v>
      </c>
      <c r="C229" s="192">
        <v>-319.09</v>
      </c>
      <c r="E229" s="192" t="s">
        <v>280</v>
      </c>
      <c r="F229" s="194" t="s">
        <v>278</v>
      </c>
    </row>
    <row r="230">
      <c r="A230" s="192" t="s">
        <v>158</v>
      </c>
      <c r="B230" s="193">
        <v>45315.66666666667</v>
      </c>
      <c r="C230" s="192">
        <v>-220.0</v>
      </c>
      <c r="E230" s="192" t="s">
        <v>281</v>
      </c>
      <c r="F230" s="194" t="s">
        <v>278</v>
      </c>
    </row>
    <row r="231">
      <c r="A231" s="192" t="s">
        <v>158</v>
      </c>
      <c r="B231" s="193">
        <v>45307.66666666667</v>
      </c>
      <c r="C231" s="192">
        <v>-215.0</v>
      </c>
      <c r="E231" s="192" t="s">
        <v>282</v>
      </c>
      <c r="F231" s="194" t="s">
        <v>278</v>
      </c>
    </row>
    <row r="232">
      <c r="A232" s="192" t="s">
        <v>158</v>
      </c>
      <c r="B232" s="193">
        <v>45529.70833333333</v>
      </c>
      <c r="C232" s="192">
        <v>-200.0</v>
      </c>
      <c r="E232" s="192" t="s">
        <v>283</v>
      </c>
      <c r="F232" s="194" t="s">
        <v>278</v>
      </c>
    </row>
    <row r="233">
      <c r="A233" s="192" t="s">
        <v>158</v>
      </c>
      <c r="B233" s="193">
        <v>45428.70833333333</v>
      </c>
      <c r="C233" s="192">
        <v>-185.33</v>
      </c>
      <c r="E233" s="192" t="s">
        <v>284</v>
      </c>
      <c r="F233" s="194" t="s">
        <v>278</v>
      </c>
    </row>
    <row r="234">
      <c r="A234" s="192" t="s">
        <v>158</v>
      </c>
      <c r="B234" s="193">
        <v>45335.66666666667</v>
      </c>
      <c r="C234" s="192">
        <v>-157.5</v>
      </c>
      <c r="E234" s="192" t="s">
        <v>285</v>
      </c>
      <c r="F234" s="194" t="s">
        <v>278</v>
      </c>
    </row>
    <row r="235">
      <c r="A235" s="192" t="s">
        <v>158</v>
      </c>
      <c r="B235" s="193">
        <v>45425.70833333333</v>
      </c>
      <c r="C235" s="192">
        <v>-126.42</v>
      </c>
      <c r="E235" s="192" t="s">
        <v>286</v>
      </c>
      <c r="F235" s="194" t="s">
        <v>278</v>
      </c>
    </row>
    <row r="236">
      <c r="A236" s="192" t="s">
        <v>158</v>
      </c>
      <c r="B236" s="193">
        <v>45538.70833333333</v>
      </c>
      <c r="C236" s="192">
        <v>-54.0</v>
      </c>
      <c r="E236" s="192" t="s">
        <v>287</v>
      </c>
      <c r="F236" s="194" t="s">
        <v>278</v>
      </c>
    </row>
    <row r="237">
      <c r="A237" s="192" t="s">
        <v>221</v>
      </c>
      <c r="B237" s="193">
        <v>45593.70833333333</v>
      </c>
      <c r="C237" s="192">
        <v>-300.0</v>
      </c>
      <c r="E237" s="192" t="s">
        <v>288</v>
      </c>
      <c r="F237" s="194" t="s">
        <v>278</v>
      </c>
    </row>
    <row r="238">
      <c r="A238" s="192" t="s">
        <v>107</v>
      </c>
      <c r="B238" s="193">
        <v>45570.70833333333</v>
      </c>
      <c r="C238" s="192">
        <v>-93.68</v>
      </c>
      <c r="D238" s="192" t="s">
        <v>289</v>
      </c>
      <c r="E238" s="192" t="s">
        <v>290</v>
      </c>
      <c r="F238" s="194" t="s">
        <v>291</v>
      </c>
    </row>
    <row r="239">
      <c r="A239" s="192" t="s">
        <v>107</v>
      </c>
      <c r="B239" s="193">
        <v>45584.70833333333</v>
      </c>
      <c r="C239" s="192">
        <v>-70.2</v>
      </c>
      <c r="D239" s="192" t="s">
        <v>289</v>
      </c>
      <c r="E239" s="192" t="s">
        <v>292</v>
      </c>
      <c r="F239" s="194" t="s">
        <v>291</v>
      </c>
    </row>
    <row r="240">
      <c r="A240" s="192" t="s">
        <v>107</v>
      </c>
      <c r="B240" s="193">
        <v>45287.66666666667</v>
      </c>
      <c r="C240" s="192">
        <v>-36.0</v>
      </c>
      <c r="D240" s="192" t="s">
        <v>293</v>
      </c>
      <c r="E240" s="192" t="s">
        <v>294</v>
      </c>
      <c r="F240" s="194" t="s">
        <v>291</v>
      </c>
    </row>
    <row r="241">
      <c r="A241" s="192" t="s">
        <v>107</v>
      </c>
      <c r="B241" s="193">
        <v>45450.70833333333</v>
      </c>
      <c r="C241" s="192">
        <v>-12.76</v>
      </c>
      <c r="D241" s="192" t="s">
        <v>295</v>
      </c>
      <c r="E241" s="192" t="s">
        <v>296</v>
      </c>
      <c r="F241" s="194" t="s">
        <v>291</v>
      </c>
    </row>
    <row r="242">
      <c r="A242" s="192" t="s">
        <v>123</v>
      </c>
      <c r="B242" s="193">
        <v>45498.70833333333</v>
      </c>
      <c r="C242" s="192">
        <v>-545.55</v>
      </c>
      <c r="D242" s="192" t="s">
        <v>297</v>
      </c>
      <c r="E242" s="192" t="s">
        <v>298</v>
      </c>
      <c r="F242" s="194" t="s">
        <v>291</v>
      </c>
    </row>
    <row r="243">
      <c r="A243" s="192" t="s">
        <v>123</v>
      </c>
      <c r="B243" s="193">
        <v>45525.70833333333</v>
      </c>
      <c r="C243" s="192">
        <v>-377.23</v>
      </c>
      <c r="D243" s="192" t="s">
        <v>299</v>
      </c>
      <c r="E243" s="192" t="s">
        <v>300</v>
      </c>
      <c r="F243" s="194" t="s">
        <v>291</v>
      </c>
    </row>
    <row r="244">
      <c r="A244" s="192" t="s">
        <v>123</v>
      </c>
      <c r="B244" s="193">
        <v>45508.70833333333</v>
      </c>
      <c r="C244" s="192">
        <v>-199.94</v>
      </c>
      <c r="D244" s="192" t="s">
        <v>297</v>
      </c>
      <c r="E244" s="192" t="s">
        <v>298</v>
      </c>
      <c r="F244" s="194" t="s">
        <v>291</v>
      </c>
    </row>
    <row r="245">
      <c r="A245" s="192" t="s">
        <v>123</v>
      </c>
      <c r="B245" s="193">
        <v>45519.70833333333</v>
      </c>
      <c r="C245" s="192">
        <v>-191.43</v>
      </c>
      <c r="D245" s="192" t="s">
        <v>297</v>
      </c>
      <c r="E245" s="192" t="s">
        <v>298</v>
      </c>
      <c r="F245" s="194" t="s">
        <v>291</v>
      </c>
    </row>
    <row r="246">
      <c r="A246" s="192" t="s">
        <v>123</v>
      </c>
      <c r="B246" s="193">
        <v>45532.70833333333</v>
      </c>
      <c r="C246" s="192">
        <v>-137.72</v>
      </c>
      <c r="D246" s="192" t="s">
        <v>299</v>
      </c>
      <c r="E246" s="192" t="s">
        <v>300</v>
      </c>
      <c r="F246" s="194" t="s">
        <v>291</v>
      </c>
    </row>
    <row r="247">
      <c r="A247" s="192" t="s">
        <v>123</v>
      </c>
      <c r="B247" s="193">
        <v>45386.70833333333</v>
      </c>
      <c r="C247" s="192">
        <v>-106.23</v>
      </c>
      <c r="D247" s="192" t="s">
        <v>301</v>
      </c>
      <c r="E247" s="192" t="s">
        <v>302</v>
      </c>
      <c r="F247" s="194" t="s">
        <v>291</v>
      </c>
    </row>
    <row r="248">
      <c r="A248" s="192" t="s">
        <v>123</v>
      </c>
      <c r="B248" s="193">
        <v>45394.70833333333</v>
      </c>
      <c r="C248" s="192">
        <v>-9.0</v>
      </c>
      <c r="D248" s="192" t="s">
        <v>303</v>
      </c>
      <c r="E248" s="192" t="s">
        <v>304</v>
      </c>
      <c r="F248" s="194" t="s">
        <v>291</v>
      </c>
    </row>
    <row r="249">
      <c r="A249" s="192" t="s">
        <v>123</v>
      </c>
      <c r="B249" s="193">
        <v>45393.70833333333</v>
      </c>
      <c r="C249" s="192">
        <v>106.23</v>
      </c>
      <c r="E249" s="192" t="s">
        <v>302</v>
      </c>
      <c r="F249" s="194" t="s">
        <v>291</v>
      </c>
    </row>
    <row r="250">
      <c r="A250" s="192" t="s">
        <v>123</v>
      </c>
      <c r="B250" s="193">
        <v>45542.70833333333</v>
      </c>
      <c r="C250" s="192">
        <v>130.22</v>
      </c>
      <c r="D250" s="192" t="s">
        <v>299</v>
      </c>
      <c r="E250" s="192" t="s">
        <v>300</v>
      </c>
      <c r="F250" s="194" t="s">
        <v>291</v>
      </c>
    </row>
    <row r="251">
      <c r="A251" s="192" t="s">
        <v>123</v>
      </c>
      <c r="B251" s="193">
        <v>45529.70833333333</v>
      </c>
      <c r="C251" s="192">
        <v>191.43</v>
      </c>
      <c r="E251" s="192" t="s">
        <v>298</v>
      </c>
      <c r="F251" s="194" t="s">
        <v>291</v>
      </c>
    </row>
    <row r="252">
      <c r="A252" s="192" t="s">
        <v>123</v>
      </c>
      <c r="B252" s="193">
        <v>45529.70833333333</v>
      </c>
      <c r="C252" s="192">
        <v>199.94</v>
      </c>
      <c r="E252" s="192" t="s">
        <v>298</v>
      </c>
      <c r="F252" s="194" t="s">
        <v>291</v>
      </c>
    </row>
    <row r="253">
      <c r="A253" s="192" t="s">
        <v>123</v>
      </c>
      <c r="B253" s="193">
        <v>45535.70833333333</v>
      </c>
      <c r="C253" s="192">
        <v>369.73</v>
      </c>
      <c r="D253" s="192" t="s">
        <v>299</v>
      </c>
      <c r="E253" s="192" t="s">
        <v>300</v>
      </c>
      <c r="F253" s="194" t="s">
        <v>291</v>
      </c>
    </row>
    <row r="254">
      <c r="A254" s="192" t="s">
        <v>123</v>
      </c>
      <c r="B254" s="193">
        <v>45514.70833333333</v>
      </c>
      <c r="C254" s="192">
        <v>510.48</v>
      </c>
      <c r="E254" s="192" t="s">
        <v>298</v>
      </c>
      <c r="F254" s="194" t="s">
        <v>291</v>
      </c>
    </row>
    <row r="255">
      <c r="A255" s="192" t="s">
        <v>133</v>
      </c>
      <c r="B255" s="193">
        <v>45263.66666666667</v>
      </c>
      <c r="C255" s="192">
        <v>-111.64</v>
      </c>
      <c r="D255" s="192" t="s">
        <v>305</v>
      </c>
      <c r="E255" s="192" t="s">
        <v>306</v>
      </c>
      <c r="F255" s="194" t="s">
        <v>291</v>
      </c>
    </row>
    <row r="256">
      <c r="A256" s="192" t="s">
        <v>133</v>
      </c>
      <c r="B256" s="193">
        <v>45295.66666666667</v>
      </c>
      <c r="C256" s="192">
        <v>-51.02</v>
      </c>
      <c r="D256" s="192" t="s">
        <v>307</v>
      </c>
      <c r="E256" s="192" t="s">
        <v>308</v>
      </c>
      <c r="F256" s="194" t="s">
        <v>291</v>
      </c>
    </row>
    <row r="257">
      <c r="A257" s="192" t="s">
        <v>133</v>
      </c>
      <c r="B257" s="193">
        <v>45247.66666666667</v>
      </c>
      <c r="C257" s="192">
        <v>-39.24</v>
      </c>
      <c r="D257" s="192" t="s">
        <v>309</v>
      </c>
      <c r="E257" s="192" t="s">
        <v>310</v>
      </c>
      <c r="F257" s="194" t="s">
        <v>291</v>
      </c>
    </row>
    <row r="258">
      <c r="A258" s="192" t="s">
        <v>133</v>
      </c>
      <c r="B258" s="193">
        <v>45295.66666666667</v>
      </c>
      <c r="C258" s="192">
        <v>-31.88</v>
      </c>
      <c r="D258" s="192" t="s">
        <v>307</v>
      </c>
      <c r="E258" s="192" t="s">
        <v>308</v>
      </c>
      <c r="F258" s="194" t="s">
        <v>291</v>
      </c>
    </row>
    <row r="259">
      <c r="A259" s="192" t="s">
        <v>133</v>
      </c>
      <c r="B259" s="193">
        <v>45295.66666666667</v>
      </c>
      <c r="C259" s="192">
        <v>-22.31</v>
      </c>
      <c r="D259" s="192" t="s">
        <v>307</v>
      </c>
      <c r="E259" s="192" t="s">
        <v>308</v>
      </c>
      <c r="F259" s="194" t="s">
        <v>291</v>
      </c>
    </row>
    <row r="260">
      <c r="A260" s="192" t="s">
        <v>133</v>
      </c>
      <c r="B260" s="193">
        <v>45282.66666666667</v>
      </c>
      <c r="C260" s="192">
        <v>-6.89</v>
      </c>
      <c r="D260" s="192" t="s">
        <v>307</v>
      </c>
      <c r="E260" s="192" t="s">
        <v>308</v>
      </c>
      <c r="F260" s="194" t="s">
        <v>291</v>
      </c>
    </row>
    <row r="261">
      <c r="A261" s="192" t="s">
        <v>107</v>
      </c>
      <c r="B261" s="193">
        <v>45313.66666666667</v>
      </c>
      <c r="C261" s="192">
        <v>-101.98</v>
      </c>
      <c r="D261" s="192" t="s">
        <v>311</v>
      </c>
      <c r="E261" s="192" t="s">
        <v>312</v>
      </c>
      <c r="F261" s="194" t="s">
        <v>313</v>
      </c>
    </row>
    <row r="262">
      <c r="A262" s="192" t="s">
        <v>107</v>
      </c>
      <c r="B262" s="193">
        <v>45267.66666666667</v>
      </c>
      <c r="C262" s="192">
        <v>-3.0</v>
      </c>
      <c r="D262" s="192" t="s">
        <v>314</v>
      </c>
      <c r="E262" s="192" t="s">
        <v>315</v>
      </c>
      <c r="F262" s="194" t="s">
        <v>313</v>
      </c>
    </row>
    <row r="263">
      <c r="A263" s="192" t="s">
        <v>107</v>
      </c>
      <c r="B263" s="193">
        <v>45345.66666666667</v>
      </c>
      <c r="C263" s="192">
        <v>-3.0</v>
      </c>
      <c r="D263" s="192" t="s">
        <v>314</v>
      </c>
      <c r="E263" s="192" t="s">
        <v>315</v>
      </c>
      <c r="F263" s="194" t="s">
        <v>313</v>
      </c>
    </row>
    <row r="264">
      <c r="A264" s="192" t="s">
        <v>107</v>
      </c>
      <c r="B264" s="193">
        <v>45394.70833333333</v>
      </c>
      <c r="C264" s="192">
        <v>-2.5</v>
      </c>
      <c r="D264" s="192" t="s">
        <v>316</v>
      </c>
      <c r="E264" s="192" t="s">
        <v>317</v>
      </c>
      <c r="F264" s="194" t="s">
        <v>313</v>
      </c>
    </row>
    <row r="265">
      <c r="A265" s="192" t="s">
        <v>107</v>
      </c>
      <c r="B265" s="193">
        <v>45499.70833333333</v>
      </c>
      <c r="C265" s="192">
        <v>-2.5</v>
      </c>
      <c r="D265" s="192" t="s">
        <v>316</v>
      </c>
      <c r="E265" s="192" t="s">
        <v>318</v>
      </c>
      <c r="F265" s="194" t="s">
        <v>313</v>
      </c>
    </row>
    <row r="266">
      <c r="A266" s="192" t="s">
        <v>107</v>
      </c>
      <c r="B266" s="193">
        <v>45274.66666666667</v>
      </c>
      <c r="C266" s="192">
        <v>-1.0</v>
      </c>
      <c r="D266" s="192" t="s">
        <v>316</v>
      </c>
      <c r="E266" s="192" t="s">
        <v>319</v>
      </c>
      <c r="F266" s="194" t="s">
        <v>313</v>
      </c>
    </row>
    <row r="267">
      <c r="A267" s="192" t="s">
        <v>107</v>
      </c>
      <c r="B267" s="193">
        <v>45373.70833333333</v>
      </c>
      <c r="C267" s="192">
        <v>-1.0</v>
      </c>
      <c r="D267" s="192" t="s">
        <v>314</v>
      </c>
      <c r="E267" s="192" t="s">
        <v>315</v>
      </c>
      <c r="F267" s="194" t="s">
        <v>313</v>
      </c>
    </row>
    <row r="268">
      <c r="A268" s="192" t="s">
        <v>107</v>
      </c>
      <c r="B268" s="193">
        <v>45512.70833333333</v>
      </c>
      <c r="C268" s="192">
        <v>-1.0</v>
      </c>
      <c r="D268" s="192" t="s">
        <v>316</v>
      </c>
      <c r="E268" s="192" t="s">
        <v>317</v>
      </c>
      <c r="F268" s="194" t="s">
        <v>313</v>
      </c>
    </row>
    <row r="269">
      <c r="A269" s="192" t="s">
        <v>123</v>
      </c>
      <c r="B269" s="193">
        <v>45384.70833333333</v>
      </c>
      <c r="C269" s="192">
        <v>-25.5</v>
      </c>
      <c r="D269" s="192" t="s">
        <v>320</v>
      </c>
      <c r="E269" s="192" t="s">
        <v>321</v>
      </c>
      <c r="F269" s="194" t="s">
        <v>313</v>
      </c>
    </row>
    <row r="270">
      <c r="A270" s="192" t="s">
        <v>123</v>
      </c>
      <c r="B270" s="193">
        <v>45422.70833333333</v>
      </c>
      <c r="C270" s="192">
        <v>-25.5</v>
      </c>
      <c r="D270" s="192" t="s">
        <v>320</v>
      </c>
      <c r="E270" s="192" t="s">
        <v>321</v>
      </c>
      <c r="F270" s="194" t="s">
        <v>313</v>
      </c>
    </row>
    <row r="271">
      <c r="A271" s="192" t="s">
        <v>123</v>
      </c>
      <c r="B271" s="193">
        <v>45357.66666666667</v>
      </c>
      <c r="C271" s="192">
        <v>-6.35</v>
      </c>
      <c r="D271" s="192" t="s">
        <v>316</v>
      </c>
      <c r="E271" s="192" t="s">
        <v>322</v>
      </c>
      <c r="F271" s="194" t="s">
        <v>313</v>
      </c>
    </row>
    <row r="272">
      <c r="A272" s="192" t="s">
        <v>123</v>
      </c>
      <c r="B272" s="193">
        <v>45344.66666666667</v>
      </c>
      <c r="C272" s="192">
        <v>-5.5</v>
      </c>
      <c r="D272" s="192" t="s">
        <v>316</v>
      </c>
      <c r="E272" s="192" t="s">
        <v>323</v>
      </c>
      <c r="F272" s="194" t="s">
        <v>313</v>
      </c>
    </row>
    <row r="273">
      <c r="A273" s="192" t="s">
        <v>123</v>
      </c>
      <c r="B273" s="193">
        <v>45482.70833333333</v>
      </c>
      <c r="C273" s="192">
        <v>-4.85</v>
      </c>
      <c r="D273" s="192" t="s">
        <v>316</v>
      </c>
      <c r="E273" s="192" t="s">
        <v>324</v>
      </c>
      <c r="F273" s="194" t="s">
        <v>313</v>
      </c>
    </row>
    <row r="274">
      <c r="A274" s="192" t="s">
        <v>123</v>
      </c>
      <c r="B274" s="193">
        <v>45344.66666666667</v>
      </c>
      <c r="C274" s="192">
        <v>-3.35</v>
      </c>
      <c r="D274" s="192" t="s">
        <v>316</v>
      </c>
      <c r="E274" s="192" t="s">
        <v>323</v>
      </c>
      <c r="F274" s="194" t="s">
        <v>313</v>
      </c>
    </row>
    <row r="275">
      <c r="A275" s="192" t="s">
        <v>123</v>
      </c>
      <c r="B275" s="193">
        <v>45443.70833333333</v>
      </c>
      <c r="C275" s="192">
        <v>-3.35</v>
      </c>
      <c r="D275" s="192" t="s">
        <v>316</v>
      </c>
      <c r="E275" s="192" t="s">
        <v>322</v>
      </c>
      <c r="F275" s="194" t="s">
        <v>313</v>
      </c>
    </row>
    <row r="276">
      <c r="A276" s="192" t="s">
        <v>123</v>
      </c>
      <c r="B276" s="193">
        <v>45394.70833333333</v>
      </c>
      <c r="C276" s="192">
        <v>-3.0</v>
      </c>
      <c r="D276" s="192" t="s">
        <v>314</v>
      </c>
      <c r="E276" s="192" t="s">
        <v>325</v>
      </c>
      <c r="F276" s="194" t="s">
        <v>313</v>
      </c>
    </row>
    <row r="277">
      <c r="A277" s="192" t="s">
        <v>123</v>
      </c>
      <c r="B277" s="193">
        <v>45472.70833333333</v>
      </c>
      <c r="C277" s="192">
        <v>-3.0</v>
      </c>
      <c r="D277" s="192" t="s">
        <v>314</v>
      </c>
      <c r="E277" s="192" t="s">
        <v>325</v>
      </c>
      <c r="F277" s="194" t="s">
        <v>313</v>
      </c>
    </row>
    <row r="278">
      <c r="A278" s="192" t="s">
        <v>123</v>
      </c>
      <c r="B278" s="193">
        <v>45478.70833333333</v>
      </c>
      <c r="C278" s="192">
        <v>-3.0</v>
      </c>
      <c r="D278" s="192" t="s">
        <v>314</v>
      </c>
      <c r="E278" s="192" t="s">
        <v>325</v>
      </c>
      <c r="F278" s="194" t="s">
        <v>313</v>
      </c>
    </row>
    <row r="279">
      <c r="A279" s="192" t="s">
        <v>123</v>
      </c>
      <c r="B279" s="193">
        <v>45317.66666666667</v>
      </c>
      <c r="C279" s="192">
        <v>-2.9</v>
      </c>
      <c r="D279" s="192" t="s">
        <v>311</v>
      </c>
      <c r="E279" s="192" t="s">
        <v>326</v>
      </c>
      <c r="F279" s="194" t="s">
        <v>313</v>
      </c>
    </row>
    <row r="280">
      <c r="A280" s="192" t="s">
        <v>123</v>
      </c>
      <c r="B280" s="193">
        <v>45287.66666666667</v>
      </c>
      <c r="C280" s="192">
        <v>-2.5</v>
      </c>
      <c r="D280" s="192" t="s">
        <v>327</v>
      </c>
      <c r="E280" s="192" t="s">
        <v>328</v>
      </c>
      <c r="F280" s="194" t="s">
        <v>313</v>
      </c>
    </row>
    <row r="281">
      <c r="A281" s="192" t="s">
        <v>123</v>
      </c>
      <c r="B281" s="193">
        <v>45567.70833333333</v>
      </c>
      <c r="C281" s="192">
        <v>-1.41</v>
      </c>
      <c r="D281" s="192" t="s">
        <v>314</v>
      </c>
      <c r="E281" s="192" t="s">
        <v>325</v>
      </c>
      <c r="F281" s="194" t="s">
        <v>313</v>
      </c>
    </row>
    <row r="282">
      <c r="A282" s="192" t="s">
        <v>123</v>
      </c>
      <c r="B282" s="193">
        <v>45269.66666666667</v>
      </c>
      <c r="C282" s="192">
        <v>-1.35</v>
      </c>
      <c r="D282" s="192" t="s">
        <v>316</v>
      </c>
      <c r="E282" s="192" t="s">
        <v>329</v>
      </c>
      <c r="F282" s="194" t="s">
        <v>313</v>
      </c>
    </row>
    <row r="283">
      <c r="A283" s="192" t="s">
        <v>123</v>
      </c>
      <c r="B283" s="193">
        <v>45296.66666666667</v>
      </c>
      <c r="C283" s="192">
        <v>-1.35</v>
      </c>
      <c r="D283" s="192" t="s">
        <v>316</v>
      </c>
      <c r="E283" s="192" t="s">
        <v>330</v>
      </c>
      <c r="F283" s="194" t="s">
        <v>313</v>
      </c>
    </row>
    <row r="284">
      <c r="A284" s="192" t="s">
        <v>123</v>
      </c>
      <c r="B284" s="193">
        <v>45316.66666666667</v>
      </c>
      <c r="C284" s="192">
        <v>-1.35</v>
      </c>
      <c r="D284" s="192" t="s">
        <v>316</v>
      </c>
      <c r="E284" s="192" t="s">
        <v>330</v>
      </c>
      <c r="F284" s="194" t="s">
        <v>313</v>
      </c>
    </row>
    <row r="285">
      <c r="A285" s="192" t="s">
        <v>123</v>
      </c>
      <c r="B285" s="193">
        <v>45324.66666666667</v>
      </c>
      <c r="C285" s="192">
        <v>-1.35</v>
      </c>
      <c r="D285" s="192" t="s">
        <v>316</v>
      </c>
      <c r="E285" s="192" t="s">
        <v>331</v>
      </c>
      <c r="F285" s="194" t="s">
        <v>313</v>
      </c>
    </row>
    <row r="286">
      <c r="A286" s="192" t="s">
        <v>123</v>
      </c>
      <c r="B286" s="193">
        <v>45345.66666666667</v>
      </c>
      <c r="C286" s="192">
        <v>-1.35</v>
      </c>
      <c r="D286" s="192" t="s">
        <v>316</v>
      </c>
      <c r="E286" s="192" t="s">
        <v>331</v>
      </c>
      <c r="F286" s="194" t="s">
        <v>313</v>
      </c>
    </row>
    <row r="287">
      <c r="A287" s="192" t="s">
        <v>123</v>
      </c>
      <c r="B287" s="193">
        <v>45351.66666666667</v>
      </c>
      <c r="C287" s="192">
        <v>-1.35</v>
      </c>
      <c r="D287" s="192" t="s">
        <v>316</v>
      </c>
      <c r="E287" s="192" t="s">
        <v>331</v>
      </c>
      <c r="F287" s="194" t="s">
        <v>313</v>
      </c>
    </row>
    <row r="288">
      <c r="A288" s="192" t="s">
        <v>123</v>
      </c>
      <c r="B288" s="193">
        <v>45435.70833333333</v>
      </c>
      <c r="C288" s="192">
        <v>-1.35</v>
      </c>
      <c r="D288" s="192" t="s">
        <v>316</v>
      </c>
      <c r="E288" s="192" t="s">
        <v>331</v>
      </c>
      <c r="F288" s="194" t="s">
        <v>313</v>
      </c>
    </row>
    <row r="289">
      <c r="A289" s="192" t="s">
        <v>123</v>
      </c>
      <c r="B289" s="193">
        <v>45456.70833333333</v>
      </c>
      <c r="C289" s="192">
        <v>-1.35</v>
      </c>
      <c r="D289" s="192" t="s">
        <v>316</v>
      </c>
      <c r="E289" s="192" t="s">
        <v>324</v>
      </c>
      <c r="F289" s="194" t="s">
        <v>313</v>
      </c>
    </row>
    <row r="290">
      <c r="A290" s="192" t="s">
        <v>123</v>
      </c>
      <c r="B290" s="193">
        <v>45456.70833333333</v>
      </c>
      <c r="C290" s="192">
        <v>-1.35</v>
      </c>
      <c r="D290" s="192" t="s">
        <v>316</v>
      </c>
      <c r="E290" s="192" t="s">
        <v>332</v>
      </c>
      <c r="F290" s="194" t="s">
        <v>313</v>
      </c>
    </row>
    <row r="291">
      <c r="A291" s="192" t="s">
        <v>123</v>
      </c>
      <c r="B291" s="193">
        <v>45484.70833333333</v>
      </c>
      <c r="C291" s="192">
        <v>-1.35</v>
      </c>
      <c r="D291" s="192" t="s">
        <v>316</v>
      </c>
      <c r="E291" s="192" t="s">
        <v>324</v>
      </c>
      <c r="F291" s="194" t="s">
        <v>313</v>
      </c>
    </row>
    <row r="292">
      <c r="A292" s="192" t="s">
        <v>123</v>
      </c>
      <c r="B292" s="193">
        <v>45540.70833333333</v>
      </c>
      <c r="C292" s="192">
        <v>-1.35</v>
      </c>
      <c r="D292" s="192" t="s">
        <v>316</v>
      </c>
      <c r="E292" s="192" t="s">
        <v>332</v>
      </c>
      <c r="F292" s="194" t="s">
        <v>313</v>
      </c>
    </row>
    <row r="293">
      <c r="A293" s="192" t="s">
        <v>123</v>
      </c>
      <c r="B293" s="193">
        <v>45565.70833333333</v>
      </c>
      <c r="C293" s="192">
        <v>-1.35</v>
      </c>
      <c r="D293" s="192" t="s">
        <v>316</v>
      </c>
      <c r="E293" s="192" t="s">
        <v>324</v>
      </c>
      <c r="F293" s="194" t="s">
        <v>313</v>
      </c>
    </row>
    <row r="294">
      <c r="A294" s="192" t="s">
        <v>123</v>
      </c>
      <c r="B294" s="193">
        <v>45596.70833333333</v>
      </c>
      <c r="C294" s="192">
        <v>-1.35</v>
      </c>
      <c r="D294" s="192" t="s">
        <v>316</v>
      </c>
      <c r="E294" s="192" t="s">
        <v>331</v>
      </c>
      <c r="F294" s="194" t="s">
        <v>313</v>
      </c>
    </row>
    <row r="295">
      <c r="A295" s="192" t="s">
        <v>123</v>
      </c>
      <c r="B295" s="193">
        <v>45472.70833333333</v>
      </c>
      <c r="C295" s="192">
        <v>-0.95</v>
      </c>
      <c r="D295" s="192" t="s">
        <v>333</v>
      </c>
      <c r="E295" s="192" t="s">
        <v>334</v>
      </c>
      <c r="F295" s="194" t="s">
        <v>313</v>
      </c>
    </row>
    <row r="296">
      <c r="A296" s="192" t="s">
        <v>123</v>
      </c>
      <c r="B296" s="193">
        <v>45443.70833333333</v>
      </c>
      <c r="C296" s="192">
        <v>-0.6</v>
      </c>
      <c r="D296" s="192" t="s">
        <v>316</v>
      </c>
      <c r="E296" s="192" t="s">
        <v>322</v>
      </c>
      <c r="F296" s="194" t="s">
        <v>313</v>
      </c>
    </row>
    <row r="297">
      <c r="A297" s="192" t="s">
        <v>123</v>
      </c>
      <c r="B297" s="193">
        <v>45443.70833333333</v>
      </c>
      <c r="C297" s="192">
        <v>-0.6</v>
      </c>
      <c r="D297" s="192" t="s">
        <v>316</v>
      </c>
      <c r="E297" s="192" t="s">
        <v>322</v>
      </c>
      <c r="F297" s="194" t="s">
        <v>313</v>
      </c>
    </row>
    <row r="298">
      <c r="A298" s="192" t="s">
        <v>158</v>
      </c>
      <c r="B298" s="193">
        <v>45256.66666666667</v>
      </c>
      <c r="C298" s="192">
        <v>-25.0</v>
      </c>
      <c r="D298" s="192" t="s">
        <v>335</v>
      </c>
      <c r="E298" s="192" t="s">
        <v>336</v>
      </c>
      <c r="F298" s="194" t="s">
        <v>313</v>
      </c>
    </row>
    <row r="299">
      <c r="A299" s="192" t="s">
        <v>158</v>
      </c>
      <c r="B299" s="193">
        <v>45447.70833333333</v>
      </c>
      <c r="C299" s="192">
        <v>-25.0</v>
      </c>
      <c r="D299" s="192" t="s">
        <v>335</v>
      </c>
      <c r="E299" s="192" t="s">
        <v>337</v>
      </c>
      <c r="F299" s="194" t="s">
        <v>313</v>
      </c>
    </row>
    <row r="300">
      <c r="A300" s="192" t="s">
        <v>158</v>
      </c>
      <c r="B300" s="193">
        <v>45537.70833333333</v>
      </c>
      <c r="C300" s="192">
        <v>-8.0</v>
      </c>
      <c r="D300" s="192" t="s">
        <v>338</v>
      </c>
      <c r="E300" s="192" t="s">
        <v>339</v>
      </c>
      <c r="F300" s="194" t="s">
        <v>313</v>
      </c>
    </row>
    <row r="301">
      <c r="A301" s="192" t="s">
        <v>158</v>
      </c>
      <c r="B301" s="193">
        <v>45475.70833333333</v>
      </c>
      <c r="C301" s="192">
        <v>-7.0</v>
      </c>
      <c r="D301" s="192" t="s">
        <v>338</v>
      </c>
      <c r="E301" s="192" t="s">
        <v>340</v>
      </c>
      <c r="F301" s="194" t="s">
        <v>313</v>
      </c>
    </row>
    <row r="302">
      <c r="A302" s="192" t="s">
        <v>133</v>
      </c>
      <c r="B302" s="193">
        <v>45436.70833333333</v>
      </c>
      <c r="C302" s="192">
        <v>-23.0</v>
      </c>
      <c r="D302" s="192" t="s">
        <v>341</v>
      </c>
      <c r="E302" s="192" t="s">
        <v>342</v>
      </c>
      <c r="F302" s="194" t="s">
        <v>313</v>
      </c>
    </row>
    <row r="303">
      <c r="A303" s="192" t="s">
        <v>133</v>
      </c>
      <c r="B303" s="193">
        <v>45359.66666666667</v>
      </c>
      <c r="C303" s="192">
        <v>-3.0</v>
      </c>
      <c r="D303" s="192" t="s">
        <v>343</v>
      </c>
      <c r="E303" s="192" t="s">
        <v>344</v>
      </c>
      <c r="F303" s="194" t="s">
        <v>313</v>
      </c>
    </row>
    <row r="304">
      <c r="A304" s="192" t="s">
        <v>133</v>
      </c>
      <c r="B304" s="193">
        <v>45359.66666666667</v>
      </c>
      <c r="C304" s="192">
        <v>-3.0</v>
      </c>
      <c r="D304" s="192" t="s">
        <v>343</v>
      </c>
      <c r="E304" s="192" t="s">
        <v>344</v>
      </c>
      <c r="F304" s="194" t="s">
        <v>313</v>
      </c>
    </row>
    <row r="305">
      <c r="A305" s="192" t="s">
        <v>133</v>
      </c>
      <c r="B305" s="193">
        <v>45282.66666666667</v>
      </c>
      <c r="C305" s="192">
        <v>-1.75</v>
      </c>
      <c r="D305" s="192" t="s">
        <v>345</v>
      </c>
      <c r="E305" s="192" t="s">
        <v>346</v>
      </c>
      <c r="F305" s="194" t="s">
        <v>313</v>
      </c>
    </row>
    <row r="306">
      <c r="A306" s="192" t="s">
        <v>107</v>
      </c>
      <c r="B306" s="193">
        <v>45523.70833333333</v>
      </c>
      <c r="C306" s="192">
        <v>-2924.42</v>
      </c>
      <c r="D306" s="192" t="s">
        <v>347</v>
      </c>
      <c r="E306" s="192" t="s">
        <v>348</v>
      </c>
      <c r="F306" s="194" t="s">
        <v>349</v>
      </c>
    </row>
    <row r="307">
      <c r="A307" s="192" t="s">
        <v>107</v>
      </c>
      <c r="B307" s="193">
        <v>45571.70833333333</v>
      </c>
      <c r="C307" s="192">
        <v>-757.24</v>
      </c>
      <c r="D307" s="192" t="s">
        <v>347</v>
      </c>
      <c r="E307" s="192" t="s">
        <v>348</v>
      </c>
      <c r="F307" s="194" t="s">
        <v>349</v>
      </c>
    </row>
    <row r="308">
      <c r="A308" s="192" t="s">
        <v>107</v>
      </c>
      <c r="B308" s="193">
        <v>45420.70833333333</v>
      </c>
      <c r="C308" s="192">
        <v>-631.22</v>
      </c>
      <c r="D308" s="192" t="s">
        <v>350</v>
      </c>
      <c r="E308" s="192" t="s">
        <v>351</v>
      </c>
      <c r="F308" s="194" t="s">
        <v>349</v>
      </c>
    </row>
    <row r="309">
      <c r="A309" s="192" t="s">
        <v>107</v>
      </c>
      <c r="B309" s="193">
        <v>45502.70833333333</v>
      </c>
      <c r="C309" s="192">
        <v>-350.0</v>
      </c>
      <c r="D309" s="192" t="s">
        <v>347</v>
      </c>
      <c r="E309" s="192" t="s">
        <v>348</v>
      </c>
      <c r="F309" s="194" t="s">
        <v>349</v>
      </c>
    </row>
    <row r="310">
      <c r="A310" s="192" t="s">
        <v>107</v>
      </c>
      <c r="B310" s="193">
        <v>45571.70833333333</v>
      </c>
      <c r="C310" s="192">
        <v>-207.1</v>
      </c>
      <c r="D310" s="192" t="s">
        <v>352</v>
      </c>
      <c r="E310" s="192" t="s">
        <v>353</v>
      </c>
      <c r="F310" s="194" t="s">
        <v>349</v>
      </c>
    </row>
    <row r="311">
      <c r="A311" s="192" t="s">
        <v>107</v>
      </c>
      <c r="B311" s="193">
        <v>45509.70833333333</v>
      </c>
      <c r="C311" s="192">
        <v>-175.0</v>
      </c>
      <c r="D311" s="192" t="s">
        <v>354</v>
      </c>
      <c r="E311" s="192" t="s">
        <v>355</v>
      </c>
      <c r="F311" s="194" t="s">
        <v>349</v>
      </c>
    </row>
    <row r="312">
      <c r="A312" s="192" t="s">
        <v>107</v>
      </c>
      <c r="B312" s="193">
        <v>45274.66666666667</v>
      </c>
      <c r="C312" s="192">
        <v>-100.0</v>
      </c>
      <c r="D312" s="192" t="s">
        <v>356</v>
      </c>
      <c r="E312" s="192" t="s">
        <v>357</v>
      </c>
      <c r="F312" s="194" t="s">
        <v>349</v>
      </c>
    </row>
    <row r="313">
      <c r="A313" s="192" t="s">
        <v>107</v>
      </c>
      <c r="B313" s="193">
        <v>45456.70833333333</v>
      </c>
      <c r="C313" s="192">
        <v>-90.75</v>
      </c>
      <c r="D313" s="192" t="s">
        <v>358</v>
      </c>
      <c r="E313" s="192" t="s">
        <v>359</v>
      </c>
      <c r="F313" s="194" t="s">
        <v>349</v>
      </c>
    </row>
    <row r="314">
      <c r="A314" s="192" t="s">
        <v>107</v>
      </c>
      <c r="B314" s="193">
        <v>45582.70833333333</v>
      </c>
      <c r="C314" s="192">
        <v>-58.91</v>
      </c>
      <c r="D314" s="192" t="s">
        <v>360</v>
      </c>
      <c r="E314" s="192" t="s">
        <v>361</v>
      </c>
      <c r="F314" s="194" t="s">
        <v>349</v>
      </c>
    </row>
    <row r="315">
      <c r="A315" s="192" t="s">
        <v>107</v>
      </c>
      <c r="B315" s="193">
        <v>45326.66666666667</v>
      </c>
      <c r="C315" s="192">
        <v>-50.0</v>
      </c>
      <c r="D315" s="192" t="s">
        <v>347</v>
      </c>
      <c r="E315" s="192" t="s">
        <v>348</v>
      </c>
      <c r="F315" s="194" t="s">
        <v>349</v>
      </c>
    </row>
    <row r="316">
      <c r="A316" s="192" t="s">
        <v>107</v>
      </c>
      <c r="B316" s="193">
        <v>45596.70833333333</v>
      </c>
      <c r="C316" s="192">
        <v>-49.0</v>
      </c>
      <c r="D316" s="192" t="s">
        <v>362</v>
      </c>
      <c r="E316" s="192" t="s">
        <v>363</v>
      </c>
      <c r="F316" s="194" t="s">
        <v>349</v>
      </c>
    </row>
    <row r="317">
      <c r="A317" s="192" t="s">
        <v>107</v>
      </c>
      <c r="B317" s="193">
        <v>45596.70833333333</v>
      </c>
      <c r="C317" s="192">
        <v>-49.0</v>
      </c>
      <c r="D317" s="192" t="s">
        <v>362</v>
      </c>
      <c r="E317" s="192" t="s">
        <v>363</v>
      </c>
      <c r="F317" s="194" t="s">
        <v>349</v>
      </c>
    </row>
    <row r="318">
      <c r="A318" s="192" t="s">
        <v>107</v>
      </c>
      <c r="B318" s="193">
        <v>45578.70833333333</v>
      </c>
      <c r="C318" s="192">
        <v>-40.0</v>
      </c>
      <c r="D318" s="192" t="s">
        <v>364</v>
      </c>
      <c r="E318" s="192" t="s">
        <v>365</v>
      </c>
      <c r="F318" s="194" t="s">
        <v>349</v>
      </c>
    </row>
    <row r="319">
      <c r="A319" s="192" t="s">
        <v>107</v>
      </c>
      <c r="B319" s="193">
        <v>45264.66666666667</v>
      </c>
      <c r="C319" s="192">
        <v>-36.0</v>
      </c>
      <c r="D319" s="192" t="s">
        <v>366</v>
      </c>
      <c r="E319" s="192" t="s">
        <v>367</v>
      </c>
      <c r="F319" s="194" t="s">
        <v>349</v>
      </c>
    </row>
    <row r="320">
      <c r="A320" s="192" t="s">
        <v>107</v>
      </c>
      <c r="B320" s="193">
        <v>45267.66666666667</v>
      </c>
      <c r="C320" s="192">
        <v>-35.0</v>
      </c>
      <c r="D320" s="192" t="s">
        <v>368</v>
      </c>
      <c r="E320" s="192" t="s">
        <v>369</v>
      </c>
      <c r="F320" s="194" t="s">
        <v>349</v>
      </c>
    </row>
    <row r="321">
      <c r="A321" s="192" t="s">
        <v>107</v>
      </c>
      <c r="B321" s="193">
        <v>45292.66666666667</v>
      </c>
      <c r="C321" s="192">
        <v>-34.57</v>
      </c>
      <c r="D321" s="192" t="s">
        <v>368</v>
      </c>
      <c r="E321" s="192" t="s">
        <v>369</v>
      </c>
      <c r="F321" s="194" t="s">
        <v>349</v>
      </c>
    </row>
    <row r="322">
      <c r="A322" s="192" t="s">
        <v>107</v>
      </c>
      <c r="B322" s="193">
        <v>45567.70833333333</v>
      </c>
      <c r="C322" s="192">
        <v>-30.51</v>
      </c>
      <c r="D322" s="192" t="s">
        <v>358</v>
      </c>
      <c r="E322" s="192" t="s">
        <v>359</v>
      </c>
      <c r="F322" s="194" t="s">
        <v>349</v>
      </c>
    </row>
    <row r="323">
      <c r="A323" s="192" t="s">
        <v>107</v>
      </c>
      <c r="B323" s="193">
        <v>45237.66666666667</v>
      </c>
      <c r="C323" s="192">
        <v>-25.0</v>
      </c>
      <c r="D323" s="192" t="s">
        <v>347</v>
      </c>
      <c r="E323" s="192" t="s">
        <v>348</v>
      </c>
      <c r="F323" s="194" t="s">
        <v>349</v>
      </c>
    </row>
    <row r="324">
      <c r="A324" s="192" t="s">
        <v>107</v>
      </c>
      <c r="B324" s="193">
        <v>45347.66666666667</v>
      </c>
      <c r="C324" s="192">
        <v>-25.0</v>
      </c>
      <c r="D324" s="192" t="s">
        <v>364</v>
      </c>
      <c r="E324" s="192" t="s">
        <v>365</v>
      </c>
      <c r="F324" s="194" t="s">
        <v>349</v>
      </c>
    </row>
    <row r="325">
      <c r="A325" s="192" t="s">
        <v>107</v>
      </c>
      <c r="B325" s="193">
        <v>45510.70833333333</v>
      </c>
      <c r="C325" s="192">
        <v>-25.0</v>
      </c>
      <c r="D325" s="192" t="s">
        <v>364</v>
      </c>
      <c r="E325" s="192" t="s">
        <v>365</v>
      </c>
      <c r="F325" s="194" t="s">
        <v>349</v>
      </c>
    </row>
    <row r="326">
      <c r="A326" s="192" t="s">
        <v>107</v>
      </c>
      <c r="B326" s="193">
        <v>45578.70833333333</v>
      </c>
      <c r="C326" s="192">
        <v>-25.0</v>
      </c>
      <c r="D326" s="192" t="s">
        <v>364</v>
      </c>
      <c r="E326" s="192" t="s">
        <v>365</v>
      </c>
      <c r="F326" s="194" t="s">
        <v>349</v>
      </c>
    </row>
    <row r="327">
      <c r="A327" s="192" t="s">
        <v>107</v>
      </c>
      <c r="B327" s="193">
        <v>45451.70833333333</v>
      </c>
      <c r="C327" s="192">
        <v>-17.06</v>
      </c>
      <c r="D327" s="192" t="s">
        <v>370</v>
      </c>
      <c r="E327" s="192" t="s">
        <v>371</v>
      </c>
      <c r="F327" s="194" t="s">
        <v>349</v>
      </c>
    </row>
    <row r="328">
      <c r="A328" s="192" t="s">
        <v>107</v>
      </c>
      <c r="B328" s="193">
        <v>45292.66666666667</v>
      </c>
      <c r="C328" s="192">
        <v>-5.0</v>
      </c>
      <c r="D328" s="192" t="s">
        <v>364</v>
      </c>
      <c r="E328" s="192" t="s">
        <v>365</v>
      </c>
      <c r="F328" s="194" t="s">
        <v>349</v>
      </c>
    </row>
    <row r="329">
      <c r="A329" s="192" t="s">
        <v>123</v>
      </c>
      <c r="B329" s="193">
        <v>45239.66666666667</v>
      </c>
      <c r="C329" s="192">
        <v>-1.0</v>
      </c>
      <c r="D329" s="192" t="s">
        <v>372</v>
      </c>
      <c r="E329" s="195" t="s">
        <v>373</v>
      </c>
      <c r="F329" s="194" t="s">
        <v>374</v>
      </c>
    </row>
    <row r="330">
      <c r="A330" s="192" t="s">
        <v>123</v>
      </c>
      <c r="B330" s="193">
        <v>45269.66666666667</v>
      </c>
      <c r="C330" s="192">
        <v>-1.0</v>
      </c>
      <c r="D330" s="192" t="s">
        <v>372</v>
      </c>
      <c r="E330" s="195" t="s">
        <v>373</v>
      </c>
      <c r="F330" s="194" t="s">
        <v>374</v>
      </c>
    </row>
    <row r="331">
      <c r="A331" s="192" t="s">
        <v>123</v>
      </c>
      <c r="B331" s="193">
        <v>45300.66666666667</v>
      </c>
      <c r="C331" s="192">
        <v>-1.0</v>
      </c>
      <c r="D331" s="192" t="s">
        <v>372</v>
      </c>
      <c r="E331" s="195" t="s">
        <v>373</v>
      </c>
      <c r="F331" s="194" t="s">
        <v>374</v>
      </c>
    </row>
    <row r="332">
      <c r="A332" s="192" t="s">
        <v>123</v>
      </c>
      <c r="B332" s="193">
        <v>45331.66666666667</v>
      </c>
      <c r="C332" s="192">
        <v>-1.0</v>
      </c>
      <c r="D332" s="192" t="s">
        <v>372</v>
      </c>
      <c r="E332" s="195" t="s">
        <v>373</v>
      </c>
      <c r="F332" s="194" t="s">
        <v>374</v>
      </c>
    </row>
    <row r="333">
      <c r="A333" s="192" t="s">
        <v>123</v>
      </c>
      <c r="B333" s="193">
        <v>45360.66666666667</v>
      </c>
      <c r="C333" s="192">
        <v>-1.0</v>
      </c>
      <c r="D333" s="192" t="s">
        <v>372</v>
      </c>
      <c r="E333" s="195" t="s">
        <v>373</v>
      </c>
      <c r="F333" s="194" t="s">
        <v>374</v>
      </c>
    </row>
    <row r="334">
      <c r="A334" s="192" t="s">
        <v>123</v>
      </c>
      <c r="B334" s="193">
        <v>45391.70833333333</v>
      </c>
      <c r="C334" s="192">
        <v>-1.0</v>
      </c>
      <c r="D334" s="192" t="s">
        <v>372</v>
      </c>
      <c r="E334" s="195" t="s">
        <v>373</v>
      </c>
      <c r="F334" s="194" t="s">
        <v>374</v>
      </c>
    </row>
    <row r="335">
      <c r="A335" s="192" t="s">
        <v>123</v>
      </c>
      <c r="B335" s="193">
        <v>45421.70833333333</v>
      </c>
      <c r="C335" s="192">
        <v>-1.0</v>
      </c>
      <c r="D335" s="192" t="s">
        <v>372</v>
      </c>
      <c r="E335" s="195" t="s">
        <v>373</v>
      </c>
      <c r="F335" s="194" t="s">
        <v>374</v>
      </c>
    </row>
    <row r="336">
      <c r="A336" s="192" t="s">
        <v>123</v>
      </c>
      <c r="B336" s="193">
        <v>45451.70833333333</v>
      </c>
      <c r="C336" s="192">
        <v>-1.0</v>
      </c>
      <c r="D336" s="192" t="s">
        <v>372</v>
      </c>
      <c r="E336" s="195" t="s">
        <v>373</v>
      </c>
      <c r="F336" s="194" t="s">
        <v>374</v>
      </c>
    </row>
    <row r="337">
      <c r="A337" s="192" t="s">
        <v>123</v>
      </c>
      <c r="B337" s="193">
        <v>45482.70833333333</v>
      </c>
      <c r="C337" s="192">
        <v>-1.0</v>
      </c>
      <c r="D337" s="192" t="s">
        <v>372</v>
      </c>
      <c r="E337" s="195" t="s">
        <v>373</v>
      </c>
      <c r="F337" s="194" t="s">
        <v>374</v>
      </c>
    </row>
    <row r="338">
      <c r="A338" s="192" t="s">
        <v>123</v>
      </c>
      <c r="B338" s="193">
        <v>45512.70833333333</v>
      </c>
      <c r="C338" s="192">
        <v>-1.0</v>
      </c>
      <c r="D338" s="192" t="s">
        <v>372</v>
      </c>
      <c r="E338" s="195" t="s">
        <v>373</v>
      </c>
      <c r="F338" s="194" t="s">
        <v>374</v>
      </c>
    </row>
    <row r="339">
      <c r="A339" s="192" t="s">
        <v>123</v>
      </c>
      <c r="B339" s="193">
        <v>45543.70833333333</v>
      </c>
      <c r="C339" s="192">
        <v>-1.0</v>
      </c>
      <c r="D339" s="192" t="s">
        <v>372</v>
      </c>
      <c r="E339" s="195" t="s">
        <v>373</v>
      </c>
      <c r="F339" s="194" t="s">
        <v>374</v>
      </c>
    </row>
    <row r="340">
      <c r="A340" s="192" t="s">
        <v>123</v>
      </c>
      <c r="B340" s="193">
        <v>45573.70833333333</v>
      </c>
      <c r="C340" s="192">
        <v>-1.0</v>
      </c>
      <c r="D340" s="192" t="s">
        <v>372</v>
      </c>
      <c r="E340" s="195" t="s">
        <v>373</v>
      </c>
      <c r="F340" s="194" t="s">
        <v>374</v>
      </c>
    </row>
    <row r="341">
      <c r="A341" s="192" t="s">
        <v>133</v>
      </c>
      <c r="B341" s="193">
        <v>45589.70833333333</v>
      </c>
      <c r="C341" s="192">
        <v>-42.53</v>
      </c>
      <c r="D341" s="192" t="s">
        <v>372</v>
      </c>
      <c r="E341" s="192" t="s">
        <v>375</v>
      </c>
      <c r="F341" s="194" t="s">
        <v>374</v>
      </c>
    </row>
    <row r="342">
      <c r="A342" s="192" t="s">
        <v>133</v>
      </c>
      <c r="B342" s="193">
        <v>45595.70833333333</v>
      </c>
      <c r="C342" s="192">
        <v>-12.75</v>
      </c>
      <c r="D342" s="192" t="s">
        <v>372</v>
      </c>
      <c r="E342" s="192" t="s">
        <v>375</v>
      </c>
      <c r="F342" s="194" t="s">
        <v>374</v>
      </c>
    </row>
    <row r="343">
      <c r="A343" s="192" t="s">
        <v>133</v>
      </c>
      <c r="B343" s="193">
        <v>45373.70833333333</v>
      </c>
      <c r="C343" s="192">
        <v>-11.69</v>
      </c>
      <c r="D343" s="192" t="s">
        <v>372</v>
      </c>
      <c r="E343" s="192" t="s">
        <v>375</v>
      </c>
      <c r="F343" s="194" t="s">
        <v>374</v>
      </c>
    </row>
    <row r="344">
      <c r="A344" s="192" t="s">
        <v>133</v>
      </c>
      <c r="B344" s="193">
        <v>45596.70833333333</v>
      </c>
      <c r="C344" s="192">
        <v>-8.8</v>
      </c>
      <c r="D344" s="192" t="s">
        <v>372</v>
      </c>
      <c r="E344" s="192" t="s">
        <v>375</v>
      </c>
      <c r="F344" s="194" t="s">
        <v>374</v>
      </c>
    </row>
    <row r="345">
      <c r="A345" s="192" t="s">
        <v>133</v>
      </c>
      <c r="B345" s="193">
        <v>45590.70833333333</v>
      </c>
      <c r="C345" s="192">
        <v>-2.57</v>
      </c>
      <c r="D345" s="192" t="s">
        <v>372</v>
      </c>
      <c r="E345" s="192" t="s">
        <v>375</v>
      </c>
      <c r="F345" s="194" t="s">
        <v>374</v>
      </c>
    </row>
    <row r="346">
      <c r="A346" s="192" t="s">
        <v>133</v>
      </c>
      <c r="B346" s="193">
        <v>45238.66666666667</v>
      </c>
      <c r="C346" s="192">
        <v>-1.0</v>
      </c>
      <c r="D346" s="192" t="s">
        <v>372</v>
      </c>
      <c r="E346" s="192" t="s">
        <v>375</v>
      </c>
      <c r="F346" s="194" t="s">
        <v>374</v>
      </c>
    </row>
    <row r="347">
      <c r="A347" s="192" t="s">
        <v>133</v>
      </c>
      <c r="B347" s="193">
        <v>45299.66666666667</v>
      </c>
      <c r="C347" s="192">
        <v>-1.0</v>
      </c>
      <c r="D347" s="192" t="s">
        <v>372</v>
      </c>
      <c r="E347" s="192" t="s">
        <v>375</v>
      </c>
      <c r="F347" s="194" t="s">
        <v>374</v>
      </c>
    </row>
    <row r="348">
      <c r="A348" s="192" t="s">
        <v>133</v>
      </c>
      <c r="B348" s="193">
        <v>45330.66666666667</v>
      </c>
      <c r="C348" s="192">
        <v>-1.0</v>
      </c>
      <c r="D348" s="192" t="s">
        <v>372</v>
      </c>
      <c r="E348" s="192" t="s">
        <v>375</v>
      </c>
      <c r="F348" s="194" t="s">
        <v>374</v>
      </c>
    </row>
    <row r="349">
      <c r="A349" s="192" t="s">
        <v>133</v>
      </c>
      <c r="B349" s="193">
        <v>45359.66666666667</v>
      </c>
      <c r="C349" s="192">
        <v>-1.0</v>
      </c>
      <c r="D349" s="192" t="s">
        <v>372</v>
      </c>
      <c r="E349" s="192" t="s">
        <v>375</v>
      </c>
      <c r="F349" s="194" t="s">
        <v>374</v>
      </c>
    </row>
    <row r="350">
      <c r="A350" s="192" t="s">
        <v>133</v>
      </c>
      <c r="B350" s="193">
        <v>45390.70833333333</v>
      </c>
      <c r="C350" s="192">
        <v>-1.0</v>
      </c>
      <c r="D350" s="192" t="s">
        <v>372</v>
      </c>
      <c r="E350" s="192" t="s">
        <v>375</v>
      </c>
      <c r="F350" s="194" t="s">
        <v>374</v>
      </c>
    </row>
    <row r="351">
      <c r="A351" s="192" t="s">
        <v>133</v>
      </c>
      <c r="B351" s="193">
        <v>45420.70833333333</v>
      </c>
      <c r="C351" s="192">
        <v>-1.0</v>
      </c>
      <c r="D351" s="192" t="s">
        <v>372</v>
      </c>
      <c r="E351" s="192" t="s">
        <v>375</v>
      </c>
      <c r="F351" s="194" t="s">
        <v>374</v>
      </c>
    </row>
    <row r="352">
      <c r="A352" s="192" t="s">
        <v>133</v>
      </c>
      <c r="B352" s="193">
        <v>45451.70833333333</v>
      </c>
      <c r="C352" s="192">
        <v>-1.0</v>
      </c>
      <c r="D352" s="192" t="s">
        <v>372</v>
      </c>
      <c r="E352" s="192" t="s">
        <v>375</v>
      </c>
      <c r="F352" s="194" t="s">
        <v>374</v>
      </c>
    </row>
    <row r="353">
      <c r="A353" s="192" t="s">
        <v>133</v>
      </c>
      <c r="B353" s="193">
        <v>45481.70833333333</v>
      </c>
      <c r="C353" s="192">
        <v>-1.0</v>
      </c>
      <c r="D353" s="192" t="s">
        <v>372</v>
      </c>
      <c r="E353" s="192" t="s">
        <v>375</v>
      </c>
      <c r="F353" s="194" t="s">
        <v>374</v>
      </c>
    </row>
    <row r="354">
      <c r="A354" s="192" t="s">
        <v>133</v>
      </c>
      <c r="B354" s="193">
        <v>45512.70833333333</v>
      </c>
      <c r="C354" s="192">
        <v>-1.0</v>
      </c>
      <c r="D354" s="192" t="s">
        <v>372</v>
      </c>
      <c r="E354" s="192" t="s">
        <v>375</v>
      </c>
      <c r="F354" s="194" t="s">
        <v>374</v>
      </c>
    </row>
    <row r="355">
      <c r="A355" s="192" t="s">
        <v>133</v>
      </c>
      <c r="B355" s="193">
        <v>45543.70833333333</v>
      </c>
      <c r="C355" s="192">
        <v>-1.0</v>
      </c>
      <c r="D355" s="192" t="s">
        <v>372</v>
      </c>
      <c r="E355" s="192" t="s">
        <v>375</v>
      </c>
      <c r="F355" s="194" t="s">
        <v>374</v>
      </c>
    </row>
    <row r="356">
      <c r="A356" s="192" t="s">
        <v>133</v>
      </c>
      <c r="B356" s="193">
        <v>45573.70833333333</v>
      </c>
      <c r="C356" s="192">
        <v>-1.0</v>
      </c>
      <c r="D356" s="192" t="s">
        <v>372</v>
      </c>
      <c r="E356" s="192" t="s">
        <v>375</v>
      </c>
      <c r="F356" s="194" t="s">
        <v>374</v>
      </c>
    </row>
    <row r="357">
      <c r="A357" s="192" t="s">
        <v>107</v>
      </c>
      <c r="B357" s="193">
        <v>45322.66666666667</v>
      </c>
      <c r="C357" s="192">
        <v>-238.5</v>
      </c>
      <c r="D357" s="192" t="s">
        <v>376</v>
      </c>
      <c r="E357" s="192" t="s">
        <v>377</v>
      </c>
      <c r="F357" s="194" t="s">
        <v>378</v>
      </c>
    </row>
    <row r="358">
      <c r="A358" s="192" t="s">
        <v>107</v>
      </c>
      <c r="B358" s="193">
        <v>45558.70833333333</v>
      </c>
      <c r="C358" s="192">
        <v>-156.0</v>
      </c>
      <c r="D358" s="192" t="s">
        <v>379</v>
      </c>
      <c r="E358" s="192" t="s">
        <v>380</v>
      </c>
      <c r="F358" s="194" t="s">
        <v>378</v>
      </c>
    </row>
    <row r="359">
      <c r="A359" s="192" t="s">
        <v>107</v>
      </c>
      <c r="B359" s="193">
        <v>45540.70833333333</v>
      </c>
      <c r="C359" s="192">
        <v>-74.42</v>
      </c>
      <c r="D359" s="192" t="s">
        <v>381</v>
      </c>
      <c r="E359" s="192" t="s">
        <v>382</v>
      </c>
      <c r="F359" s="194" t="s">
        <v>378</v>
      </c>
    </row>
    <row r="360">
      <c r="A360" s="192" t="s">
        <v>107</v>
      </c>
      <c r="B360" s="193">
        <v>45287.66666666667</v>
      </c>
      <c r="C360" s="192">
        <v>-53.28</v>
      </c>
      <c r="D360" s="192" t="s">
        <v>383</v>
      </c>
      <c r="E360" s="192" t="s">
        <v>384</v>
      </c>
      <c r="F360" s="194" t="s">
        <v>378</v>
      </c>
    </row>
    <row r="361">
      <c r="A361" s="192" t="s">
        <v>107</v>
      </c>
      <c r="B361" s="193">
        <v>45422.70833333333</v>
      </c>
      <c r="C361" s="192">
        <v>-52.0</v>
      </c>
      <c r="D361" s="192" t="s">
        <v>385</v>
      </c>
      <c r="E361" s="192" t="s">
        <v>386</v>
      </c>
      <c r="F361" s="194" t="s">
        <v>378</v>
      </c>
    </row>
    <row r="362">
      <c r="A362" s="192" t="s">
        <v>107</v>
      </c>
      <c r="B362" s="193">
        <v>45498.70833333333</v>
      </c>
      <c r="C362" s="192">
        <v>-36.94</v>
      </c>
      <c r="D362" s="192" t="s">
        <v>387</v>
      </c>
      <c r="E362" s="192" t="s">
        <v>388</v>
      </c>
      <c r="F362" s="194" t="s">
        <v>378</v>
      </c>
    </row>
    <row r="363">
      <c r="A363" s="192" t="s">
        <v>107</v>
      </c>
      <c r="B363" s="193">
        <v>45435.70833333333</v>
      </c>
      <c r="C363" s="192">
        <v>-8.24</v>
      </c>
      <c r="D363" s="192" t="s">
        <v>389</v>
      </c>
      <c r="E363" s="192" t="s">
        <v>390</v>
      </c>
      <c r="F363" s="194" t="s">
        <v>378</v>
      </c>
    </row>
    <row r="364">
      <c r="A364" s="192" t="s">
        <v>123</v>
      </c>
      <c r="B364" s="193">
        <v>45237.66666666667</v>
      </c>
      <c r="C364" s="192">
        <v>-237.96</v>
      </c>
      <c r="D364" s="192" t="s">
        <v>391</v>
      </c>
      <c r="E364" s="192" t="s">
        <v>392</v>
      </c>
      <c r="F364" s="194" t="s">
        <v>378</v>
      </c>
    </row>
    <row r="365">
      <c r="A365" s="192" t="s">
        <v>123</v>
      </c>
      <c r="B365" s="193">
        <v>45565.70833333333</v>
      </c>
      <c r="C365" s="192">
        <v>-33.95</v>
      </c>
      <c r="D365" s="192" t="s">
        <v>393</v>
      </c>
      <c r="E365" s="192" t="s">
        <v>393</v>
      </c>
      <c r="F365" s="194" t="s">
        <v>378</v>
      </c>
    </row>
    <row r="366">
      <c r="A366" s="192" t="s">
        <v>123</v>
      </c>
      <c r="B366" s="193">
        <v>45333.66666666667</v>
      </c>
      <c r="C366" s="192">
        <v>-32.18</v>
      </c>
      <c r="D366" s="192" t="s">
        <v>387</v>
      </c>
      <c r="E366" s="192" t="s">
        <v>394</v>
      </c>
      <c r="F366" s="194" t="s">
        <v>378</v>
      </c>
    </row>
    <row r="367">
      <c r="A367" s="192" t="s">
        <v>123</v>
      </c>
      <c r="B367" s="193">
        <v>45587.70833333333</v>
      </c>
      <c r="C367" s="192">
        <v>-26.02</v>
      </c>
      <c r="D367" s="192" t="s">
        <v>395</v>
      </c>
      <c r="E367" s="192" t="s">
        <v>396</v>
      </c>
      <c r="F367" s="194" t="s">
        <v>378</v>
      </c>
    </row>
    <row r="368">
      <c r="A368" s="192" t="s">
        <v>133</v>
      </c>
      <c r="B368" s="193">
        <v>45240.66666666667</v>
      </c>
      <c r="C368" s="192">
        <v>-38.33</v>
      </c>
      <c r="D368" s="192" t="s">
        <v>397</v>
      </c>
      <c r="E368" s="192" t="s">
        <v>398</v>
      </c>
      <c r="F368" s="194" t="s">
        <v>378</v>
      </c>
    </row>
    <row r="369">
      <c r="A369" s="192" t="s">
        <v>133</v>
      </c>
      <c r="B369" s="193">
        <v>45504.70833333333</v>
      </c>
      <c r="C369" s="192">
        <v>-35.38</v>
      </c>
      <c r="D369" s="192" t="s">
        <v>387</v>
      </c>
      <c r="E369" s="192" t="s">
        <v>399</v>
      </c>
      <c r="F369" s="194" t="s">
        <v>378</v>
      </c>
    </row>
    <row r="370">
      <c r="A370" s="192" t="s">
        <v>133</v>
      </c>
      <c r="B370" s="193">
        <v>45240.66666666667</v>
      </c>
      <c r="C370" s="192">
        <v>-35.01</v>
      </c>
      <c r="D370" s="192" t="s">
        <v>397</v>
      </c>
      <c r="E370" s="192" t="s">
        <v>398</v>
      </c>
      <c r="F370" s="194" t="s">
        <v>378</v>
      </c>
    </row>
    <row r="371">
      <c r="A371" s="192" t="s">
        <v>133</v>
      </c>
      <c r="B371" s="193">
        <v>45455.70833333333</v>
      </c>
      <c r="C371" s="192">
        <v>-10.19</v>
      </c>
      <c r="D371" s="192" t="s">
        <v>387</v>
      </c>
      <c r="E371" s="192" t="s">
        <v>400</v>
      </c>
      <c r="F371" s="194" t="s">
        <v>378</v>
      </c>
    </row>
    <row r="372">
      <c r="A372" s="192" t="s">
        <v>133</v>
      </c>
      <c r="B372" s="193">
        <v>45394.70833333333</v>
      </c>
      <c r="C372" s="192">
        <v>-10.0</v>
      </c>
      <c r="D372" s="192" t="s">
        <v>401</v>
      </c>
      <c r="E372" s="192" t="s">
        <v>402</v>
      </c>
      <c r="F372" s="194" t="s">
        <v>378</v>
      </c>
    </row>
    <row r="373">
      <c r="A373" s="192" t="s">
        <v>173</v>
      </c>
      <c r="B373" s="193">
        <v>45267.66666666667</v>
      </c>
      <c r="C373" s="192">
        <v>-12.0</v>
      </c>
      <c r="E373" s="192" t="s">
        <v>403</v>
      </c>
      <c r="F373" s="194" t="s">
        <v>404</v>
      </c>
    </row>
    <row r="374">
      <c r="A374" s="192" t="s">
        <v>173</v>
      </c>
      <c r="B374" s="193">
        <v>45544.70833333333</v>
      </c>
      <c r="C374" s="192">
        <v>-12.0</v>
      </c>
      <c r="E374" s="192" t="s">
        <v>403</v>
      </c>
      <c r="F374" s="194" t="s">
        <v>404</v>
      </c>
    </row>
    <row r="375">
      <c r="A375" s="192" t="s">
        <v>158</v>
      </c>
      <c r="B375" s="193">
        <v>45445.70833333333</v>
      </c>
      <c r="C375" s="192">
        <v>-120.0</v>
      </c>
      <c r="D375" s="192" t="s">
        <v>405</v>
      </c>
      <c r="E375" s="192" t="s">
        <v>406</v>
      </c>
      <c r="F375" s="194" t="s">
        <v>404</v>
      </c>
    </row>
    <row r="376">
      <c r="A376" s="192" t="s">
        <v>158</v>
      </c>
      <c r="B376" s="193">
        <v>45572.70833333333</v>
      </c>
      <c r="C376" s="192">
        <v>-0.77</v>
      </c>
      <c r="E376" s="192" t="s">
        <v>407</v>
      </c>
      <c r="F376" s="194" t="s">
        <v>404</v>
      </c>
    </row>
    <row r="377">
      <c r="A377" s="192" t="s">
        <v>158</v>
      </c>
      <c r="B377" s="193">
        <v>45466.70833333333</v>
      </c>
      <c r="C377" s="192">
        <v>84.53</v>
      </c>
      <c r="D377" s="192" t="s">
        <v>405</v>
      </c>
      <c r="E377" s="192" t="s">
        <v>408</v>
      </c>
      <c r="F377" s="194" t="s">
        <v>404</v>
      </c>
    </row>
    <row r="378">
      <c r="A378" s="192" t="s">
        <v>221</v>
      </c>
      <c r="B378" s="193">
        <v>45336.66666666667</v>
      </c>
      <c r="C378" s="192">
        <v>-12.0</v>
      </c>
      <c r="E378" s="192" t="s">
        <v>403</v>
      </c>
      <c r="F378" s="194" t="s">
        <v>404</v>
      </c>
    </row>
    <row r="379">
      <c r="A379" s="192" t="s">
        <v>221</v>
      </c>
      <c r="B379" s="193">
        <v>45365.70833333333</v>
      </c>
      <c r="C379" s="192">
        <v>-12.0</v>
      </c>
      <c r="E379" s="192" t="s">
        <v>403</v>
      </c>
      <c r="F379" s="194" t="s">
        <v>404</v>
      </c>
    </row>
    <row r="380">
      <c r="A380" s="192" t="s">
        <v>133</v>
      </c>
      <c r="B380" s="193">
        <v>45280.66666666667</v>
      </c>
      <c r="C380" s="192">
        <v>-19.74</v>
      </c>
      <c r="E380" s="192" t="s">
        <v>409</v>
      </c>
      <c r="F380" s="194" t="s">
        <v>404</v>
      </c>
    </row>
    <row r="381">
      <c r="A381" s="192" t="s">
        <v>133</v>
      </c>
      <c r="B381" s="193">
        <v>45342.66666666667</v>
      </c>
      <c r="C381" s="192">
        <v>-19.52</v>
      </c>
      <c r="E381" s="192" t="s">
        <v>409</v>
      </c>
      <c r="F381" s="194" t="s">
        <v>404</v>
      </c>
    </row>
    <row r="382">
      <c r="A382" s="192" t="s">
        <v>133</v>
      </c>
      <c r="B382" s="193">
        <v>45309.66666666667</v>
      </c>
      <c r="C382" s="192">
        <v>-5.75</v>
      </c>
      <c r="E382" s="192" t="s">
        <v>409</v>
      </c>
      <c r="F382" s="194" t="s">
        <v>404</v>
      </c>
    </row>
    <row r="383">
      <c r="A383" s="192" t="s">
        <v>133</v>
      </c>
      <c r="B383" s="193">
        <v>45554.70833333333</v>
      </c>
      <c r="C383" s="192">
        <v>0.0</v>
      </c>
      <c r="E383" s="192" t="s">
        <v>410</v>
      </c>
      <c r="F383" s="194" t="s">
        <v>404</v>
      </c>
    </row>
    <row r="384">
      <c r="A384" s="192" t="s">
        <v>107</v>
      </c>
      <c r="B384" s="193">
        <v>45524.70833333333</v>
      </c>
      <c r="C384" s="192">
        <v>-164.87</v>
      </c>
      <c r="D384" s="192" t="s">
        <v>411</v>
      </c>
      <c r="E384" s="192" t="s">
        <v>412</v>
      </c>
      <c r="F384" s="194" t="s">
        <v>413</v>
      </c>
    </row>
    <row r="385">
      <c r="A385" s="192" t="s">
        <v>107</v>
      </c>
      <c r="B385" s="193">
        <v>45557.70833333333</v>
      </c>
      <c r="C385" s="192">
        <v>-151.2</v>
      </c>
      <c r="D385" s="192" t="s">
        <v>411</v>
      </c>
      <c r="E385" s="192" t="s">
        <v>412</v>
      </c>
      <c r="F385" s="194" t="s">
        <v>413</v>
      </c>
    </row>
    <row r="386">
      <c r="A386" s="192" t="s">
        <v>107</v>
      </c>
      <c r="B386" s="193">
        <v>45493.70833333333</v>
      </c>
      <c r="C386" s="192">
        <v>-126.01</v>
      </c>
      <c r="D386" s="192" t="s">
        <v>411</v>
      </c>
      <c r="E386" s="192" t="s">
        <v>412</v>
      </c>
      <c r="F386" s="194" t="s">
        <v>413</v>
      </c>
    </row>
    <row r="387">
      <c r="A387" s="192" t="s">
        <v>107</v>
      </c>
      <c r="B387" s="193">
        <v>45282.66666666667</v>
      </c>
      <c r="C387" s="192">
        <v>-117.74</v>
      </c>
      <c r="D387" s="192" t="s">
        <v>411</v>
      </c>
      <c r="E387" s="192" t="s">
        <v>412</v>
      </c>
      <c r="F387" s="194" t="s">
        <v>413</v>
      </c>
    </row>
    <row r="388">
      <c r="A388" s="192" t="s">
        <v>107</v>
      </c>
      <c r="B388" s="193">
        <v>45312.66666666667</v>
      </c>
      <c r="C388" s="192">
        <v>-100.29</v>
      </c>
      <c r="D388" s="192" t="s">
        <v>411</v>
      </c>
      <c r="E388" s="192" t="s">
        <v>412</v>
      </c>
      <c r="F388" s="194" t="s">
        <v>413</v>
      </c>
    </row>
    <row r="389">
      <c r="A389" s="192" t="s">
        <v>107</v>
      </c>
      <c r="B389" s="193">
        <v>45465.70833333333</v>
      </c>
      <c r="C389" s="192">
        <v>-99.03</v>
      </c>
      <c r="D389" s="192" t="s">
        <v>411</v>
      </c>
      <c r="E389" s="192" t="s">
        <v>412</v>
      </c>
      <c r="F389" s="194" t="s">
        <v>413</v>
      </c>
    </row>
    <row r="390">
      <c r="A390" s="192" t="s">
        <v>107</v>
      </c>
      <c r="B390" s="193">
        <v>45585.70833333333</v>
      </c>
      <c r="C390" s="192">
        <v>-98.67</v>
      </c>
      <c r="D390" s="192" t="s">
        <v>411</v>
      </c>
      <c r="E390" s="192" t="s">
        <v>412</v>
      </c>
      <c r="F390" s="194" t="s">
        <v>413</v>
      </c>
    </row>
    <row r="391">
      <c r="A391" s="192" t="s">
        <v>107</v>
      </c>
      <c r="B391" s="193">
        <v>45374.70833333333</v>
      </c>
      <c r="C391" s="192">
        <v>-85.18</v>
      </c>
      <c r="D391" s="192" t="s">
        <v>411</v>
      </c>
      <c r="E391" s="192" t="s">
        <v>412</v>
      </c>
      <c r="F391" s="194" t="s">
        <v>413</v>
      </c>
    </row>
    <row r="392">
      <c r="A392" s="192" t="s">
        <v>107</v>
      </c>
      <c r="B392" s="193">
        <v>45342.66666666667</v>
      </c>
      <c r="C392" s="192">
        <v>-82.67</v>
      </c>
      <c r="D392" s="192" t="s">
        <v>411</v>
      </c>
      <c r="E392" s="192" t="s">
        <v>412</v>
      </c>
      <c r="F392" s="194" t="s">
        <v>413</v>
      </c>
    </row>
    <row r="393">
      <c r="A393" s="192" t="s">
        <v>107</v>
      </c>
      <c r="B393" s="193">
        <v>45250.66666666667</v>
      </c>
      <c r="C393" s="192">
        <v>-80.32</v>
      </c>
      <c r="D393" s="192" t="s">
        <v>411</v>
      </c>
      <c r="E393" s="192" t="s">
        <v>412</v>
      </c>
      <c r="F393" s="194" t="s">
        <v>413</v>
      </c>
    </row>
    <row r="394">
      <c r="A394" s="192" t="s">
        <v>107</v>
      </c>
      <c r="B394" s="193">
        <v>45402.70833333333</v>
      </c>
      <c r="C394" s="192">
        <v>-76.73</v>
      </c>
      <c r="D394" s="192" t="s">
        <v>411</v>
      </c>
      <c r="E394" s="192" t="s">
        <v>412</v>
      </c>
      <c r="F394" s="194" t="s">
        <v>413</v>
      </c>
    </row>
    <row r="395">
      <c r="A395" s="192" t="s">
        <v>107</v>
      </c>
      <c r="B395" s="193">
        <v>45432.70833333333</v>
      </c>
      <c r="C395" s="192">
        <v>-75.64</v>
      </c>
      <c r="D395" s="192" t="s">
        <v>411</v>
      </c>
      <c r="E395" s="192" t="s">
        <v>412</v>
      </c>
      <c r="F395" s="194" t="s">
        <v>413</v>
      </c>
    </row>
    <row r="396">
      <c r="A396" s="192" t="s">
        <v>158</v>
      </c>
      <c r="B396" s="193">
        <v>45315.66666666667</v>
      </c>
      <c r="C396" s="192">
        <v>-29.63</v>
      </c>
      <c r="D396" s="192" t="s">
        <v>414</v>
      </c>
      <c r="E396" s="192" t="s">
        <v>415</v>
      </c>
      <c r="F396" s="194" t="s">
        <v>413</v>
      </c>
    </row>
    <row r="397">
      <c r="A397" s="192" t="s">
        <v>158</v>
      </c>
      <c r="B397" s="193">
        <v>45253.66666666667</v>
      </c>
      <c r="C397" s="192">
        <v>-27.31</v>
      </c>
      <c r="D397" s="192" t="s">
        <v>414</v>
      </c>
      <c r="E397" s="192" t="s">
        <v>415</v>
      </c>
      <c r="F397" s="194" t="s">
        <v>413</v>
      </c>
    </row>
    <row r="398">
      <c r="A398" s="192" t="s">
        <v>158</v>
      </c>
      <c r="B398" s="193">
        <v>45285.66666666667</v>
      </c>
      <c r="C398" s="192">
        <v>-27.3</v>
      </c>
      <c r="D398" s="192" t="s">
        <v>414</v>
      </c>
      <c r="E398" s="192" t="s">
        <v>415</v>
      </c>
      <c r="F398" s="194" t="s">
        <v>413</v>
      </c>
    </row>
    <row r="399">
      <c r="A399" s="192" t="s">
        <v>158</v>
      </c>
      <c r="B399" s="193">
        <v>45376.70833333333</v>
      </c>
      <c r="C399" s="192">
        <v>-27.25</v>
      </c>
      <c r="D399" s="192" t="s">
        <v>414</v>
      </c>
      <c r="E399" s="192" t="s">
        <v>415</v>
      </c>
      <c r="F399" s="194" t="s">
        <v>413</v>
      </c>
    </row>
    <row r="400">
      <c r="A400" s="192" t="s">
        <v>158</v>
      </c>
      <c r="B400" s="193">
        <v>45347.66666666667</v>
      </c>
      <c r="C400" s="192">
        <v>-27.23</v>
      </c>
      <c r="D400" s="192" t="s">
        <v>414</v>
      </c>
      <c r="E400" s="192" t="s">
        <v>415</v>
      </c>
      <c r="F400" s="194" t="s">
        <v>413</v>
      </c>
    </row>
    <row r="401">
      <c r="A401" s="192" t="s">
        <v>158</v>
      </c>
      <c r="B401" s="193">
        <v>45588.70833333333</v>
      </c>
      <c r="C401" s="192">
        <v>-27.19</v>
      </c>
      <c r="D401" s="192" t="s">
        <v>414</v>
      </c>
      <c r="E401" s="192" t="s">
        <v>415</v>
      </c>
      <c r="F401" s="194" t="s">
        <v>413</v>
      </c>
    </row>
    <row r="402">
      <c r="A402" s="192" t="s">
        <v>158</v>
      </c>
      <c r="B402" s="193">
        <v>45405.70833333333</v>
      </c>
      <c r="C402" s="192">
        <v>-27.14</v>
      </c>
      <c r="D402" s="192" t="s">
        <v>414</v>
      </c>
      <c r="E402" s="192" t="s">
        <v>415</v>
      </c>
      <c r="F402" s="194" t="s">
        <v>413</v>
      </c>
    </row>
    <row r="403">
      <c r="A403" s="192" t="s">
        <v>158</v>
      </c>
      <c r="B403" s="193">
        <v>45435.70833333333</v>
      </c>
      <c r="C403" s="192">
        <v>-27.14</v>
      </c>
      <c r="D403" s="192" t="s">
        <v>414</v>
      </c>
      <c r="E403" s="192" t="s">
        <v>415</v>
      </c>
      <c r="F403" s="194" t="s">
        <v>413</v>
      </c>
    </row>
    <row r="404">
      <c r="A404" s="192" t="s">
        <v>158</v>
      </c>
      <c r="B404" s="193">
        <v>45467.70833333333</v>
      </c>
      <c r="C404" s="192">
        <v>-27.11</v>
      </c>
      <c r="D404" s="192" t="s">
        <v>414</v>
      </c>
      <c r="E404" s="192" t="s">
        <v>415</v>
      </c>
      <c r="F404" s="194" t="s">
        <v>413</v>
      </c>
    </row>
    <row r="405">
      <c r="A405" s="192" t="s">
        <v>158</v>
      </c>
      <c r="B405" s="193">
        <v>45530.70833333333</v>
      </c>
      <c r="C405" s="192">
        <v>-27.09</v>
      </c>
      <c r="D405" s="192" t="s">
        <v>414</v>
      </c>
      <c r="E405" s="192" t="s">
        <v>415</v>
      </c>
      <c r="F405" s="194" t="s">
        <v>413</v>
      </c>
    </row>
    <row r="406">
      <c r="A406" s="192" t="s">
        <v>158</v>
      </c>
      <c r="B406" s="193">
        <v>45560.70833333333</v>
      </c>
      <c r="C406" s="192">
        <v>-24.94</v>
      </c>
      <c r="D406" s="192" t="s">
        <v>414</v>
      </c>
      <c r="E406" s="192" t="s">
        <v>415</v>
      </c>
      <c r="F406" s="194" t="s">
        <v>413</v>
      </c>
    </row>
    <row r="407">
      <c r="A407" s="192" t="s">
        <v>158</v>
      </c>
      <c r="B407" s="193">
        <v>45501.70833333333</v>
      </c>
      <c r="C407" s="192">
        <v>-24.82</v>
      </c>
      <c r="D407" s="192" t="s">
        <v>414</v>
      </c>
      <c r="E407" s="192" t="s">
        <v>415</v>
      </c>
      <c r="F407" s="194" t="s">
        <v>413</v>
      </c>
    </row>
    <row r="408">
      <c r="A408" s="192" t="s">
        <v>107</v>
      </c>
      <c r="B408" s="193">
        <v>45440.70833333333</v>
      </c>
      <c r="C408" s="192">
        <v>-55.75</v>
      </c>
      <c r="D408" s="192" t="s">
        <v>416</v>
      </c>
      <c r="E408" s="192" t="s">
        <v>417</v>
      </c>
      <c r="F408" s="194" t="s">
        <v>418</v>
      </c>
    </row>
    <row r="409">
      <c r="A409" s="192" t="s">
        <v>107</v>
      </c>
      <c r="B409" s="193">
        <v>45409.70833333333</v>
      </c>
      <c r="C409" s="192">
        <v>-54.94</v>
      </c>
      <c r="D409" s="192" t="s">
        <v>419</v>
      </c>
      <c r="E409" s="192" t="s">
        <v>420</v>
      </c>
      <c r="F409" s="194" t="s">
        <v>418</v>
      </c>
    </row>
    <row r="410">
      <c r="A410" s="192" t="s">
        <v>107</v>
      </c>
      <c r="B410" s="193">
        <v>45454.70833333333</v>
      </c>
      <c r="C410" s="192">
        <v>-54.28</v>
      </c>
      <c r="D410" s="192" t="s">
        <v>421</v>
      </c>
      <c r="E410" s="192" t="s">
        <v>422</v>
      </c>
      <c r="F410" s="194" t="s">
        <v>418</v>
      </c>
    </row>
    <row r="411">
      <c r="A411" s="192" t="s">
        <v>107</v>
      </c>
      <c r="B411" s="193">
        <v>45524.70833333333</v>
      </c>
      <c r="C411" s="192">
        <v>-53.74</v>
      </c>
      <c r="D411" s="192" t="s">
        <v>423</v>
      </c>
      <c r="E411" s="192" t="s">
        <v>424</v>
      </c>
      <c r="F411" s="194" t="s">
        <v>418</v>
      </c>
    </row>
    <row r="412">
      <c r="A412" s="192" t="s">
        <v>107</v>
      </c>
      <c r="B412" s="193">
        <v>45374.70833333333</v>
      </c>
      <c r="C412" s="192">
        <v>-53.01</v>
      </c>
      <c r="D412" s="192" t="s">
        <v>419</v>
      </c>
      <c r="E412" s="192" t="s">
        <v>420</v>
      </c>
      <c r="F412" s="194" t="s">
        <v>418</v>
      </c>
    </row>
    <row r="413">
      <c r="A413" s="192" t="s">
        <v>107</v>
      </c>
      <c r="B413" s="193">
        <v>45272.66666666667</v>
      </c>
      <c r="C413" s="192">
        <v>-52.98</v>
      </c>
      <c r="D413" s="192" t="s">
        <v>419</v>
      </c>
      <c r="E413" s="192" t="s">
        <v>420</v>
      </c>
      <c r="F413" s="194" t="s">
        <v>418</v>
      </c>
    </row>
    <row r="414">
      <c r="A414" s="192" t="s">
        <v>107</v>
      </c>
      <c r="B414" s="193">
        <v>45475.70833333333</v>
      </c>
      <c r="C414" s="192">
        <v>-51.28</v>
      </c>
      <c r="D414" s="192" t="s">
        <v>419</v>
      </c>
      <c r="E414" s="192" t="s">
        <v>420</v>
      </c>
      <c r="F414" s="194" t="s">
        <v>418</v>
      </c>
    </row>
    <row r="415">
      <c r="A415" s="192" t="s">
        <v>107</v>
      </c>
      <c r="B415" s="193">
        <v>45362.70833333333</v>
      </c>
      <c r="C415" s="192">
        <v>-50.74</v>
      </c>
      <c r="D415" s="192" t="s">
        <v>416</v>
      </c>
      <c r="E415" s="192" t="s">
        <v>417</v>
      </c>
      <c r="F415" s="194" t="s">
        <v>418</v>
      </c>
    </row>
    <row r="416">
      <c r="A416" s="192" t="s">
        <v>107</v>
      </c>
      <c r="B416" s="193">
        <v>45310.66666666667</v>
      </c>
      <c r="C416" s="192">
        <v>-50.45</v>
      </c>
      <c r="D416" s="192" t="s">
        <v>419</v>
      </c>
      <c r="E416" s="192" t="s">
        <v>420</v>
      </c>
      <c r="F416" s="194" t="s">
        <v>418</v>
      </c>
    </row>
    <row r="417">
      <c r="A417" s="192" t="s">
        <v>107</v>
      </c>
      <c r="B417" s="193">
        <v>45498.70833333333</v>
      </c>
      <c r="C417" s="192">
        <v>-50.08</v>
      </c>
      <c r="D417" s="192" t="s">
        <v>419</v>
      </c>
      <c r="E417" s="192" t="s">
        <v>420</v>
      </c>
      <c r="F417" s="194" t="s">
        <v>418</v>
      </c>
    </row>
    <row r="418">
      <c r="A418" s="192" t="s">
        <v>107</v>
      </c>
      <c r="B418" s="193">
        <v>45283.66666666667</v>
      </c>
      <c r="C418" s="192">
        <v>-48.64</v>
      </c>
      <c r="D418" s="192" t="s">
        <v>419</v>
      </c>
      <c r="E418" s="192" t="s">
        <v>420</v>
      </c>
      <c r="F418" s="194" t="s">
        <v>418</v>
      </c>
    </row>
    <row r="419">
      <c r="A419" s="192" t="s">
        <v>107</v>
      </c>
      <c r="B419" s="193">
        <v>45253.66666666667</v>
      </c>
      <c r="C419" s="192">
        <v>-47.95</v>
      </c>
      <c r="D419" s="192" t="s">
        <v>425</v>
      </c>
      <c r="E419" s="192" t="s">
        <v>426</v>
      </c>
      <c r="F419" s="194" t="s">
        <v>418</v>
      </c>
    </row>
    <row r="420">
      <c r="A420" s="192" t="s">
        <v>107</v>
      </c>
      <c r="B420" s="193">
        <v>45295.66666666667</v>
      </c>
      <c r="C420" s="192">
        <v>-47.81</v>
      </c>
      <c r="D420" s="192" t="s">
        <v>419</v>
      </c>
      <c r="E420" s="192" t="s">
        <v>420</v>
      </c>
      <c r="F420" s="194" t="s">
        <v>418</v>
      </c>
    </row>
    <row r="421">
      <c r="A421" s="192" t="s">
        <v>107</v>
      </c>
      <c r="B421" s="193">
        <v>45261.66666666667</v>
      </c>
      <c r="C421" s="192">
        <v>-47.28</v>
      </c>
      <c r="D421" s="192" t="s">
        <v>419</v>
      </c>
      <c r="E421" s="192" t="s">
        <v>420</v>
      </c>
      <c r="F421" s="194" t="s">
        <v>418</v>
      </c>
    </row>
    <row r="422">
      <c r="A422" s="192" t="s">
        <v>107</v>
      </c>
      <c r="B422" s="193">
        <v>45332.66666666667</v>
      </c>
      <c r="C422" s="192">
        <v>-47.25</v>
      </c>
      <c r="D422" s="192" t="s">
        <v>419</v>
      </c>
      <c r="E422" s="192" t="s">
        <v>420</v>
      </c>
      <c r="F422" s="194" t="s">
        <v>418</v>
      </c>
    </row>
    <row r="423">
      <c r="A423" s="192" t="s">
        <v>107</v>
      </c>
      <c r="B423" s="193">
        <v>45347.66666666667</v>
      </c>
      <c r="C423" s="192">
        <v>-46.33</v>
      </c>
      <c r="D423" s="192" t="s">
        <v>419</v>
      </c>
      <c r="E423" s="192" t="s">
        <v>420</v>
      </c>
      <c r="F423" s="194" t="s">
        <v>418</v>
      </c>
    </row>
    <row r="424">
      <c r="A424" s="192" t="s">
        <v>107</v>
      </c>
      <c r="B424" s="193">
        <v>45575.70833333333</v>
      </c>
      <c r="C424" s="192">
        <v>-44.02</v>
      </c>
      <c r="D424" s="192" t="s">
        <v>419</v>
      </c>
      <c r="E424" s="192" t="s">
        <v>420</v>
      </c>
      <c r="F424" s="194" t="s">
        <v>418</v>
      </c>
    </row>
    <row r="425">
      <c r="A425" s="192" t="s">
        <v>107</v>
      </c>
      <c r="B425" s="193">
        <v>45578.70833333333</v>
      </c>
      <c r="C425" s="192">
        <v>-44.02</v>
      </c>
      <c r="D425" s="192" t="s">
        <v>423</v>
      </c>
      <c r="E425" s="192" t="s">
        <v>424</v>
      </c>
      <c r="F425" s="194" t="s">
        <v>418</v>
      </c>
    </row>
    <row r="426">
      <c r="A426" s="192" t="s">
        <v>107</v>
      </c>
      <c r="B426" s="193">
        <v>45513.70833333333</v>
      </c>
      <c r="C426" s="192">
        <v>-43.97</v>
      </c>
      <c r="D426" s="192" t="s">
        <v>419</v>
      </c>
      <c r="E426" s="192" t="s">
        <v>420</v>
      </c>
      <c r="F426" s="194" t="s">
        <v>418</v>
      </c>
    </row>
    <row r="427">
      <c r="A427" s="192" t="s">
        <v>107</v>
      </c>
      <c r="B427" s="193">
        <v>45468.70833333333</v>
      </c>
      <c r="C427" s="192">
        <v>-43.33</v>
      </c>
      <c r="D427" s="192" t="s">
        <v>421</v>
      </c>
      <c r="E427" s="192" t="s">
        <v>422</v>
      </c>
      <c r="F427" s="194" t="s">
        <v>418</v>
      </c>
    </row>
    <row r="428">
      <c r="A428" s="192" t="s">
        <v>107</v>
      </c>
      <c r="B428" s="193">
        <v>45564.70833333333</v>
      </c>
      <c r="C428" s="192">
        <v>-43.33</v>
      </c>
      <c r="D428" s="192" t="s">
        <v>423</v>
      </c>
      <c r="E428" s="192" t="s">
        <v>424</v>
      </c>
      <c r="F428" s="194" t="s">
        <v>418</v>
      </c>
    </row>
    <row r="429">
      <c r="A429" s="192" t="s">
        <v>107</v>
      </c>
      <c r="B429" s="193">
        <v>45391.70833333333</v>
      </c>
      <c r="C429" s="192">
        <v>-41.7</v>
      </c>
      <c r="D429" s="192" t="s">
        <v>416</v>
      </c>
      <c r="E429" s="192" t="s">
        <v>417</v>
      </c>
      <c r="F429" s="194" t="s">
        <v>418</v>
      </c>
    </row>
    <row r="430">
      <c r="A430" s="192" t="s">
        <v>107</v>
      </c>
      <c r="B430" s="193">
        <v>45318.66666666667</v>
      </c>
      <c r="C430" s="192">
        <v>-41.37</v>
      </c>
      <c r="D430" s="192" t="s">
        <v>421</v>
      </c>
      <c r="E430" s="192" t="s">
        <v>422</v>
      </c>
      <c r="F430" s="194" t="s">
        <v>418</v>
      </c>
    </row>
    <row r="431">
      <c r="A431" s="192" t="s">
        <v>107</v>
      </c>
      <c r="B431" s="193">
        <v>45596.70833333333</v>
      </c>
      <c r="C431" s="192">
        <v>-41.31</v>
      </c>
      <c r="D431" s="192" t="s">
        <v>423</v>
      </c>
      <c r="E431" s="192" t="s">
        <v>424</v>
      </c>
      <c r="F431" s="194" t="s">
        <v>418</v>
      </c>
    </row>
    <row r="432">
      <c r="A432" s="192" t="s">
        <v>107</v>
      </c>
      <c r="B432" s="193">
        <v>45550.70833333333</v>
      </c>
      <c r="C432" s="192">
        <v>-40.31</v>
      </c>
      <c r="D432" s="192" t="s">
        <v>423</v>
      </c>
      <c r="E432" s="192" t="s">
        <v>424</v>
      </c>
      <c r="F432" s="194" t="s">
        <v>418</v>
      </c>
    </row>
    <row r="433">
      <c r="A433" s="192" t="s">
        <v>107</v>
      </c>
      <c r="B433" s="193">
        <v>45245.66666666667</v>
      </c>
      <c r="C433" s="192">
        <v>-40.01</v>
      </c>
      <c r="D433" s="192" t="s">
        <v>416</v>
      </c>
      <c r="E433" s="192" t="s">
        <v>417</v>
      </c>
      <c r="F433" s="194" t="s">
        <v>418</v>
      </c>
    </row>
    <row r="434">
      <c r="A434" s="192" t="s">
        <v>107</v>
      </c>
      <c r="B434" s="193">
        <v>45439.70833333333</v>
      </c>
      <c r="C434" s="192">
        <v>-39.25</v>
      </c>
      <c r="D434" s="192" t="s">
        <v>419</v>
      </c>
      <c r="E434" s="192" t="s">
        <v>420</v>
      </c>
      <c r="F434" s="194" t="s">
        <v>418</v>
      </c>
    </row>
    <row r="435">
      <c r="A435" s="192" t="s">
        <v>107</v>
      </c>
      <c r="B435" s="193">
        <v>45412.70833333333</v>
      </c>
      <c r="C435" s="192">
        <v>-39.14</v>
      </c>
      <c r="D435" s="192" t="s">
        <v>416</v>
      </c>
      <c r="E435" s="192" t="s">
        <v>417</v>
      </c>
      <c r="F435" s="194" t="s">
        <v>418</v>
      </c>
    </row>
    <row r="436">
      <c r="A436" s="192" t="s">
        <v>107</v>
      </c>
      <c r="B436" s="193">
        <v>45544.70833333333</v>
      </c>
      <c r="C436" s="192">
        <v>-37.02</v>
      </c>
      <c r="D436" s="192" t="s">
        <v>416</v>
      </c>
      <c r="E436" s="192" t="s">
        <v>417</v>
      </c>
      <c r="F436" s="194" t="s">
        <v>418</v>
      </c>
    </row>
    <row r="437">
      <c r="A437" s="192" t="s">
        <v>107</v>
      </c>
      <c r="B437" s="193">
        <v>45488.70833333333</v>
      </c>
      <c r="C437" s="192">
        <v>-36.93</v>
      </c>
      <c r="D437" s="192" t="s">
        <v>425</v>
      </c>
      <c r="E437" s="192" t="s">
        <v>427</v>
      </c>
      <c r="F437" s="194" t="s">
        <v>418</v>
      </c>
    </row>
    <row r="438">
      <c r="A438" s="192" t="s">
        <v>107</v>
      </c>
      <c r="B438" s="193">
        <v>45274.66666666667</v>
      </c>
      <c r="C438" s="192">
        <v>-33.4</v>
      </c>
      <c r="D438" s="192" t="s">
        <v>419</v>
      </c>
      <c r="E438" s="192" t="s">
        <v>420</v>
      </c>
      <c r="F438" s="194" t="s">
        <v>418</v>
      </c>
    </row>
    <row r="439">
      <c r="A439" s="192" t="s">
        <v>107</v>
      </c>
      <c r="B439" s="193">
        <v>45384.70833333333</v>
      </c>
      <c r="C439" s="192">
        <v>-32.54</v>
      </c>
      <c r="D439" s="192" t="s">
        <v>421</v>
      </c>
      <c r="E439" s="192" t="s">
        <v>422</v>
      </c>
      <c r="F439" s="194" t="s">
        <v>418</v>
      </c>
    </row>
    <row r="440">
      <c r="A440" s="192" t="s">
        <v>107</v>
      </c>
      <c r="B440" s="193">
        <v>45582.70833333333</v>
      </c>
      <c r="C440" s="192">
        <v>-31.56</v>
      </c>
      <c r="D440" s="192" t="s">
        <v>425</v>
      </c>
      <c r="E440" s="192" t="s">
        <v>427</v>
      </c>
      <c r="F440" s="194" t="s">
        <v>418</v>
      </c>
    </row>
    <row r="441">
      <c r="A441" s="192" t="s">
        <v>107</v>
      </c>
      <c r="B441" s="193">
        <v>45522.70833333333</v>
      </c>
      <c r="C441" s="192">
        <v>-31.16</v>
      </c>
      <c r="D441" s="192" t="s">
        <v>423</v>
      </c>
      <c r="E441" s="192" t="s">
        <v>424</v>
      </c>
      <c r="F441" s="194" t="s">
        <v>418</v>
      </c>
    </row>
    <row r="442">
      <c r="A442" s="192" t="s">
        <v>107</v>
      </c>
      <c r="B442" s="193">
        <v>45237.66666666667</v>
      </c>
      <c r="C442" s="192">
        <v>-30.48</v>
      </c>
      <c r="D442" s="192" t="s">
        <v>416</v>
      </c>
      <c r="E442" s="192" t="s">
        <v>417</v>
      </c>
      <c r="F442" s="194" t="s">
        <v>418</v>
      </c>
    </row>
    <row r="443">
      <c r="A443" s="192" t="s">
        <v>107</v>
      </c>
      <c r="B443" s="193">
        <v>45547.70833333333</v>
      </c>
      <c r="C443" s="192">
        <v>-30.17</v>
      </c>
      <c r="D443" s="192" t="s">
        <v>419</v>
      </c>
      <c r="E443" s="192" t="s">
        <v>420</v>
      </c>
      <c r="F443" s="194" t="s">
        <v>418</v>
      </c>
    </row>
    <row r="444">
      <c r="A444" s="192" t="s">
        <v>107</v>
      </c>
      <c r="B444" s="193">
        <v>45482.70833333333</v>
      </c>
      <c r="C444" s="192">
        <v>-29.14</v>
      </c>
      <c r="D444" s="192" t="s">
        <v>421</v>
      </c>
      <c r="E444" s="192" t="s">
        <v>422</v>
      </c>
      <c r="F444" s="194" t="s">
        <v>418</v>
      </c>
    </row>
    <row r="445">
      <c r="A445" s="192" t="s">
        <v>107</v>
      </c>
      <c r="B445" s="193">
        <v>45561.70833333333</v>
      </c>
      <c r="C445" s="192">
        <v>-29.01</v>
      </c>
      <c r="D445" s="192" t="s">
        <v>419</v>
      </c>
      <c r="E445" s="192" t="s">
        <v>420</v>
      </c>
      <c r="F445" s="194" t="s">
        <v>418</v>
      </c>
    </row>
    <row r="446">
      <c r="A446" s="192" t="s">
        <v>107</v>
      </c>
      <c r="B446" s="193">
        <v>45363.70833333333</v>
      </c>
      <c r="C446" s="192">
        <v>-28.66</v>
      </c>
      <c r="D446" s="192" t="s">
        <v>416</v>
      </c>
      <c r="E446" s="192" t="s">
        <v>417</v>
      </c>
      <c r="F446" s="194" t="s">
        <v>418</v>
      </c>
    </row>
    <row r="447">
      <c r="A447" s="192" t="s">
        <v>107</v>
      </c>
      <c r="B447" s="193">
        <v>45279.66666666667</v>
      </c>
      <c r="C447" s="192">
        <v>-26.4</v>
      </c>
      <c r="D447" s="192" t="s">
        <v>428</v>
      </c>
      <c r="E447" s="192" t="s">
        <v>429</v>
      </c>
      <c r="F447" s="194" t="s">
        <v>418</v>
      </c>
    </row>
    <row r="448">
      <c r="A448" s="192" t="s">
        <v>107</v>
      </c>
      <c r="B448" s="193">
        <v>45532.70833333333</v>
      </c>
      <c r="C448" s="192">
        <v>-26.38</v>
      </c>
      <c r="D448" s="192" t="s">
        <v>419</v>
      </c>
      <c r="E448" s="192" t="s">
        <v>420</v>
      </c>
      <c r="F448" s="194" t="s">
        <v>418</v>
      </c>
    </row>
    <row r="449">
      <c r="A449" s="192" t="s">
        <v>107</v>
      </c>
      <c r="B449" s="193">
        <v>45314.66666666667</v>
      </c>
      <c r="C449" s="192">
        <v>-25.0</v>
      </c>
      <c r="D449" s="192" t="s">
        <v>416</v>
      </c>
      <c r="E449" s="192" t="s">
        <v>417</v>
      </c>
      <c r="F449" s="194" t="s">
        <v>418</v>
      </c>
    </row>
    <row r="450">
      <c r="A450" s="192" t="s">
        <v>107</v>
      </c>
      <c r="B450" s="193">
        <v>45335.66666666667</v>
      </c>
      <c r="C450" s="192">
        <v>-20.26</v>
      </c>
      <c r="D450" s="192" t="s">
        <v>416</v>
      </c>
      <c r="E450" s="192" t="s">
        <v>417</v>
      </c>
      <c r="F450" s="194" t="s">
        <v>418</v>
      </c>
    </row>
    <row r="451">
      <c r="A451" s="192" t="s">
        <v>107</v>
      </c>
      <c r="B451" s="193">
        <v>45518.70833333333</v>
      </c>
      <c r="C451" s="192">
        <v>-10.79</v>
      </c>
      <c r="D451" s="192" t="s">
        <v>430</v>
      </c>
      <c r="E451" s="192" t="s">
        <v>431</v>
      </c>
      <c r="F451" s="194" t="s">
        <v>418</v>
      </c>
    </row>
    <row r="452">
      <c r="A452" s="192" t="s">
        <v>107</v>
      </c>
      <c r="B452" s="193">
        <v>45484.70833333333</v>
      </c>
      <c r="C452" s="192">
        <v>-5.39</v>
      </c>
      <c r="D452" s="192" t="s">
        <v>432</v>
      </c>
      <c r="E452" s="192" t="s">
        <v>433</v>
      </c>
      <c r="F452" s="194" t="s">
        <v>418</v>
      </c>
    </row>
    <row r="453">
      <c r="A453" s="192" t="s">
        <v>107</v>
      </c>
      <c r="B453" s="193">
        <v>45484.70833333333</v>
      </c>
      <c r="C453" s="192">
        <v>-3.59</v>
      </c>
      <c r="D453" s="192" t="s">
        <v>432</v>
      </c>
      <c r="E453" s="192" t="s">
        <v>433</v>
      </c>
      <c r="F453" s="194" t="s">
        <v>418</v>
      </c>
    </row>
    <row r="454">
      <c r="A454" s="192" t="s">
        <v>123</v>
      </c>
      <c r="B454" s="193">
        <v>45464.70833333333</v>
      </c>
      <c r="C454" s="192">
        <v>-33.24</v>
      </c>
      <c r="D454" s="192" t="s">
        <v>434</v>
      </c>
      <c r="E454" s="192" t="s">
        <v>435</v>
      </c>
      <c r="F454" s="194" t="s">
        <v>418</v>
      </c>
    </row>
    <row r="455">
      <c r="A455" s="192" t="s">
        <v>123</v>
      </c>
      <c r="B455" s="193">
        <v>45344.66666666667</v>
      </c>
      <c r="C455" s="192">
        <v>-7.97</v>
      </c>
      <c r="D455" s="192" t="s">
        <v>436</v>
      </c>
      <c r="E455" s="192" t="s">
        <v>437</v>
      </c>
      <c r="F455" s="194" t="s">
        <v>418</v>
      </c>
    </row>
    <row r="456">
      <c r="A456" s="192" t="s">
        <v>123</v>
      </c>
      <c r="B456" s="193">
        <v>45464.70833333333</v>
      </c>
      <c r="C456" s="192">
        <v>-2.89</v>
      </c>
      <c r="D456" s="192" t="s">
        <v>434</v>
      </c>
      <c r="E456" s="192" t="s">
        <v>435</v>
      </c>
      <c r="F456" s="194" t="s">
        <v>418</v>
      </c>
    </row>
    <row r="457">
      <c r="A457" s="192" t="s">
        <v>158</v>
      </c>
      <c r="B457" s="193">
        <v>45328.66666666667</v>
      </c>
      <c r="C457" s="192">
        <v>-569.95</v>
      </c>
      <c r="D457" s="192" t="s">
        <v>438</v>
      </c>
      <c r="E457" s="192" t="s">
        <v>439</v>
      </c>
      <c r="F457" s="194" t="s">
        <v>418</v>
      </c>
    </row>
    <row r="458">
      <c r="A458" s="192" t="s">
        <v>158</v>
      </c>
      <c r="B458" s="193">
        <v>45433.70833333333</v>
      </c>
      <c r="C458" s="192">
        <v>-543.96</v>
      </c>
      <c r="D458" s="192" t="s">
        <v>438</v>
      </c>
      <c r="E458" s="192" t="s">
        <v>439</v>
      </c>
      <c r="F458" s="194" t="s">
        <v>418</v>
      </c>
    </row>
    <row r="459">
      <c r="A459" s="192" t="s">
        <v>158</v>
      </c>
      <c r="B459" s="193">
        <v>45362.70833333333</v>
      </c>
      <c r="C459" s="192">
        <v>-488.92</v>
      </c>
      <c r="D459" s="192" t="s">
        <v>438</v>
      </c>
      <c r="E459" s="192" t="s">
        <v>439</v>
      </c>
      <c r="F459" s="194" t="s">
        <v>418</v>
      </c>
    </row>
    <row r="460">
      <c r="A460" s="192" t="s">
        <v>158</v>
      </c>
      <c r="B460" s="193">
        <v>45299.66666666667</v>
      </c>
      <c r="C460" s="192">
        <v>-469.77</v>
      </c>
      <c r="D460" s="192" t="s">
        <v>438</v>
      </c>
      <c r="E460" s="192" t="s">
        <v>439</v>
      </c>
      <c r="F460" s="194" t="s">
        <v>418</v>
      </c>
    </row>
    <row r="461">
      <c r="A461" s="192" t="s">
        <v>158</v>
      </c>
      <c r="B461" s="193">
        <v>45263.66666666667</v>
      </c>
      <c r="C461" s="192">
        <v>-378.98</v>
      </c>
      <c r="D461" s="192" t="s">
        <v>438</v>
      </c>
      <c r="E461" s="192" t="s">
        <v>439</v>
      </c>
      <c r="F461" s="194" t="s">
        <v>418</v>
      </c>
    </row>
    <row r="462">
      <c r="A462" s="192" t="s">
        <v>133</v>
      </c>
      <c r="B462" s="193">
        <v>45274.66666666667</v>
      </c>
      <c r="C462" s="192">
        <v>-50.0</v>
      </c>
      <c r="D462" s="192" t="s">
        <v>440</v>
      </c>
      <c r="E462" s="192" t="s">
        <v>441</v>
      </c>
      <c r="F462" s="194" t="s">
        <v>418</v>
      </c>
    </row>
    <row r="463">
      <c r="A463" s="192" t="s">
        <v>133</v>
      </c>
      <c r="B463" s="193">
        <v>45329.66666666667</v>
      </c>
      <c r="C463" s="192">
        <v>-18.4</v>
      </c>
      <c r="D463" s="192" t="s">
        <v>428</v>
      </c>
      <c r="E463" s="192" t="s">
        <v>442</v>
      </c>
      <c r="F463" s="194" t="s">
        <v>418</v>
      </c>
    </row>
    <row r="464">
      <c r="A464" s="192" t="s">
        <v>133</v>
      </c>
      <c r="B464" s="193">
        <v>45300.66666666667</v>
      </c>
      <c r="C464" s="192">
        <v>-10.2</v>
      </c>
      <c r="D464" s="192" t="s">
        <v>428</v>
      </c>
      <c r="E464" s="192" t="s">
        <v>442</v>
      </c>
      <c r="F464" s="194" t="s">
        <v>418</v>
      </c>
    </row>
    <row r="465">
      <c r="A465" s="192" t="s">
        <v>107</v>
      </c>
      <c r="B465" s="193">
        <v>45444.70833333333</v>
      </c>
      <c r="C465" s="192">
        <v>-268.83</v>
      </c>
      <c r="D465" s="192" t="s">
        <v>443</v>
      </c>
      <c r="E465" s="192" t="s">
        <v>444</v>
      </c>
      <c r="F465" s="194" t="s">
        <v>445</v>
      </c>
    </row>
    <row r="466">
      <c r="A466" s="192" t="s">
        <v>107</v>
      </c>
      <c r="B466" s="193">
        <v>45388.70833333333</v>
      </c>
      <c r="C466" s="192">
        <v>-244.46</v>
      </c>
      <c r="D466" s="192" t="s">
        <v>443</v>
      </c>
      <c r="E466" s="192" t="s">
        <v>446</v>
      </c>
      <c r="F466" s="194" t="s">
        <v>445</v>
      </c>
    </row>
    <row r="467">
      <c r="A467" s="192" t="s">
        <v>107</v>
      </c>
      <c r="B467" s="193">
        <v>45282.66666666667</v>
      </c>
      <c r="C467" s="192">
        <v>-238.13</v>
      </c>
      <c r="D467" s="192" t="s">
        <v>443</v>
      </c>
      <c r="E467" s="192" t="s">
        <v>446</v>
      </c>
      <c r="F467" s="194" t="s">
        <v>445</v>
      </c>
    </row>
    <row r="468">
      <c r="A468" s="192" t="s">
        <v>107</v>
      </c>
      <c r="B468" s="193">
        <v>45436.70833333333</v>
      </c>
      <c r="C468" s="192">
        <v>-226.84</v>
      </c>
      <c r="D468" s="192" t="s">
        <v>443</v>
      </c>
      <c r="E468" s="192" t="s">
        <v>444</v>
      </c>
      <c r="F468" s="194" t="s">
        <v>445</v>
      </c>
    </row>
    <row r="469">
      <c r="A469" s="192" t="s">
        <v>107</v>
      </c>
      <c r="B469" s="193">
        <v>45493.70833333333</v>
      </c>
      <c r="C469" s="192">
        <v>-211.87</v>
      </c>
      <c r="D469" s="192" t="s">
        <v>443</v>
      </c>
      <c r="E469" s="192" t="s">
        <v>446</v>
      </c>
      <c r="F469" s="194" t="s">
        <v>445</v>
      </c>
    </row>
    <row r="470">
      <c r="A470" s="192" t="s">
        <v>107</v>
      </c>
      <c r="B470" s="193">
        <v>45577.70833333333</v>
      </c>
      <c r="C470" s="192">
        <v>-211.52</v>
      </c>
      <c r="D470" s="192" t="s">
        <v>443</v>
      </c>
      <c r="E470" s="192" t="s">
        <v>444</v>
      </c>
      <c r="F470" s="194" t="s">
        <v>445</v>
      </c>
    </row>
    <row r="471">
      <c r="A471" s="192" t="s">
        <v>107</v>
      </c>
      <c r="B471" s="193">
        <v>45274.66666666667</v>
      </c>
      <c r="C471" s="192">
        <v>-210.78</v>
      </c>
      <c r="D471" s="192" t="s">
        <v>443</v>
      </c>
      <c r="E471" s="192" t="s">
        <v>446</v>
      </c>
      <c r="F471" s="194" t="s">
        <v>445</v>
      </c>
    </row>
    <row r="472">
      <c r="A472" s="192" t="s">
        <v>107</v>
      </c>
      <c r="B472" s="193">
        <v>45592.70833333333</v>
      </c>
      <c r="C472" s="192">
        <v>-209.36</v>
      </c>
      <c r="D472" s="192" t="s">
        <v>443</v>
      </c>
      <c r="E472" s="192" t="s">
        <v>446</v>
      </c>
      <c r="F472" s="194" t="s">
        <v>445</v>
      </c>
    </row>
    <row r="473">
      <c r="A473" s="192" t="s">
        <v>107</v>
      </c>
      <c r="B473" s="193">
        <v>45542.70833333333</v>
      </c>
      <c r="C473" s="192">
        <v>-207.48</v>
      </c>
      <c r="D473" s="192" t="s">
        <v>443</v>
      </c>
      <c r="E473" s="192" t="s">
        <v>444</v>
      </c>
      <c r="F473" s="194" t="s">
        <v>445</v>
      </c>
    </row>
    <row r="474">
      <c r="A474" s="192" t="s">
        <v>107</v>
      </c>
      <c r="B474" s="193">
        <v>45321.66666666667</v>
      </c>
      <c r="C474" s="192">
        <v>-205.12</v>
      </c>
      <c r="D474" s="192" t="s">
        <v>443</v>
      </c>
      <c r="E474" s="192" t="s">
        <v>444</v>
      </c>
      <c r="F474" s="194" t="s">
        <v>445</v>
      </c>
    </row>
    <row r="475">
      <c r="A475" s="192" t="s">
        <v>107</v>
      </c>
      <c r="B475" s="193">
        <v>45417.70833333333</v>
      </c>
      <c r="C475" s="192">
        <v>-202.92</v>
      </c>
      <c r="D475" s="192" t="s">
        <v>443</v>
      </c>
      <c r="E475" s="192" t="s">
        <v>444</v>
      </c>
      <c r="F475" s="194" t="s">
        <v>445</v>
      </c>
    </row>
    <row r="476">
      <c r="A476" s="192" t="s">
        <v>107</v>
      </c>
      <c r="B476" s="193">
        <v>45402.70833333333</v>
      </c>
      <c r="C476" s="192">
        <v>-199.01</v>
      </c>
      <c r="D476" s="192" t="s">
        <v>443</v>
      </c>
      <c r="E476" s="192" t="s">
        <v>444</v>
      </c>
      <c r="F476" s="194" t="s">
        <v>445</v>
      </c>
    </row>
    <row r="477">
      <c r="A477" s="192" t="s">
        <v>107</v>
      </c>
      <c r="B477" s="193">
        <v>45563.70833333333</v>
      </c>
      <c r="C477" s="192">
        <v>-198.56</v>
      </c>
      <c r="D477" s="192" t="s">
        <v>443</v>
      </c>
      <c r="E477" s="192" t="s">
        <v>444</v>
      </c>
      <c r="F477" s="194" t="s">
        <v>445</v>
      </c>
    </row>
    <row r="478">
      <c r="A478" s="192" t="s">
        <v>107</v>
      </c>
      <c r="B478" s="193">
        <v>45246.66666666667</v>
      </c>
      <c r="C478" s="192">
        <v>-196.74</v>
      </c>
      <c r="D478" s="192" t="s">
        <v>443</v>
      </c>
      <c r="E478" s="192" t="s">
        <v>446</v>
      </c>
      <c r="F478" s="194" t="s">
        <v>445</v>
      </c>
    </row>
    <row r="479">
      <c r="A479" s="192" t="s">
        <v>107</v>
      </c>
      <c r="B479" s="193">
        <v>45409.70833333333</v>
      </c>
      <c r="C479" s="192">
        <v>-196.6</v>
      </c>
      <c r="D479" s="192" t="s">
        <v>443</v>
      </c>
      <c r="E479" s="192" t="s">
        <v>446</v>
      </c>
      <c r="F479" s="194" t="s">
        <v>445</v>
      </c>
    </row>
    <row r="480">
      <c r="A480" s="192" t="s">
        <v>107</v>
      </c>
      <c r="B480" s="193">
        <v>45361.70833333333</v>
      </c>
      <c r="C480" s="192">
        <v>-196.37</v>
      </c>
      <c r="D480" s="192" t="s">
        <v>443</v>
      </c>
      <c r="E480" s="192" t="s">
        <v>446</v>
      </c>
      <c r="F480" s="194" t="s">
        <v>445</v>
      </c>
    </row>
    <row r="481">
      <c r="A481" s="192" t="s">
        <v>107</v>
      </c>
      <c r="B481" s="193">
        <v>45368.70833333333</v>
      </c>
      <c r="C481" s="192">
        <v>-194.42</v>
      </c>
      <c r="D481" s="192" t="s">
        <v>443</v>
      </c>
      <c r="E481" s="192" t="s">
        <v>446</v>
      </c>
      <c r="F481" s="194" t="s">
        <v>445</v>
      </c>
    </row>
    <row r="482">
      <c r="A482" s="192" t="s">
        <v>107</v>
      </c>
      <c r="B482" s="193">
        <v>45336.66666666667</v>
      </c>
      <c r="C482" s="192">
        <v>-194.33</v>
      </c>
      <c r="D482" s="192" t="s">
        <v>443</v>
      </c>
      <c r="E482" s="192" t="s">
        <v>446</v>
      </c>
      <c r="F482" s="194" t="s">
        <v>445</v>
      </c>
    </row>
    <row r="483">
      <c r="A483" s="192" t="s">
        <v>107</v>
      </c>
      <c r="B483" s="193">
        <v>45479.70833333333</v>
      </c>
      <c r="C483" s="192">
        <v>-193.16</v>
      </c>
      <c r="D483" s="192" t="s">
        <v>443</v>
      </c>
      <c r="E483" s="192" t="s">
        <v>444</v>
      </c>
      <c r="F483" s="194" t="s">
        <v>445</v>
      </c>
    </row>
    <row r="484">
      <c r="A484" s="192" t="s">
        <v>107</v>
      </c>
      <c r="B484" s="193">
        <v>45501.70833333333</v>
      </c>
      <c r="C484" s="192">
        <v>-191.35</v>
      </c>
      <c r="D484" s="192" t="s">
        <v>443</v>
      </c>
      <c r="E484" s="192" t="s">
        <v>446</v>
      </c>
      <c r="F484" s="194" t="s">
        <v>445</v>
      </c>
    </row>
    <row r="485">
      <c r="A485" s="192" t="s">
        <v>107</v>
      </c>
      <c r="B485" s="193">
        <v>45344.66666666667</v>
      </c>
      <c r="C485" s="192">
        <v>-183.93</v>
      </c>
      <c r="D485" s="192" t="s">
        <v>443</v>
      </c>
      <c r="E485" s="192" t="s">
        <v>446</v>
      </c>
      <c r="F485" s="194" t="s">
        <v>445</v>
      </c>
    </row>
    <row r="486">
      <c r="A486" s="192" t="s">
        <v>107</v>
      </c>
      <c r="B486" s="193">
        <v>45350.66666666667</v>
      </c>
      <c r="C486" s="192">
        <v>-182.35</v>
      </c>
      <c r="D486" s="192" t="s">
        <v>443</v>
      </c>
      <c r="E486" s="192" t="s">
        <v>446</v>
      </c>
      <c r="F486" s="194" t="s">
        <v>445</v>
      </c>
    </row>
    <row r="487">
      <c r="A487" s="192" t="s">
        <v>107</v>
      </c>
      <c r="B487" s="193">
        <v>45329.66666666667</v>
      </c>
      <c r="C487" s="192">
        <v>-175.84</v>
      </c>
      <c r="D487" s="192" t="s">
        <v>443</v>
      </c>
      <c r="E487" s="192" t="s">
        <v>446</v>
      </c>
      <c r="F487" s="194" t="s">
        <v>445</v>
      </c>
    </row>
    <row r="488">
      <c r="A488" s="192" t="s">
        <v>107</v>
      </c>
      <c r="B488" s="193">
        <v>45570.70833333333</v>
      </c>
      <c r="C488" s="192">
        <v>-175.07</v>
      </c>
      <c r="D488" s="192" t="s">
        <v>443</v>
      </c>
      <c r="E488" s="192" t="s">
        <v>444</v>
      </c>
      <c r="F488" s="194" t="s">
        <v>445</v>
      </c>
    </row>
    <row r="489">
      <c r="A489" s="192" t="s">
        <v>107</v>
      </c>
      <c r="B489" s="193">
        <v>45528.70833333333</v>
      </c>
      <c r="C489" s="192">
        <v>-174.41</v>
      </c>
      <c r="D489" s="192" t="s">
        <v>443</v>
      </c>
      <c r="E489" s="192" t="s">
        <v>446</v>
      </c>
      <c r="F489" s="194" t="s">
        <v>445</v>
      </c>
    </row>
    <row r="490">
      <c r="A490" s="192" t="s">
        <v>107</v>
      </c>
      <c r="B490" s="193">
        <v>45459.70833333333</v>
      </c>
      <c r="C490" s="192">
        <v>-172.28</v>
      </c>
      <c r="D490" s="192" t="s">
        <v>443</v>
      </c>
      <c r="E490" s="192" t="s">
        <v>444</v>
      </c>
      <c r="F490" s="194" t="s">
        <v>445</v>
      </c>
    </row>
    <row r="491">
      <c r="A491" s="192" t="s">
        <v>107</v>
      </c>
      <c r="B491" s="193">
        <v>45519.70833333333</v>
      </c>
      <c r="C491" s="192">
        <v>-171.0</v>
      </c>
      <c r="D491" s="192" t="s">
        <v>443</v>
      </c>
      <c r="E491" s="192" t="s">
        <v>446</v>
      </c>
      <c r="F491" s="194" t="s">
        <v>445</v>
      </c>
    </row>
    <row r="492">
      <c r="A492" s="192" t="s">
        <v>107</v>
      </c>
      <c r="B492" s="193">
        <v>45549.70833333333</v>
      </c>
      <c r="C492" s="192">
        <v>-170.86</v>
      </c>
      <c r="D492" s="192" t="s">
        <v>443</v>
      </c>
      <c r="E492" s="192" t="s">
        <v>444</v>
      </c>
      <c r="F492" s="194" t="s">
        <v>445</v>
      </c>
    </row>
    <row r="493">
      <c r="A493" s="192" t="s">
        <v>107</v>
      </c>
      <c r="B493" s="193">
        <v>45467.70833333333</v>
      </c>
      <c r="C493" s="192">
        <v>-168.5</v>
      </c>
      <c r="D493" s="192" t="s">
        <v>443</v>
      </c>
      <c r="E493" s="192" t="s">
        <v>446</v>
      </c>
      <c r="F493" s="194" t="s">
        <v>445</v>
      </c>
    </row>
    <row r="494">
      <c r="A494" s="192" t="s">
        <v>107</v>
      </c>
      <c r="B494" s="193">
        <v>45452.70833333333</v>
      </c>
      <c r="C494" s="192">
        <v>-166.27</v>
      </c>
      <c r="D494" s="192" t="s">
        <v>443</v>
      </c>
      <c r="E494" s="192" t="s">
        <v>446</v>
      </c>
      <c r="F494" s="194" t="s">
        <v>445</v>
      </c>
    </row>
    <row r="495">
      <c r="A495" s="192" t="s">
        <v>107</v>
      </c>
      <c r="B495" s="193">
        <v>45431.70833333333</v>
      </c>
      <c r="C495" s="192">
        <v>-166.01</v>
      </c>
      <c r="D495" s="192" t="s">
        <v>443</v>
      </c>
      <c r="E495" s="192" t="s">
        <v>444</v>
      </c>
      <c r="F495" s="194" t="s">
        <v>445</v>
      </c>
    </row>
    <row r="496">
      <c r="A496" s="192" t="s">
        <v>107</v>
      </c>
      <c r="B496" s="193">
        <v>45395.70833333333</v>
      </c>
      <c r="C496" s="192">
        <v>-164.81</v>
      </c>
      <c r="D496" s="192" t="s">
        <v>443</v>
      </c>
      <c r="E496" s="192" t="s">
        <v>446</v>
      </c>
      <c r="F496" s="194" t="s">
        <v>445</v>
      </c>
    </row>
    <row r="497">
      <c r="A497" s="192" t="s">
        <v>107</v>
      </c>
      <c r="B497" s="193">
        <v>45472.70833333333</v>
      </c>
      <c r="C497" s="192">
        <v>-161.6</v>
      </c>
      <c r="D497" s="192" t="s">
        <v>443</v>
      </c>
      <c r="E497" s="192" t="s">
        <v>444</v>
      </c>
      <c r="F497" s="194" t="s">
        <v>445</v>
      </c>
    </row>
    <row r="498">
      <c r="A498" s="192" t="s">
        <v>107</v>
      </c>
      <c r="B498" s="193">
        <v>45267.66666666667</v>
      </c>
      <c r="C498" s="192">
        <v>-160.7</v>
      </c>
      <c r="D498" s="192" t="s">
        <v>443</v>
      </c>
      <c r="E498" s="192" t="s">
        <v>446</v>
      </c>
      <c r="F498" s="194" t="s">
        <v>445</v>
      </c>
    </row>
    <row r="499">
      <c r="A499" s="192" t="s">
        <v>107</v>
      </c>
      <c r="B499" s="193">
        <v>45424.70833333333</v>
      </c>
      <c r="C499" s="192">
        <v>-159.97</v>
      </c>
      <c r="D499" s="192" t="s">
        <v>443</v>
      </c>
      <c r="E499" s="192" t="s">
        <v>444</v>
      </c>
      <c r="F499" s="194" t="s">
        <v>445</v>
      </c>
    </row>
    <row r="500">
      <c r="A500" s="192" t="s">
        <v>107</v>
      </c>
      <c r="B500" s="193">
        <v>45309.66666666667</v>
      </c>
      <c r="C500" s="192">
        <v>-159.09</v>
      </c>
      <c r="D500" s="192" t="s">
        <v>443</v>
      </c>
      <c r="E500" s="192" t="s">
        <v>446</v>
      </c>
      <c r="F500" s="194" t="s">
        <v>445</v>
      </c>
    </row>
    <row r="501">
      <c r="A501" s="192" t="s">
        <v>107</v>
      </c>
      <c r="B501" s="193">
        <v>45254.66666666667</v>
      </c>
      <c r="C501" s="192">
        <v>-158.99</v>
      </c>
      <c r="D501" s="192" t="s">
        <v>443</v>
      </c>
      <c r="E501" s="192" t="s">
        <v>446</v>
      </c>
      <c r="F501" s="194" t="s">
        <v>445</v>
      </c>
    </row>
    <row r="502">
      <c r="A502" s="192" t="s">
        <v>107</v>
      </c>
      <c r="B502" s="193">
        <v>45515.70833333333</v>
      </c>
      <c r="C502" s="192">
        <v>-157.19</v>
      </c>
      <c r="D502" s="192" t="s">
        <v>447</v>
      </c>
      <c r="E502" s="192" t="s">
        <v>448</v>
      </c>
      <c r="F502" s="194" t="s">
        <v>445</v>
      </c>
    </row>
    <row r="503">
      <c r="A503" s="192" t="s">
        <v>107</v>
      </c>
      <c r="B503" s="193">
        <v>45508.70833333333</v>
      </c>
      <c r="C503" s="192">
        <v>-152.18</v>
      </c>
      <c r="D503" s="192" t="s">
        <v>443</v>
      </c>
      <c r="E503" s="192" t="s">
        <v>444</v>
      </c>
      <c r="F503" s="194" t="s">
        <v>445</v>
      </c>
    </row>
    <row r="504">
      <c r="A504" s="192" t="s">
        <v>107</v>
      </c>
      <c r="B504" s="193">
        <v>45289.66666666667</v>
      </c>
      <c r="C504" s="192">
        <v>-150.05</v>
      </c>
      <c r="D504" s="192" t="s">
        <v>443</v>
      </c>
      <c r="E504" s="192" t="s">
        <v>446</v>
      </c>
      <c r="F504" s="194" t="s">
        <v>445</v>
      </c>
    </row>
    <row r="505">
      <c r="A505" s="192" t="s">
        <v>107</v>
      </c>
      <c r="B505" s="193">
        <v>45596.70833333333</v>
      </c>
      <c r="C505" s="192">
        <v>-147.81</v>
      </c>
      <c r="D505" s="192" t="s">
        <v>443</v>
      </c>
      <c r="E505" s="192" t="s">
        <v>444</v>
      </c>
      <c r="F505" s="194" t="s">
        <v>445</v>
      </c>
    </row>
    <row r="506">
      <c r="A506" s="192" t="s">
        <v>107</v>
      </c>
      <c r="B506" s="193">
        <v>45374.70833333333</v>
      </c>
      <c r="C506" s="192">
        <v>-147.09</v>
      </c>
      <c r="D506" s="192" t="s">
        <v>443</v>
      </c>
      <c r="E506" s="192" t="s">
        <v>446</v>
      </c>
      <c r="F506" s="194" t="s">
        <v>445</v>
      </c>
    </row>
    <row r="507">
      <c r="A507" s="192" t="s">
        <v>107</v>
      </c>
      <c r="B507" s="193">
        <v>45556.70833333333</v>
      </c>
      <c r="C507" s="192">
        <v>-137.63</v>
      </c>
      <c r="D507" s="192" t="s">
        <v>443</v>
      </c>
      <c r="E507" s="192" t="s">
        <v>444</v>
      </c>
      <c r="F507" s="194" t="s">
        <v>445</v>
      </c>
    </row>
    <row r="508">
      <c r="A508" s="192" t="s">
        <v>107</v>
      </c>
      <c r="B508" s="193">
        <v>45380.70833333333</v>
      </c>
      <c r="C508" s="192">
        <v>-137.39</v>
      </c>
      <c r="D508" s="192" t="s">
        <v>443</v>
      </c>
      <c r="E508" s="192" t="s">
        <v>449</v>
      </c>
      <c r="F508" s="194" t="s">
        <v>445</v>
      </c>
    </row>
    <row r="509">
      <c r="A509" s="192" t="s">
        <v>107</v>
      </c>
      <c r="B509" s="193">
        <v>45536.70833333333</v>
      </c>
      <c r="C509" s="192">
        <v>-132.37</v>
      </c>
      <c r="D509" s="192" t="s">
        <v>443</v>
      </c>
      <c r="E509" s="192" t="s">
        <v>446</v>
      </c>
      <c r="F509" s="194" t="s">
        <v>445</v>
      </c>
    </row>
    <row r="510">
      <c r="A510" s="192" t="s">
        <v>107</v>
      </c>
      <c r="B510" s="193">
        <v>45302.66666666667</v>
      </c>
      <c r="C510" s="192">
        <v>-127.62</v>
      </c>
      <c r="D510" s="192" t="s">
        <v>443</v>
      </c>
      <c r="E510" s="192" t="s">
        <v>446</v>
      </c>
      <c r="F510" s="194" t="s">
        <v>445</v>
      </c>
    </row>
    <row r="511">
      <c r="A511" s="192" t="s">
        <v>107</v>
      </c>
      <c r="B511" s="193">
        <v>45296.66666666667</v>
      </c>
      <c r="C511" s="192">
        <v>-117.18</v>
      </c>
      <c r="D511" s="192" t="s">
        <v>443</v>
      </c>
      <c r="E511" s="192" t="s">
        <v>446</v>
      </c>
      <c r="F511" s="194" t="s">
        <v>445</v>
      </c>
    </row>
    <row r="512">
      <c r="A512" s="192" t="s">
        <v>107</v>
      </c>
      <c r="B512" s="193">
        <v>45259.66666666667</v>
      </c>
      <c r="C512" s="192">
        <v>-113.99</v>
      </c>
      <c r="D512" s="192" t="s">
        <v>443</v>
      </c>
      <c r="E512" s="192" t="s">
        <v>446</v>
      </c>
      <c r="F512" s="194" t="s">
        <v>445</v>
      </c>
    </row>
    <row r="513">
      <c r="A513" s="192" t="s">
        <v>107</v>
      </c>
      <c r="B513" s="193">
        <v>45240.66666666667</v>
      </c>
      <c r="C513" s="192">
        <v>-104.31</v>
      </c>
      <c r="D513" s="192" t="s">
        <v>443</v>
      </c>
      <c r="E513" s="192" t="s">
        <v>444</v>
      </c>
      <c r="F513" s="194" t="s">
        <v>445</v>
      </c>
    </row>
    <row r="514">
      <c r="A514" s="192" t="s">
        <v>107</v>
      </c>
      <c r="B514" s="193">
        <v>45429.70833333333</v>
      </c>
      <c r="C514" s="192">
        <v>-84.24</v>
      </c>
      <c r="D514" s="192" t="s">
        <v>450</v>
      </c>
      <c r="E514" s="192" t="s">
        <v>451</v>
      </c>
      <c r="F514" s="194" t="s">
        <v>445</v>
      </c>
    </row>
    <row r="515">
      <c r="A515" s="192" t="s">
        <v>107</v>
      </c>
      <c r="B515" s="193">
        <v>45596.70833333333</v>
      </c>
      <c r="C515" s="192">
        <v>-80.92</v>
      </c>
      <c r="D515" s="192" t="s">
        <v>450</v>
      </c>
      <c r="E515" s="192" t="s">
        <v>451</v>
      </c>
      <c r="F515" s="194" t="s">
        <v>445</v>
      </c>
    </row>
    <row r="516">
      <c r="A516" s="192" t="s">
        <v>107</v>
      </c>
      <c r="B516" s="193">
        <v>45260.66666666667</v>
      </c>
      <c r="C516" s="192">
        <v>-76.96</v>
      </c>
      <c r="D516" s="192" t="s">
        <v>452</v>
      </c>
      <c r="E516" s="192" t="s">
        <v>453</v>
      </c>
      <c r="F516" s="194" t="s">
        <v>445</v>
      </c>
    </row>
    <row r="517">
      <c r="A517" s="192" t="s">
        <v>107</v>
      </c>
      <c r="B517" s="193">
        <v>45555.70833333333</v>
      </c>
      <c r="C517" s="192">
        <v>-70.69</v>
      </c>
      <c r="D517" s="192" t="s">
        <v>450</v>
      </c>
      <c r="E517" s="192" t="s">
        <v>451</v>
      </c>
      <c r="F517" s="194" t="s">
        <v>445</v>
      </c>
    </row>
    <row r="518">
      <c r="A518" s="192" t="s">
        <v>107</v>
      </c>
      <c r="B518" s="193">
        <v>45583.70833333333</v>
      </c>
      <c r="C518" s="192">
        <v>-68.76</v>
      </c>
      <c r="D518" s="192" t="s">
        <v>443</v>
      </c>
      <c r="E518" s="192" t="s">
        <v>454</v>
      </c>
      <c r="F518" s="194" t="s">
        <v>445</v>
      </c>
    </row>
    <row r="519">
      <c r="A519" s="192" t="s">
        <v>107</v>
      </c>
      <c r="B519" s="193">
        <v>45575.70833333333</v>
      </c>
      <c r="C519" s="192">
        <v>-68.13</v>
      </c>
      <c r="D519" s="192" t="s">
        <v>443</v>
      </c>
      <c r="E519" s="192" t="s">
        <v>454</v>
      </c>
      <c r="F519" s="194" t="s">
        <v>445</v>
      </c>
    </row>
    <row r="520">
      <c r="A520" s="192" t="s">
        <v>107</v>
      </c>
      <c r="B520" s="193">
        <v>45435.70833333333</v>
      </c>
      <c r="C520" s="192">
        <v>-67.11</v>
      </c>
      <c r="D520" s="192" t="s">
        <v>455</v>
      </c>
      <c r="E520" s="192" t="s">
        <v>456</v>
      </c>
      <c r="F520" s="194" t="s">
        <v>445</v>
      </c>
    </row>
    <row r="521">
      <c r="A521" s="192" t="s">
        <v>107</v>
      </c>
      <c r="B521" s="193">
        <v>45596.70833333333</v>
      </c>
      <c r="C521" s="192">
        <v>-66.03</v>
      </c>
      <c r="D521" s="192" t="s">
        <v>457</v>
      </c>
      <c r="E521" s="192" t="s">
        <v>458</v>
      </c>
      <c r="F521" s="194" t="s">
        <v>445</v>
      </c>
    </row>
    <row r="522">
      <c r="A522" s="192" t="s">
        <v>107</v>
      </c>
      <c r="B522" s="193">
        <v>45249.66666666667</v>
      </c>
      <c r="C522" s="192">
        <v>-65.28</v>
      </c>
      <c r="D522" s="192" t="s">
        <v>450</v>
      </c>
      <c r="E522" s="192" t="s">
        <v>451</v>
      </c>
      <c r="F522" s="194" t="s">
        <v>445</v>
      </c>
    </row>
    <row r="523">
      <c r="A523" s="192" t="s">
        <v>107</v>
      </c>
      <c r="B523" s="193">
        <v>45515.70833333333</v>
      </c>
      <c r="C523" s="192">
        <v>-63.94</v>
      </c>
      <c r="D523" s="192" t="s">
        <v>459</v>
      </c>
      <c r="E523" s="192" t="s">
        <v>460</v>
      </c>
      <c r="F523" s="194" t="s">
        <v>445</v>
      </c>
    </row>
    <row r="524">
      <c r="A524" s="192" t="s">
        <v>107</v>
      </c>
      <c r="B524" s="193">
        <v>45575.70833333333</v>
      </c>
      <c r="C524" s="192">
        <v>-63.94</v>
      </c>
      <c r="D524" s="192" t="s">
        <v>450</v>
      </c>
      <c r="E524" s="192" t="s">
        <v>451</v>
      </c>
      <c r="F524" s="194" t="s">
        <v>445</v>
      </c>
    </row>
    <row r="525">
      <c r="A525" s="192" t="s">
        <v>107</v>
      </c>
      <c r="B525" s="193">
        <v>45493.70833333333</v>
      </c>
      <c r="C525" s="192">
        <v>-60.76</v>
      </c>
      <c r="D525" s="192" t="s">
        <v>443</v>
      </c>
      <c r="E525" s="192" t="s">
        <v>454</v>
      </c>
      <c r="F525" s="194" t="s">
        <v>445</v>
      </c>
    </row>
    <row r="526">
      <c r="A526" s="192" t="s">
        <v>107</v>
      </c>
      <c r="B526" s="193">
        <v>45383.70833333333</v>
      </c>
      <c r="C526" s="192">
        <v>-56.32</v>
      </c>
      <c r="D526" s="192" t="s">
        <v>450</v>
      </c>
      <c r="E526" s="192" t="s">
        <v>451</v>
      </c>
      <c r="F526" s="194" t="s">
        <v>445</v>
      </c>
    </row>
    <row r="527">
      <c r="A527" s="192" t="s">
        <v>107</v>
      </c>
      <c r="B527" s="193">
        <v>45534.70833333333</v>
      </c>
      <c r="C527" s="192">
        <v>-55.14</v>
      </c>
      <c r="D527" s="192" t="s">
        <v>443</v>
      </c>
      <c r="E527" s="192" t="s">
        <v>454</v>
      </c>
      <c r="F527" s="194" t="s">
        <v>445</v>
      </c>
    </row>
    <row r="528">
      <c r="A528" s="192" t="s">
        <v>107</v>
      </c>
      <c r="B528" s="193">
        <v>45394.70833333333</v>
      </c>
      <c r="C528" s="192">
        <v>-47.75</v>
      </c>
      <c r="D528" s="192" t="s">
        <v>450</v>
      </c>
      <c r="E528" s="192" t="s">
        <v>451</v>
      </c>
      <c r="F528" s="194" t="s">
        <v>445</v>
      </c>
    </row>
    <row r="529">
      <c r="A529" s="192" t="s">
        <v>107</v>
      </c>
      <c r="B529" s="193">
        <v>45540.70833333333</v>
      </c>
      <c r="C529" s="192">
        <v>-43.72</v>
      </c>
      <c r="D529" s="192" t="s">
        <v>455</v>
      </c>
      <c r="E529" s="192" t="s">
        <v>456</v>
      </c>
      <c r="F529" s="194" t="s">
        <v>445</v>
      </c>
    </row>
    <row r="530">
      <c r="A530" s="192" t="s">
        <v>107</v>
      </c>
      <c r="B530" s="193">
        <v>45358.66666666667</v>
      </c>
      <c r="C530" s="192">
        <v>-42.65</v>
      </c>
      <c r="D530" s="192" t="s">
        <v>450</v>
      </c>
      <c r="E530" s="192" t="s">
        <v>451</v>
      </c>
      <c r="F530" s="194" t="s">
        <v>445</v>
      </c>
    </row>
    <row r="531">
      <c r="A531" s="192" t="s">
        <v>107</v>
      </c>
      <c r="B531" s="193">
        <v>45257.66666666667</v>
      </c>
      <c r="C531" s="192">
        <v>-40.38</v>
      </c>
      <c r="D531" s="192" t="s">
        <v>450</v>
      </c>
      <c r="E531" s="192" t="s">
        <v>451</v>
      </c>
      <c r="F531" s="194" t="s">
        <v>445</v>
      </c>
    </row>
    <row r="532">
      <c r="A532" s="192" t="s">
        <v>107</v>
      </c>
      <c r="B532" s="193">
        <v>45587.70833333333</v>
      </c>
      <c r="C532" s="192">
        <v>-39.02</v>
      </c>
      <c r="D532" s="192" t="s">
        <v>461</v>
      </c>
      <c r="E532" s="192" t="s">
        <v>462</v>
      </c>
      <c r="F532" s="194" t="s">
        <v>445</v>
      </c>
    </row>
    <row r="533">
      <c r="A533" s="192" t="s">
        <v>107</v>
      </c>
      <c r="B533" s="193">
        <v>45289.66666666667</v>
      </c>
      <c r="C533" s="192">
        <v>-38.95</v>
      </c>
      <c r="D533" s="192" t="s">
        <v>443</v>
      </c>
      <c r="E533" s="192" t="s">
        <v>454</v>
      </c>
      <c r="F533" s="194" t="s">
        <v>445</v>
      </c>
    </row>
    <row r="534">
      <c r="A534" s="192" t="s">
        <v>107</v>
      </c>
      <c r="B534" s="193">
        <v>45457.70833333333</v>
      </c>
      <c r="C534" s="192">
        <v>-38.28</v>
      </c>
      <c r="D534" s="192" t="s">
        <v>450</v>
      </c>
      <c r="E534" s="192" t="s">
        <v>451</v>
      </c>
      <c r="F534" s="194" t="s">
        <v>445</v>
      </c>
    </row>
    <row r="535">
      <c r="A535" s="192" t="s">
        <v>107</v>
      </c>
      <c r="B535" s="193">
        <v>45476.70833333333</v>
      </c>
      <c r="C535" s="192">
        <v>-37.99</v>
      </c>
      <c r="D535" s="192" t="s">
        <v>450</v>
      </c>
      <c r="E535" s="192" t="s">
        <v>451</v>
      </c>
      <c r="F535" s="194" t="s">
        <v>445</v>
      </c>
    </row>
    <row r="536">
      <c r="A536" s="192" t="s">
        <v>107</v>
      </c>
      <c r="B536" s="193">
        <v>45457.70833333333</v>
      </c>
      <c r="C536" s="192">
        <v>-36.06</v>
      </c>
      <c r="D536" s="192" t="s">
        <v>463</v>
      </c>
      <c r="E536" s="192" t="s">
        <v>464</v>
      </c>
      <c r="F536" s="194" t="s">
        <v>445</v>
      </c>
    </row>
    <row r="537">
      <c r="A537" s="192" t="s">
        <v>107</v>
      </c>
      <c r="B537" s="193">
        <v>45527.70833333333</v>
      </c>
      <c r="C537" s="192">
        <v>-32.95</v>
      </c>
      <c r="D537" s="192" t="s">
        <v>465</v>
      </c>
      <c r="E537" s="192" t="s">
        <v>466</v>
      </c>
      <c r="F537" s="194" t="s">
        <v>445</v>
      </c>
    </row>
    <row r="538">
      <c r="A538" s="192" t="s">
        <v>107</v>
      </c>
      <c r="B538" s="193">
        <v>45288.66666666667</v>
      </c>
      <c r="C538" s="192">
        <v>-31.95</v>
      </c>
      <c r="D538" s="192" t="s">
        <v>467</v>
      </c>
      <c r="E538" s="192" t="s">
        <v>468</v>
      </c>
      <c r="F538" s="194" t="s">
        <v>445</v>
      </c>
    </row>
    <row r="539">
      <c r="A539" s="192" t="s">
        <v>107</v>
      </c>
      <c r="B539" s="193">
        <v>45414.70833333333</v>
      </c>
      <c r="C539" s="192">
        <v>-31.88</v>
      </c>
      <c r="D539" s="192" t="s">
        <v>455</v>
      </c>
      <c r="E539" s="192" t="s">
        <v>456</v>
      </c>
      <c r="F539" s="194" t="s">
        <v>445</v>
      </c>
    </row>
    <row r="540">
      <c r="A540" s="192" t="s">
        <v>107</v>
      </c>
      <c r="B540" s="193">
        <v>45304.66666666667</v>
      </c>
      <c r="C540" s="192">
        <v>-30.37</v>
      </c>
      <c r="D540" s="192" t="s">
        <v>450</v>
      </c>
      <c r="E540" s="192" t="s">
        <v>451</v>
      </c>
      <c r="F540" s="194" t="s">
        <v>445</v>
      </c>
    </row>
    <row r="541">
      <c r="A541" s="192" t="s">
        <v>107</v>
      </c>
      <c r="B541" s="193">
        <v>45540.70833333333</v>
      </c>
      <c r="C541" s="192">
        <v>-30.0</v>
      </c>
      <c r="D541" s="192" t="s">
        <v>469</v>
      </c>
      <c r="E541" s="192" t="s">
        <v>470</v>
      </c>
      <c r="F541" s="194" t="s">
        <v>445</v>
      </c>
    </row>
    <row r="542">
      <c r="A542" s="192" t="s">
        <v>107</v>
      </c>
      <c r="B542" s="193">
        <v>45318.66666666667</v>
      </c>
      <c r="C542" s="192">
        <v>-29.54</v>
      </c>
      <c r="D542" s="192" t="s">
        <v>443</v>
      </c>
      <c r="E542" s="192" t="s">
        <v>449</v>
      </c>
      <c r="F542" s="194" t="s">
        <v>445</v>
      </c>
    </row>
    <row r="543">
      <c r="A543" s="192" t="s">
        <v>107</v>
      </c>
      <c r="B543" s="193">
        <v>45423.70833333333</v>
      </c>
      <c r="C543" s="192">
        <v>-28.42</v>
      </c>
      <c r="D543" s="192" t="s">
        <v>450</v>
      </c>
      <c r="E543" s="192" t="s">
        <v>451</v>
      </c>
      <c r="F543" s="194" t="s">
        <v>445</v>
      </c>
    </row>
    <row r="544">
      <c r="A544" s="192" t="s">
        <v>107</v>
      </c>
      <c r="B544" s="193">
        <v>45444.70833333333</v>
      </c>
      <c r="C544" s="192">
        <v>-27.98</v>
      </c>
      <c r="D544" s="192" t="s">
        <v>443</v>
      </c>
      <c r="E544" s="192" t="s">
        <v>449</v>
      </c>
      <c r="F544" s="194" t="s">
        <v>445</v>
      </c>
    </row>
    <row r="545">
      <c r="A545" s="192" t="s">
        <v>107</v>
      </c>
      <c r="B545" s="193">
        <v>45495.70833333333</v>
      </c>
      <c r="C545" s="192">
        <v>-26.57</v>
      </c>
      <c r="D545" s="192" t="s">
        <v>455</v>
      </c>
      <c r="E545" s="192" t="s">
        <v>456</v>
      </c>
      <c r="F545" s="194" t="s">
        <v>445</v>
      </c>
    </row>
    <row r="546">
      <c r="A546" s="192" t="s">
        <v>107</v>
      </c>
      <c r="B546" s="193">
        <v>45552.70833333333</v>
      </c>
      <c r="C546" s="192">
        <v>-26.56</v>
      </c>
      <c r="D546" s="192" t="s">
        <v>443</v>
      </c>
      <c r="E546" s="192" t="s">
        <v>449</v>
      </c>
      <c r="F546" s="194" t="s">
        <v>445</v>
      </c>
    </row>
    <row r="547">
      <c r="A547" s="192" t="s">
        <v>107</v>
      </c>
      <c r="B547" s="193">
        <v>45470.70833333333</v>
      </c>
      <c r="C547" s="192">
        <v>-23.39</v>
      </c>
      <c r="D547" s="192" t="s">
        <v>455</v>
      </c>
      <c r="E547" s="192" t="s">
        <v>456</v>
      </c>
      <c r="F547" s="194" t="s">
        <v>445</v>
      </c>
    </row>
    <row r="548">
      <c r="A548" s="192" t="s">
        <v>107</v>
      </c>
      <c r="B548" s="193">
        <v>45484.70833333333</v>
      </c>
      <c r="C548" s="192">
        <v>-23.39</v>
      </c>
      <c r="D548" s="192" t="s">
        <v>455</v>
      </c>
      <c r="E548" s="192" t="s">
        <v>456</v>
      </c>
      <c r="F548" s="194" t="s">
        <v>445</v>
      </c>
    </row>
    <row r="549">
      <c r="A549" s="192" t="s">
        <v>107</v>
      </c>
      <c r="B549" s="193">
        <v>45576.70833333333</v>
      </c>
      <c r="C549" s="192">
        <v>-23.07</v>
      </c>
      <c r="D549" s="192" t="s">
        <v>471</v>
      </c>
      <c r="E549" s="192" t="s">
        <v>472</v>
      </c>
      <c r="F549" s="194" t="s">
        <v>445</v>
      </c>
    </row>
    <row r="550">
      <c r="A550" s="192" t="s">
        <v>107</v>
      </c>
      <c r="B550" s="193">
        <v>45561.70833333333</v>
      </c>
      <c r="C550" s="192">
        <v>-23.03</v>
      </c>
      <c r="D550" s="192" t="s">
        <v>443</v>
      </c>
      <c r="E550" s="192" t="s">
        <v>449</v>
      </c>
      <c r="F550" s="194" t="s">
        <v>445</v>
      </c>
    </row>
    <row r="551">
      <c r="A551" s="192" t="s">
        <v>107</v>
      </c>
      <c r="B551" s="193">
        <v>45568.70833333333</v>
      </c>
      <c r="C551" s="192">
        <v>-22.68</v>
      </c>
      <c r="D551" s="192" t="s">
        <v>450</v>
      </c>
      <c r="E551" s="192" t="s">
        <v>451</v>
      </c>
      <c r="F551" s="194" t="s">
        <v>445</v>
      </c>
    </row>
    <row r="552">
      <c r="A552" s="192" t="s">
        <v>107</v>
      </c>
      <c r="B552" s="193">
        <v>45525.70833333333</v>
      </c>
      <c r="C552" s="192">
        <v>-22.22</v>
      </c>
      <c r="D552" s="192" t="s">
        <v>450</v>
      </c>
      <c r="E552" s="192" t="s">
        <v>451</v>
      </c>
      <c r="F552" s="194" t="s">
        <v>445</v>
      </c>
    </row>
    <row r="553">
      <c r="A553" s="192" t="s">
        <v>107</v>
      </c>
      <c r="B553" s="193">
        <v>45283.66666666667</v>
      </c>
      <c r="C553" s="192">
        <v>-20.93</v>
      </c>
      <c r="D553" s="192" t="s">
        <v>443</v>
      </c>
      <c r="E553" s="192" t="s">
        <v>454</v>
      </c>
      <c r="F553" s="194" t="s">
        <v>445</v>
      </c>
    </row>
    <row r="554">
      <c r="A554" s="192" t="s">
        <v>107</v>
      </c>
      <c r="B554" s="193">
        <v>45288.66666666667</v>
      </c>
      <c r="C554" s="192">
        <v>-20.09</v>
      </c>
      <c r="D554" s="192" t="s">
        <v>473</v>
      </c>
      <c r="E554" s="192" t="s">
        <v>474</v>
      </c>
      <c r="F554" s="194" t="s">
        <v>445</v>
      </c>
    </row>
    <row r="555">
      <c r="A555" s="192" t="s">
        <v>107</v>
      </c>
      <c r="B555" s="193">
        <v>45484.70833333333</v>
      </c>
      <c r="C555" s="192">
        <v>-19.47</v>
      </c>
      <c r="D555" s="192" t="s">
        <v>443</v>
      </c>
      <c r="E555" s="192" t="s">
        <v>454</v>
      </c>
      <c r="F555" s="194" t="s">
        <v>445</v>
      </c>
    </row>
    <row r="556">
      <c r="A556" s="192" t="s">
        <v>107</v>
      </c>
      <c r="B556" s="193">
        <v>45288.66666666667</v>
      </c>
      <c r="C556" s="192">
        <v>-19.17</v>
      </c>
      <c r="D556" s="192" t="s">
        <v>467</v>
      </c>
      <c r="E556" s="192" t="s">
        <v>468</v>
      </c>
      <c r="F556" s="194" t="s">
        <v>445</v>
      </c>
    </row>
    <row r="557">
      <c r="A557" s="192" t="s">
        <v>107</v>
      </c>
      <c r="B557" s="193">
        <v>45491.70833333333</v>
      </c>
      <c r="C557" s="192">
        <v>-19.05</v>
      </c>
      <c r="D557" s="192" t="s">
        <v>443</v>
      </c>
      <c r="E557" s="192" t="s">
        <v>475</v>
      </c>
      <c r="F557" s="194" t="s">
        <v>445</v>
      </c>
    </row>
    <row r="558">
      <c r="A558" s="192" t="s">
        <v>107</v>
      </c>
      <c r="B558" s="193">
        <v>45541.70833333333</v>
      </c>
      <c r="C558" s="192">
        <v>-17.99</v>
      </c>
      <c r="D558" s="192" t="s">
        <v>476</v>
      </c>
      <c r="E558" s="192" t="s">
        <v>477</v>
      </c>
      <c r="F558" s="194" t="s">
        <v>445</v>
      </c>
    </row>
    <row r="559">
      <c r="A559" s="192" t="s">
        <v>107</v>
      </c>
      <c r="B559" s="193">
        <v>45541.70833333333</v>
      </c>
      <c r="C559" s="192">
        <v>-15.0</v>
      </c>
      <c r="D559" s="192" t="s">
        <v>476</v>
      </c>
      <c r="E559" s="192" t="s">
        <v>477</v>
      </c>
      <c r="F559" s="194" t="s">
        <v>445</v>
      </c>
    </row>
    <row r="560">
      <c r="A560" s="192" t="s">
        <v>107</v>
      </c>
      <c r="B560" s="193">
        <v>45538.70833333333</v>
      </c>
      <c r="C560" s="192">
        <v>-14.97</v>
      </c>
      <c r="D560" s="192" t="s">
        <v>443</v>
      </c>
      <c r="E560" s="192" t="s">
        <v>449</v>
      </c>
      <c r="F560" s="194" t="s">
        <v>445</v>
      </c>
    </row>
    <row r="561">
      <c r="A561" s="192" t="s">
        <v>107</v>
      </c>
      <c r="B561" s="193">
        <v>45387.70833333333</v>
      </c>
      <c r="C561" s="192">
        <v>-13.98</v>
      </c>
      <c r="D561" s="192" t="s">
        <v>443</v>
      </c>
      <c r="E561" s="192" t="s">
        <v>449</v>
      </c>
      <c r="F561" s="194" t="s">
        <v>445</v>
      </c>
    </row>
    <row r="562">
      <c r="A562" s="192" t="s">
        <v>107</v>
      </c>
      <c r="B562" s="193">
        <v>45541.70833333333</v>
      </c>
      <c r="C562" s="192">
        <v>-12.0</v>
      </c>
      <c r="D562" s="192" t="s">
        <v>476</v>
      </c>
      <c r="E562" s="192" t="s">
        <v>477</v>
      </c>
      <c r="F562" s="194" t="s">
        <v>445</v>
      </c>
    </row>
    <row r="563">
      <c r="A563" s="192" t="s">
        <v>107</v>
      </c>
      <c r="B563" s="193">
        <v>45421.70833333333</v>
      </c>
      <c r="C563" s="192">
        <v>-11.97</v>
      </c>
      <c r="D563" s="192" t="s">
        <v>450</v>
      </c>
      <c r="E563" s="192" t="s">
        <v>451</v>
      </c>
      <c r="F563" s="194" t="s">
        <v>445</v>
      </c>
    </row>
    <row r="564">
      <c r="A564" s="192" t="s">
        <v>107</v>
      </c>
      <c r="B564" s="193">
        <v>45257.66666666667</v>
      </c>
      <c r="C564" s="192">
        <v>-11.68</v>
      </c>
      <c r="D564" s="192" t="s">
        <v>450</v>
      </c>
      <c r="E564" s="192" t="s">
        <v>451</v>
      </c>
      <c r="F564" s="194" t="s">
        <v>445</v>
      </c>
    </row>
    <row r="565">
      <c r="A565" s="192" t="s">
        <v>107</v>
      </c>
      <c r="B565" s="193">
        <v>45549.70833333333</v>
      </c>
      <c r="C565" s="192">
        <v>-10.28</v>
      </c>
      <c r="D565" s="192" t="s">
        <v>443</v>
      </c>
      <c r="E565" s="192" t="s">
        <v>449</v>
      </c>
      <c r="F565" s="194" t="s">
        <v>445</v>
      </c>
    </row>
    <row r="566">
      <c r="A566" s="192" t="s">
        <v>107</v>
      </c>
      <c r="B566" s="193">
        <v>45288.66666666667</v>
      </c>
      <c r="C566" s="192">
        <v>-10.27</v>
      </c>
      <c r="D566" s="192" t="s">
        <v>473</v>
      </c>
      <c r="E566" s="192" t="s">
        <v>474</v>
      </c>
      <c r="F566" s="194" t="s">
        <v>445</v>
      </c>
    </row>
    <row r="567">
      <c r="A567" s="192" t="s">
        <v>107</v>
      </c>
      <c r="B567" s="193">
        <v>45300.66666666667</v>
      </c>
      <c r="C567" s="192">
        <v>-9.07</v>
      </c>
      <c r="D567" s="192" t="s">
        <v>443</v>
      </c>
      <c r="E567" s="192" t="s">
        <v>449</v>
      </c>
      <c r="F567" s="194" t="s">
        <v>445</v>
      </c>
    </row>
    <row r="568">
      <c r="A568" s="192" t="s">
        <v>107</v>
      </c>
      <c r="B568" s="193">
        <v>45434.70833333333</v>
      </c>
      <c r="C568" s="192">
        <v>-8.99</v>
      </c>
      <c r="D568" s="192" t="s">
        <v>450</v>
      </c>
      <c r="E568" s="192" t="s">
        <v>451</v>
      </c>
      <c r="F568" s="194" t="s">
        <v>445</v>
      </c>
    </row>
    <row r="569">
      <c r="A569" s="192" t="s">
        <v>107</v>
      </c>
      <c r="B569" s="193">
        <v>45316.66666666667</v>
      </c>
      <c r="C569" s="192">
        <v>-7.99</v>
      </c>
      <c r="D569" s="192" t="s">
        <v>450</v>
      </c>
      <c r="E569" s="192" t="s">
        <v>451</v>
      </c>
      <c r="F569" s="194" t="s">
        <v>445</v>
      </c>
    </row>
    <row r="570">
      <c r="A570" s="192" t="s">
        <v>107</v>
      </c>
      <c r="B570" s="193">
        <v>45352.66666666667</v>
      </c>
      <c r="C570" s="192">
        <v>-7.99</v>
      </c>
      <c r="D570" s="192" t="s">
        <v>450</v>
      </c>
      <c r="E570" s="192" t="s">
        <v>451</v>
      </c>
      <c r="F570" s="194" t="s">
        <v>445</v>
      </c>
    </row>
    <row r="571">
      <c r="A571" s="192" t="s">
        <v>107</v>
      </c>
      <c r="B571" s="193">
        <v>45596.70833333333</v>
      </c>
      <c r="C571" s="192">
        <v>-7.99</v>
      </c>
      <c r="D571" s="192" t="s">
        <v>443</v>
      </c>
      <c r="E571" s="192" t="s">
        <v>449</v>
      </c>
      <c r="F571" s="194" t="s">
        <v>445</v>
      </c>
    </row>
    <row r="572">
      <c r="A572" s="192" t="s">
        <v>107</v>
      </c>
      <c r="B572" s="193">
        <v>45254.66666666667</v>
      </c>
      <c r="C572" s="192">
        <v>-6.99</v>
      </c>
      <c r="D572" s="192" t="s">
        <v>443</v>
      </c>
      <c r="E572" s="192" t="s">
        <v>454</v>
      </c>
      <c r="F572" s="194" t="s">
        <v>445</v>
      </c>
    </row>
    <row r="573">
      <c r="A573" s="192" t="s">
        <v>107</v>
      </c>
      <c r="B573" s="193">
        <v>45402.70833333333</v>
      </c>
      <c r="C573" s="192">
        <v>-6.75</v>
      </c>
      <c r="D573" s="192" t="s">
        <v>443</v>
      </c>
      <c r="E573" s="192" t="s">
        <v>449</v>
      </c>
      <c r="F573" s="194" t="s">
        <v>445</v>
      </c>
    </row>
    <row r="574">
      <c r="A574" s="192" t="s">
        <v>107</v>
      </c>
      <c r="B574" s="193">
        <v>45452.70833333333</v>
      </c>
      <c r="C574" s="192">
        <v>-1.98</v>
      </c>
      <c r="D574" s="192" t="s">
        <v>443</v>
      </c>
      <c r="E574" s="192" t="s">
        <v>454</v>
      </c>
      <c r="F574" s="194" t="s">
        <v>445</v>
      </c>
    </row>
    <row r="575">
      <c r="A575" s="192" t="s">
        <v>107</v>
      </c>
      <c r="B575" s="193">
        <v>45533.70833333333</v>
      </c>
      <c r="C575" s="192">
        <v>-1.85</v>
      </c>
      <c r="D575" s="192" t="s">
        <v>478</v>
      </c>
      <c r="E575" s="192" t="s">
        <v>479</v>
      </c>
      <c r="F575" s="194" t="s">
        <v>445</v>
      </c>
    </row>
    <row r="576">
      <c r="A576" s="192" t="s">
        <v>107</v>
      </c>
      <c r="B576" s="193">
        <v>45437.70833333333</v>
      </c>
      <c r="C576" s="192">
        <v>-0.88</v>
      </c>
      <c r="D576" s="192" t="s">
        <v>443</v>
      </c>
      <c r="E576" s="192" t="s">
        <v>449</v>
      </c>
      <c r="F576" s="194" t="s">
        <v>445</v>
      </c>
    </row>
    <row r="577">
      <c r="A577" s="192" t="s">
        <v>107</v>
      </c>
      <c r="B577" s="193">
        <v>45370.70833333333</v>
      </c>
      <c r="C577" s="192">
        <v>6.98</v>
      </c>
      <c r="D577" s="192" t="s">
        <v>443</v>
      </c>
      <c r="E577" s="192" t="s">
        <v>446</v>
      </c>
      <c r="F577" s="194" t="s">
        <v>445</v>
      </c>
    </row>
    <row r="578">
      <c r="A578" s="192" t="s">
        <v>107</v>
      </c>
      <c r="B578" s="193">
        <v>45290.66666666667</v>
      </c>
      <c r="C578" s="192">
        <v>7.29</v>
      </c>
      <c r="D578" s="192" t="s">
        <v>443</v>
      </c>
      <c r="E578" s="192" t="s">
        <v>446</v>
      </c>
      <c r="F578" s="194" t="s">
        <v>445</v>
      </c>
    </row>
    <row r="579">
      <c r="A579" s="192" t="s">
        <v>107</v>
      </c>
      <c r="B579" s="193">
        <v>45578.70833333333</v>
      </c>
      <c r="C579" s="192">
        <v>15.98</v>
      </c>
      <c r="D579" s="192" t="s">
        <v>443</v>
      </c>
      <c r="E579" s="192" t="s">
        <v>444</v>
      </c>
      <c r="F579" s="194" t="s">
        <v>445</v>
      </c>
    </row>
    <row r="580">
      <c r="A580" s="192" t="s">
        <v>107</v>
      </c>
      <c r="B580" s="193">
        <v>45578.70833333333</v>
      </c>
      <c r="C580" s="192">
        <v>30.37</v>
      </c>
      <c r="D580" s="192" t="s">
        <v>443</v>
      </c>
      <c r="E580" s="192" t="s">
        <v>444</v>
      </c>
      <c r="F580" s="194" t="s">
        <v>445</v>
      </c>
    </row>
    <row r="581">
      <c r="A581" s="192" t="s">
        <v>123</v>
      </c>
      <c r="B581" s="193">
        <v>45489.70833333333</v>
      </c>
      <c r="C581" s="192">
        <v>-42.26</v>
      </c>
      <c r="D581" s="192" t="s">
        <v>480</v>
      </c>
      <c r="E581" s="192" t="s">
        <v>481</v>
      </c>
      <c r="F581" s="194" t="s">
        <v>445</v>
      </c>
    </row>
    <row r="582">
      <c r="A582" s="192" t="s">
        <v>123</v>
      </c>
      <c r="B582" s="193">
        <v>45477.70833333333</v>
      </c>
      <c r="C582" s="192">
        <v>-42.03</v>
      </c>
      <c r="D582" s="192" t="s">
        <v>482</v>
      </c>
      <c r="E582" s="192" t="s">
        <v>483</v>
      </c>
      <c r="F582" s="194" t="s">
        <v>445</v>
      </c>
    </row>
    <row r="583">
      <c r="A583" s="192" t="s">
        <v>123</v>
      </c>
      <c r="B583" s="193">
        <v>45414.70833333333</v>
      </c>
      <c r="C583" s="192">
        <v>-27.97</v>
      </c>
      <c r="D583" s="192" t="s">
        <v>450</v>
      </c>
      <c r="E583" s="192" t="s">
        <v>484</v>
      </c>
      <c r="F583" s="194" t="s">
        <v>445</v>
      </c>
    </row>
    <row r="584">
      <c r="A584" s="192" t="s">
        <v>123</v>
      </c>
      <c r="B584" s="193">
        <v>45368.70833333333</v>
      </c>
      <c r="C584" s="192">
        <v>-20.0</v>
      </c>
      <c r="D584" s="192" t="s">
        <v>485</v>
      </c>
      <c r="E584" s="192" t="s">
        <v>486</v>
      </c>
      <c r="F584" s="194" t="s">
        <v>445</v>
      </c>
    </row>
    <row r="585">
      <c r="A585" s="192" t="s">
        <v>123</v>
      </c>
      <c r="B585" s="193">
        <v>45330.66666666667</v>
      </c>
      <c r="C585" s="192">
        <v>-16.75</v>
      </c>
      <c r="D585" s="192" t="s">
        <v>450</v>
      </c>
      <c r="E585" s="192" t="s">
        <v>484</v>
      </c>
      <c r="F585" s="194" t="s">
        <v>445</v>
      </c>
    </row>
    <row r="586">
      <c r="A586" s="192" t="s">
        <v>123</v>
      </c>
      <c r="B586" s="193">
        <v>45569.70833333333</v>
      </c>
      <c r="C586" s="192">
        <v>-12.54</v>
      </c>
      <c r="D586" s="192" t="s">
        <v>487</v>
      </c>
      <c r="E586" s="192" t="s">
        <v>488</v>
      </c>
      <c r="F586" s="194" t="s">
        <v>445</v>
      </c>
    </row>
    <row r="587">
      <c r="A587" s="192" t="s">
        <v>123</v>
      </c>
      <c r="B587" s="193">
        <v>45530.70833333333</v>
      </c>
      <c r="C587" s="192">
        <v>-10.04</v>
      </c>
      <c r="D587" s="192" t="s">
        <v>487</v>
      </c>
      <c r="E587" s="192" t="s">
        <v>488</v>
      </c>
      <c r="F587" s="194" t="s">
        <v>445</v>
      </c>
    </row>
    <row r="588">
      <c r="A588" s="192" t="s">
        <v>123</v>
      </c>
      <c r="B588" s="193">
        <v>45514.70833333333</v>
      </c>
      <c r="C588" s="192">
        <v>-9.41</v>
      </c>
      <c r="D588" s="192" t="s">
        <v>487</v>
      </c>
      <c r="E588" s="192" t="s">
        <v>488</v>
      </c>
      <c r="F588" s="194" t="s">
        <v>445</v>
      </c>
    </row>
    <row r="589">
      <c r="A589" s="192" t="s">
        <v>123</v>
      </c>
      <c r="B589" s="193">
        <v>45592.70833333333</v>
      </c>
      <c r="C589" s="192">
        <v>-5.11</v>
      </c>
      <c r="D589" s="192" t="s">
        <v>443</v>
      </c>
      <c r="E589" s="192" t="s">
        <v>489</v>
      </c>
      <c r="F589" s="194" t="s">
        <v>445</v>
      </c>
    </row>
    <row r="590">
      <c r="A590" s="192" t="s">
        <v>123</v>
      </c>
      <c r="B590" s="193">
        <v>45384.70833333333</v>
      </c>
      <c r="C590" s="192">
        <v>-3.0</v>
      </c>
      <c r="D590" s="192" t="s">
        <v>490</v>
      </c>
      <c r="E590" s="192" t="s">
        <v>491</v>
      </c>
      <c r="F590" s="194" t="s">
        <v>445</v>
      </c>
    </row>
    <row r="591">
      <c r="A591" s="192" t="s">
        <v>123</v>
      </c>
      <c r="B591" s="193">
        <v>45474.70833333333</v>
      </c>
      <c r="C591" s="192">
        <v>-2.6</v>
      </c>
      <c r="D591" s="192" t="s">
        <v>492</v>
      </c>
      <c r="E591" s="192" t="s">
        <v>493</v>
      </c>
      <c r="F591" s="194" t="s">
        <v>445</v>
      </c>
    </row>
    <row r="592">
      <c r="A592" s="192" t="s">
        <v>173</v>
      </c>
      <c r="B592" s="193">
        <v>45592.70833333333</v>
      </c>
      <c r="C592" s="192">
        <v>-495.83</v>
      </c>
      <c r="D592" s="192" t="s">
        <v>405</v>
      </c>
      <c r="E592" s="192" t="s">
        <v>494</v>
      </c>
      <c r="F592" s="194" t="s">
        <v>445</v>
      </c>
    </row>
    <row r="593">
      <c r="A593" s="192" t="s">
        <v>158</v>
      </c>
      <c r="B593" s="193">
        <v>45463.70833333333</v>
      </c>
      <c r="C593" s="192">
        <v>-580.4</v>
      </c>
      <c r="D593" s="192" t="s">
        <v>405</v>
      </c>
      <c r="E593" s="192" t="s">
        <v>495</v>
      </c>
      <c r="F593" s="194" t="s">
        <v>445</v>
      </c>
    </row>
    <row r="594">
      <c r="A594" s="192" t="s">
        <v>158</v>
      </c>
      <c r="B594" s="193">
        <v>45295.66666666667</v>
      </c>
      <c r="C594" s="192">
        <v>-446.63</v>
      </c>
      <c r="D594" s="192" t="s">
        <v>405</v>
      </c>
      <c r="E594" s="192" t="s">
        <v>496</v>
      </c>
      <c r="F594" s="194" t="s">
        <v>445</v>
      </c>
    </row>
    <row r="595">
      <c r="A595" s="192" t="s">
        <v>158</v>
      </c>
      <c r="B595" s="193">
        <v>45484.70833333333</v>
      </c>
      <c r="C595" s="192">
        <v>-71.09</v>
      </c>
      <c r="D595" s="192" t="s">
        <v>405</v>
      </c>
      <c r="E595" s="192" t="s">
        <v>497</v>
      </c>
      <c r="F595" s="194" t="s">
        <v>445</v>
      </c>
    </row>
    <row r="596">
      <c r="A596" s="192" t="s">
        <v>158</v>
      </c>
      <c r="B596" s="193">
        <v>45266.66666666667</v>
      </c>
      <c r="C596" s="192">
        <v>-32.99</v>
      </c>
      <c r="D596" s="192" t="s">
        <v>405</v>
      </c>
      <c r="E596" s="192" t="s">
        <v>498</v>
      </c>
      <c r="F596" s="194" t="s">
        <v>445</v>
      </c>
    </row>
    <row r="597">
      <c r="A597" s="192" t="s">
        <v>158</v>
      </c>
      <c r="B597" s="193">
        <v>45266.66666666667</v>
      </c>
      <c r="C597" s="192">
        <v>-23.92</v>
      </c>
      <c r="D597" s="192" t="s">
        <v>405</v>
      </c>
      <c r="E597" s="192" t="s">
        <v>498</v>
      </c>
      <c r="F597" s="194" t="s">
        <v>445</v>
      </c>
    </row>
    <row r="598">
      <c r="A598" s="192" t="s">
        <v>133</v>
      </c>
      <c r="B598" s="193">
        <v>45277.66666666667</v>
      </c>
      <c r="C598" s="192">
        <v>-119.09</v>
      </c>
      <c r="D598" s="192" t="s">
        <v>499</v>
      </c>
      <c r="E598" s="192" t="s">
        <v>500</v>
      </c>
      <c r="F598" s="194" t="s">
        <v>445</v>
      </c>
    </row>
    <row r="599">
      <c r="A599" s="192" t="s">
        <v>107</v>
      </c>
      <c r="B599" s="193">
        <v>45288.66666666667</v>
      </c>
      <c r="C599" s="192">
        <v>-175.0</v>
      </c>
      <c r="D599" s="192" t="s">
        <v>501</v>
      </c>
      <c r="E599" s="192" t="s">
        <v>502</v>
      </c>
      <c r="F599" s="194" t="s">
        <v>503</v>
      </c>
    </row>
    <row r="600">
      <c r="A600" s="192" t="s">
        <v>107</v>
      </c>
      <c r="B600" s="193">
        <v>45376.70833333333</v>
      </c>
      <c r="C600" s="192">
        <v>-145.0</v>
      </c>
      <c r="D600" s="192" t="s">
        <v>501</v>
      </c>
      <c r="E600" s="192" t="s">
        <v>502</v>
      </c>
      <c r="F600" s="194" t="s">
        <v>503</v>
      </c>
    </row>
    <row r="601">
      <c r="A601" s="192" t="s">
        <v>107</v>
      </c>
      <c r="B601" s="193">
        <v>45423.70833333333</v>
      </c>
      <c r="C601" s="192">
        <v>-119.0</v>
      </c>
      <c r="D601" s="192" t="s">
        <v>504</v>
      </c>
      <c r="E601" s="192" t="s">
        <v>505</v>
      </c>
      <c r="F601" s="194" t="s">
        <v>503</v>
      </c>
    </row>
    <row r="602">
      <c r="A602" s="192" t="s">
        <v>107</v>
      </c>
      <c r="B602" s="193">
        <v>45454.70833333333</v>
      </c>
      <c r="C602" s="192">
        <v>-119.0</v>
      </c>
      <c r="D602" s="192" t="s">
        <v>504</v>
      </c>
      <c r="E602" s="192" t="s">
        <v>505</v>
      </c>
      <c r="F602" s="194" t="s">
        <v>503</v>
      </c>
    </row>
    <row r="603">
      <c r="A603" s="192" t="s">
        <v>107</v>
      </c>
      <c r="B603" s="193">
        <v>45484.70833333333</v>
      </c>
      <c r="C603" s="192">
        <v>-119.0</v>
      </c>
      <c r="D603" s="192" t="s">
        <v>504</v>
      </c>
      <c r="E603" s="192" t="s">
        <v>505</v>
      </c>
      <c r="F603" s="194" t="s">
        <v>503</v>
      </c>
    </row>
    <row r="604">
      <c r="A604" s="192" t="s">
        <v>107</v>
      </c>
      <c r="B604" s="193">
        <v>45515.70833333333</v>
      </c>
      <c r="C604" s="192">
        <v>-119.0</v>
      </c>
      <c r="D604" s="192" t="s">
        <v>504</v>
      </c>
      <c r="E604" s="192" t="s">
        <v>505</v>
      </c>
      <c r="F604" s="194" t="s">
        <v>503</v>
      </c>
    </row>
    <row r="605">
      <c r="A605" s="192" t="s">
        <v>107</v>
      </c>
      <c r="B605" s="193">
        <v>45546.70833333333</v>
      </c>
      <c r="C605" s="192">
        <v>-119.0</v>
      </c>
      <c r="D605" s="192" t="s">
        <v>504</v>
      </c>
      <c r="E605" s="192" t="s">
        <v>505</v>
      </c>
      <c r="F605" s="194" t="s">
        <v>503</v>
      </c>
    </row>
    <row r="606">
      <c r="A606" s="192" t="s">
        <v>107</v>
      </c>
      <c r="B606" s="193">
        <v>45576.70833333333</v>
      </c>
      <c r="C606" s="192">
        <v>-119.0</v>
      </c>
      <c r="D606" s="192" t="s">
        <v>504</v>
      </c>
      <c r="E606" s="192" t="s">
        <v>505</v>
      </c>
      <c r="F606" s="194" t="s">
        <v>503</v>
      </c>
    </row>
    <row r="607">
      <c r="A607" s="192" t="s">
        <v>107</v>
      </c>
      <c r="B607" s="193">
        <v>45438.70833333333</v>
      </c>
      <c r="C607" s="192">
        <v>-100.0</v>
      </c>
      <c r="D607" s="192" t="s">
        <v>506</v>
      </c>
      <c r="E607" s="192" t="s">
        <v>507</v>
      </c>
      <c r="F607" s="194" t="s">
        <v>503</v>
      </c>
    </row>
    <row r="608">
      <c r="A608" s="192" t="s">
        <v>107</v>
      </c>
      <c r="B608" s="193">
        <v>45473.70833333333</v>
      </c>
      <c r="C608" s="192">
        <v>-85.0</v>
      </c>
      <c r="D608" s="192" t="s">
        <v>501</v>
      </c>
      <c r="E608" s="192" t="s">
        <v>502</v>
      </c>
      <c r="F608" s="194" t="s">
        <v>503</v>
      </c>
    </row>
    <row r="609">
      <c r="A609" s="192" t="s">
        <v>107</v>
      </c>
      <c r="B609" s="193">
        <v>45596.70833333333</v>
      </c>
      <c r="C609" s="192">
        <v>-70.0</v>
      </c>
      <c r="D609" s="192" t="s">
        <v>504</v>
      </c>
      <c r="E609" s="192" t="s">
        <v>505</v>
      </c>
      <c r="F609" s="194" t="s">
        <v>503</v>
      </c>
    </row>
    <row r="610">
      <c r="A610" s="192" t="s">
        <v>107</v>
      </c>
      <c r="B610" s="193">
        <v>45416.70833333333</v>
      </c>
      <c r="C610" s="192">
        <v>-53.18</v>
      </c>
      <c r="D610" s="192" t="s">
        <v>504</v>
      </c>
      <c r="E610" s="192" t="s">
        <v>505</v>
      </c>
      <c r="F610" s="194" t="s">
        <v>503</v>
      </c>
    </row>
    <row r="611">
      <c r="A611" s="192" t="s">
        <v>107</v>
      </c>
      <c r="B611" s="193">
        <v>45479.70833333333</v>
      </c>
      <c r="C611" s="192">
        <v>-21.26</v>
      </c>
      <c r="D611" s="192" t="s">
        <v>504</v>
      </c>
      <c r="E611" s="192" t="s">
        <v>505</v>
      </c>
      <c r="F611" s="194" t="s">
        <v>503</v>
      </c>
    </row>
    <row r="612">
      <c r="A612" s="192" t="s">
        <v>107</v>
      </c>
      <c r="B612" s="193">
        <v>45553.70833333333</v>
      </c>
      <c r="C612" s="192">
        <v>-21.26</v>
      </c>
      <c r="D612" s="192" t="s">
        <v>504</v>
      </c>
      <c r="E612" s="192" t="s">
        <v>505</v>
      </c>
      <c r="F612" s="194" t="s">
        <v>503</v>
      </c>
    </row>
    <row r="613">
      <c r="A613" s="192" t="s">
        <v>123</v>
      </c>
      <c r="B613" s="193">
        <v>45359.66666666667</v>
      </c>
      <c r="C613" s="192">
        <v>-116.99</v>
      </c>
      <c r="D613" s="192" t="s">
        <v>508</v>
      </c>
      <c r="E613" s="192" t="s">
        <v>509</v>
      </c>
      <c r="F613" s="194" t="s">
        <v>503</v>
      </c>
    </row>
    <row r="614">
      <c r="A614" s="192" t="s">
        <v>123</v>
      </c>
      <c r="B614" s="193">
        <v>45296.66666666667</v>
      </c>
      <c r="C614" s="192">
        <v>-99.44</v>
      </c>
      <c r="D614" s="192" t="s">
        <v>508</v>
      </c>
      <c r="E614" s="192" t="s">
        <v>509</v>
      </c>
      <c r="F614" s="194" t="s">
        <v>503</v>
      </c>
    </row>
    <row r="615">
      <c r="A615" s="192" t="s">
        <v>123</v>
      </c>
      <c r="B615" s="193">
        <v>45399.70833333333</v>
      </c>
      <c r="C615" s="192">
        <v>-87.74</v>
      </c>
      <c r="D615" s="192" t="s">
        <v>508</v>
      </c>
      <c r="E615" s="192" t="s">
        <v>509</v>
      </c>
      <c r="F615" s="194" t="s">
        <v>503</v>
      </c>
    </row>
    <row r="616">
      <c r="A616" s="192" t="s">
        <v>123</v>
      </c>
      <c r="B616" s="193">
        <v>45289.66666666667</v>
      </c>
      <c r="C616" s="192">
        <v>-26.59</v>
      </c>
      <c r="D616" s="192" t="s">
        <v>508</v>
      </c>
      <c r="E616" s="192" t="s">
        <v>509</v>
      </c>
      <c r="F616" s="194" t="s">
        <v>503</v>
      </c>
    </row>
    <row r="617">
      <c r="A617" s="192" t="s">
        <v>158</v>
      </c>
      <c r="B617" s="193">
        <v>45364.70833333333</v>
      </c>
      <c r="C617" s="192">
        <v>-1693.0</v>
      </c>
      <c r="D617" s="192" t="s">
        <v>510</v>
      </c>
      <c r="E617" s="192" t="s">
        <v>511</v>
      </c>
      <c r="F617" s="194" t="s">
        <v>512</v>
      </c>
    </row>
    <row r="618">
      <c r="A618" s="192" t="s">
        <v>107</v>
      </c>
      <c r="B618" s="193">
        <v>45263.66666666667</v>
      </c>
      <c r="C618" s="192">
        <v>-271.19</v>
      </c>
      <c r="D618" s="192" t="s">
        <v>513</v>
      </c>
      <c r="E618" s="192" t="s">
        <v>514</v>
      </c>
      <c r="F618" s="194" t="s">
        <v>515</v>
      </c>
    </row>
    <row r="619">
      <c r="A619" s="192" t="s">
        <v>107</v>
      </c>
      <c r="B619" s="193">
        <v>45432.70833333333</v>
      </c>
      <c r="C619" s="192">
        <v>-271.19</v>
      </c>
      <c r="D619" s="192" t="s">
        <v>513</v>
      </c>
      <c r="E619" s="192" t="s">
        <v>514</v>
      </c>
      <c r="F619" s="194" t="s">
        <v>515</v>
      </c>
    </row>
    <row r="620">
      <c r="A620" s="192" t="s">
        <v>107</v>
      </c>
      <c r="B620" s="193">
        <v>45339.66666666667</v>
      </c>
      <c r="C620" s="192">
        <v>-265.77</v>
      </c>
      <c r="D620" s="192" t="s">
        <v>516</v>
      </c>
      <c r="E620" s="192" t="s">
        <v>517</v>
      </c>
      <c r="F620" s="194" t="s">
        <v>515</v>
      </c>
    </row>
    <row r="621">
      <c r="A621" s="192" t="s">
        <v>107</v>
      </c>
      <c r="B621" s="193">
        <v>45567.70833333333</v>
      </c>
      <c r="C621" s="192">
        <v>-108.23</v>
      </c>
      <c r="D621" s="192" t="s">
        <v>518</v>
      </c>
      <c r="E621" s="192" t="s">
        <v>519</v>
      </c>
      <c r="F621" s="194" t="s">
        <v>515</v>
      </c>
    </row>
    <row r="622">
      <c r="A622" s="192" t="s">
        <v>107</v>
      </c>
      <c r="B622" s="193">
        <v>45383.70833333333</v>
      </c>
      <c r="C622" s="192">
        <v>-105.29</v>
      </c>
      <c r="D622" s="192" t="s">
        <v>520</v>
      </c>
      <c r="E622" s="192" t="s">
        <v>521</v>
      </c>
      <c r="F622" s="194" t="s">
        <v>515</v>
      </c>
    </row>
    <row r="623">
      <c r="A623" s="192" t="s">
        <v>107</v>
      </c>
      <c r="B623" s="193">
        <v>45585.70833333333</v>
      </c>
      <c r="C623" s="192">
        <v>-94.48</v>
      </c>
      <c r="D623" s="192" t="s">
        <v>522</v>
      </c>
      <c r="E623" s="192" t="s">
        <v>523</v>
      </c>
      <c r="F623" s="194" t="s">
        <v>515</v>
      </c>
    </row>
    <row r="624">
      <c r="A624" s="192" t="s">
        <v>107</v>
      </c>
      <c r="B624" s="193">
        <v>45402.70833333333</v>
      </c>
      <c r="C624" s="192">
        <v>-58.88</v>
      </c>
      <c r="D624" s="192" t="s">
        <v>516</v>
      </c>
      <c r="E624" s="192" t="s">
        <v>517</v>
      </c>
      <c r="F624" s="194" t="s">
        <v>515</v>
      </c>
    </row>
    <row r="625">
      <c r="A625" s="192" t="s">
        <v>107</v>
      </c>
      <c r="B625" s="193">
        <v>45579.70833333333</v>
      </c>
      <c r="C625" s="192">
        <v>-50.49</v>
      </c>
      <c r="D625" s="192" t="s">
        <v>524</v>
      </c>
      <c r="E625" s="192" t="s">
        <v>525</v>
      </c>
      <c r="F625" s="194" t="s">
        <v>515</v>
      </c>
    </row>
    <row r="626">
      <c r="A626" s="192" t="s">
        <v>107</v>
      </c>
      <c r="B626" s="193">
        <v>45579.70833333333</v>
      </c>
      <c r="C626" s="192">
        <v>-44.62</v>
      </c>
      <c r="D626" s="192" t="s">
        <v>516</v>
      </c>
      <c r="E626" s="192" t="s">
        <v>517</v>
      </c>
      <c r="F626" s="194" t="s">
        <v>515</v>
      </c>
    </row>
    <row r="627">
      <c r="A627" s="192" t="s">
        <v>107</v>
      </c>
      <c r="B627" s="193">
        <v>45383.70833333333</v>
      </c>
      <c r="C627" s="192">
        <v>-38.25</v>
      </c>
      <c r="D627" s="192" t="s">
        <v>520</v>
      </c>
      <c r="E627" s="192" t="s">
        <v>526</v>
      </c>
      <c r="F627" s="194" t="s">
        <v>515</v>
      </c>
    </row>
    <row r="628">
      <c r="A628" s="192" t="s">
        <v>107</v>
      </c>
      <c r="B628" s="193">
        <v>45565.70833333333</v>
      </c>
      <c r="C628" s="192">
        <v>-31.31</v>
      </c>
      <c r="D628" s="192" t="s">
        <v>516</v>
      </c>
      <c r="E628" s="192" t="s">
        <v>517</v>
      </c>
      <c r="F628" s="194" t="s">
        <v>515</v>
      </c>
    </row>
    <row r="629">
      <c r="A629" s="192" t="s">
        <v>107</v>
      </c>
      <c r="B629" s="193">
        <v>45409.70833333333</v>
      </c>
      <c r="C629" s="192">
        <v>-29.08</v>
      </c>
      <c r="D629" s="192" t="s">
        <v>516</v>
      </c>
      <c r="E629" s="192" t="s">
        <v>517</v>
      </c>
      <c r="F629" s="194" t="s">
        <v>515</v>
      </c>
    </row>
    <row r="630">
      <c r="A630" s="192" t="s">
        <v>133</v>
      </c>
      <c r="B630" s="193">
        <v>45295.66666666667</v>
      </c>
      <c r="C630" s="192">
        <v>-175.47</v>
      </c>
      <c r="D630" s="192" t="s">
        <v>527</v>
      </c>
      <c r="E630" s="192" t="s">
        <v>528</v>
      </c>
      <c r="F630" s="194" t="s">
        <v>515</v>
      </c>
    </row>
    <row r="631">
      <c r="A631" s="192" t="s">
        <v>133</v>
      </c>
      <c r="B631" s="193">
        <v>45508.70833333333</v>
      </c>
      <c r="C631" s="192">
        <v>-18.07</v>
      </c>
      <c r="D631" s="192" t="s">
        <v>529</v>
      </c>
      <c r="E631" s="192" t="s">
        <v>530</v>
      </c>
      <c r="F631" s="194" t="s">
        <v>515</v>
      </c>
    </row>
    <row r="632">
      <c r="A632" s="192" t="s">
        <v>133</v>
      </c>
      <c r="B632" s="193">
        <v>45427.70833333333</v>
      </c>
      <c r="C632" s="192">
        <v>-10.62</v>
      </c>
      <c r="D632" s="192" t="s">
        <v>529</v>
      </c>
      <c r="E632" s="192" t="s">
        <v>531</v>
      </c>
      <c r="F632" s="194" t="s">
        <v>515</v>
      </c>
    </row>
    <row r="633">
      <c r="A633" s="192" t="s">
        <v>133</v>
      </c>
      <c r="B633" s="193">
        <v>45548.70833333333</v>
      </c>
      <c r="C633" s="192">
        <v>-8.5</v>
      </c>
      <c r="D633" s="192" t="s">
        <v>529</v>
      </c>
      <c r="E633" s="192" t="s">
        <v>532</v>
      </c>
      <c r="F633" s="194" t="s">
        <v>515</v>
      </c>
    </row>
    <row r="634">
      <c r="A634" s="192" t="s">
        <v>107</v>
      </c>
      <c r="B634" s="193">
        <v>45570.70833333333</v>
      </c>
      <c r="C634" s="192">
        <v>-76.68</v>
      </c>
      <c r="D634" s="192" t="s">
        <v>533</v>
      </c>
      <c r="E634" s="192" t="s">
        <v>534</v>
      </c>
      <c r="F634" s="194" t="s">
        <v>535</v>
      </c>
    </row>
    <row r="635">
      <c r="A635" s="192" t="s">
        <v>107</v>
      </c>
      <c r="B635" s="193">
        <v>45596.70833333333</v>
      </c>
      <c r="C635" s="192">
        <v>-76.68</v>
      </c>
      <c r="D635" s="192" t="s">
        <v>533</v>
      </c>
      <c r="E635" s="192" t="s">
        <v>534</v>
      </c>
      <c r="F635" s="194" t="s">
        <v>535</v>
      </c>
    </row>
    <row r="636">
      <c r="A636" s="192" t="s">
        <v>107</v>
      </c>
      <c r="B636" s="193">
        <v>45326.66666666667</v>
      </c>
      <c r="C636" s="192">
        <v>-63.71</v>
      </c>
      <c r="D636" s="192" t="s">
        <v>533</v>
      </c>
      <c r="E636" s="192" t="s">
        <v>534</v>
      </c>
      <c r="F636" s="194" t="s">
        <v>535</v>
      </c>
    </row>
    <row r="637">
      <c r="A637" s="192" t="s">
        <v>107</v>
      </c>
      <c r="B637" s="193">
        <v>45357.66666666667</v>
      </c>
      <c r="C637" s="192">
        <v>-63.71</v>
      </c>
      <c r="D637" s="192" t="s">
        <v>533</v>
      </c>
      <c r="E637" s="192" t="s">
        <v>534</v>
      </c>
      <c r="F637" s="194" t="s">
        <v>535</v>
      </c>
    </row>
    <row r="638">
      <c r="A638" s="192" t="s">
        <v>107</v>
      </c>
      <c r="B638" s="193">
        <v>45386.70833333333</v>
      </c>
      <c r="C638" s="192">
        <v>-63.71</v>
      </c>
      <c r="D638" s="192" t="s">
        <v>533</v>
      </c>
      <c r="E638" s="192" t="s">
        <v>534</v>
      </c>
      <c r="F638" s="194" t="s">
        <v>535</v>
      </c>
    </row>
    <row r="639">
      <c r="A639" s="192" t="s">
        <v>107</v>
      </c>
      <c r="B639" s="193">
        <v>45417.70833333333</v>
      </c>
      <c r="C639" s="192">
        <v>-63.71</v>
      </c>
      <c r="D639" s="192" t="s">
        <v>533</v>
      </c>
      <c r="E639" s="192" t="s">
        <v>534</v>
      </c>
      <c r="F639" s="194" t="s">
        <v>535</v>
      </c>
    </row>
    <row r="640">
      <c r="A640" s="192" t="s">
        <v>107</v>
      </c>
      <c r="B640" s="193">
        <v>45447.70833333333</v>
      </c>
      <c r="C640" s="192">
        <v>-63.71</v>
      </c>
      <c r="D640" s="192" t="s">
        <v>533</v>
      </c>
      <c r="E640" s="192" t="s">
        <v>534</v>
      </c>
      <c r="F640" s="194" t="s">
        <v>535</v>
      </c>
    </row>
    <row r="641">
      <c r="A641" s="192" t="s">
        <v>107</v>
      </c>
      <c r="B641" s="193">
        <v>45478.70833333333</v>
      </c>
      <c r="C641" s="192">
        <v>-63.71</v>
      </c>
      <c r="D641" s="192" t="s">
        <v>533</v>
      </c>
      <c r="E641" s="192" t="s">
        <v>534</v>
      </c>
      <c r="F641" s="194" t="s">
        <v>535</v>
      </c>
    </row>
    <row r="642">
      <c r="A642" s="192" t="s">
        <v>107</v>
      </c>
      <c r="B642" s="193">
        <v>45508.70833333333</v>
      </c>
      <c r="C642" s="192">
        <v>-63.67</v>
      </c>
      <c r="D642" s="192" t="s">
        <v>533</v>
      </c>
      <c r="E642" s="192" t="s">
        <v>534</v>
      </c>
      <c r="F642" s="194" t="s">
        <v>535</v>
      </c>
    </row>
    <row r="643">
      <c r="A643" s="192" t="s">
        <v>107</v>
      </c>
      <c r="B643" s="193">
        <v>45539.70833333333</v>
      </c>
      <c r="C643" s="192">
        <v>-63.67</v>
      </c>
      <c r="D643" s="192" t="s">
        <v>533</v>
      </c>
      <c r="E643" s="192" t="s">
        <v>534</v>
      </c>
      <c r="F643" s="194" t="s">
        <v>535</v>
      </c>
    </row>
    <row r="644">
      <c r="A644" s="192" t="s">
        <v>107</v>
      </c>
      <c r="B644" s="193">
        <v>45265.66666666667</v>
      </c>
      <c r="C644" s="192">
        <v>-62.21</v>
      </c>
      <c r="D644" s="192" t="s">
        <v>533</v>
      </c>
      <c r="E644" s="192" t="s">
        <v>534</v>
      </c>
      <c r="F644" s="194" t="s">
        <v>535</v>
      </c>
    </row>
    <row r="645">
      <c r="A645" s="192" t="s">
        <v>107</v>
      </c>
      <c r="B645" s="193">
        <v>45295.66666666667</v>
      </c>
      <c r="C645" s="192">
        <v>-62.21</v>
      </c>
      <c r="D645" s="192" t="s">
        <v>533</v>
      </c>
      <c r="E645" s="192" t="s">
        <v>534</v>
      </c>
      <c r="F645" s="194" t="s">
        <v>535</v>
      </c>
    </row>
    <row r="646">
      <c r="A646" s="192" t="s">
        <v>158</v>
      </c>
      <c r="B646" s="193">
        <v>45596.70833333333</v>
      </c>
      <c r="C646" s="192">
        <v>-268.88</v>
      </c>
      <c r="D646" s="192" t="s">
        <v>536</v>
      </c>
      <c r="E646" s="192" t="s">
        <v>537</v>
      </c>
      <c r="F646" s="194" t="s">
        <v>538</v>
      </c>
    </row>
    <row r="647">
      <c r="A647" s="192" t="s">
        <v>158</v>
      </c>
      <c r="B647" s="193">
        <v>45354.66666666667</v>
      </c>
      <c r="C647" s="192">
        <v>-266.15</v>
      </c>
      <c r="D647" s="192" t="s">
        <v>536</v>
      </c>
      <c r="E647" s="192" t="s">
        <v>537</v>
      </c>
      <c r="F647" s="194" t="s">
        <v>538</v>
      </c>
    </row>
    <row r="648">
      <c r="A648" s="192" t="s">
        <v>158</v>
      </c>
      <c r="B648" s="193">
        <v>45383.70833333333</v>
      </c>
      <c r="C648" s="192">
        <v>-266.15</v>
      </c>
      <c r="D648" s="192" t="s">
        <v>536</v>
      </c>
      <c r="E648" s="192" t="s">
        <v>537</v>
      </c>
      <c r="F648" s="194" t="s">
        <v>538</v>
      </c>
    </row>
    <row r="649">
      <c r="A649" s="192" t="s">
        <v>158</v>
      </c>
      <c r="B649" s="193">
        <v>45413.70833333333</v>
      </c>
      <c r="C649" s="192">
        <v>-266.15</v>
      </c>
      <c r="D649" s="192" t="s">
        <v>536</v>
      </c>
      <c r="E649" s="192" t="s">
        <v>537</v>
      </c>
      <c r="F649" s="194" t="s">
        <v>538</v>
      </c>
    </row>
    <row r="650">
      <c r="A650" s="192" t="s">
        <v>158</v>
      </c>
      <c r="B650" s="193">
        <v>45446.70833333333</v>
      </c>
      <c r="C650" s="192">
        <v>-266.15</v>
      </c>
      <c r="D650" s="192" t="s">
        <v>536</v>
      </c>
      <c r="E650" s="192" t="s">
        <v>537</v>
      </c>
      <c r="F650" s="194" t="s">
        <v>538</v>
      </c>
    </row>
    <row r="651">
      <c r="A651" s="192" t="s">
        <v>158</v>
      </c>
      <c r="B651" s="193">
        <v>45474.70833333333</v>
      </c>
      <c r="C651" s="192">
        <v>-266.15</v>
      </c>
      <c r="D651" s="192" t="s">
        <v>536</v>
      </c>
      <c r="E651" s="192" t="s">
        <v>537</v>
      </c>
      <c r="F651" s="194" t="s">
        <v>538</v>
      </c>
    </row>
    <row r="652">
      <c r="A652" s="192" t="s">
        <v>158</v>
      </c>
      <c r="B652" s="193">
        <v>45505.70833333333</v>
      </c>
      <c r="C652" s="192">
        <v>-266.15</v>
      </c>
      <c r="D652" s="192" t="s">
        <v>536</v>
      </c>
      <c r="E652" s="192" t="s">
        <v>537</v>
      </c>
      <c r="F652" s="194" t="s">
        <v>538</v>
      </c>
    </row>
    <row r="653">
      <c r="A653" s="192" t="s">
        <v>158</v>
      </c>
      <c r="B653" s="193">
        <v>45538.70833333333</v>
      </c>
      <c r="C653" s="192">
        <v>-266.15</v>
      </c>
      <c r="D653" s="192" t="s">
        <v>536</v>
      </c>
      <c r="E653" s="192" t="s">
        <v>537</v>
      </c>
      <c r="F653" s="194" t="s">
        <v>538</v>
      </c>
    </row>
    <row r="654">
      <c r="A654" s="192" t="s">
        <v>158</v>
      </c>
      <c r="B654" s="193">
        <v>45566.70833333333</v>
      </c>
      <c r="C654" s="192">
        <v>-266.15</v>
      </c>
      <c r="D654" s="192" t="s">
        <v>536</v>
      </c>
      <c r="E654" s="192" t="s">
        <v>537</v>
      </c>
      <c r="F654" s="194" t="s">
        <v>538</v>
      </c>
    </row>
    <row r="655">
      <c r="A655" s="192" t="s">
        <v>158</v>
      </c>
      <c r="B655" s="193">
        <v>45263.66666666667</v>
      </c>
      <c r="C655" s="192">
        <v>-182.2</v>
      </c>
      <c r="D655" s="192" t="s">
        <v>536</v>
      </c>
      <c r="E655" s="192" t="s">
        <v>537</v>
      </c>
      <c r="F655" s="194" t="s">
        <v>538</v>
      </c>
    </row>
    <row r="656">
      <c r="A656" s="192" t="s">
        <v>158</v>
      </c>
      <c r="B656" s="193">
        <v>45293.66666666667</v>
      </c>
      <c r="C656" s="192">
        <v>-182.2</v>
      </c>
      <c r="D656" s="192" t="s">
        <v>536</v>
      </c>
      <c r="E656" s="192" t="s">
        <v>537</v>
      </c>
      <c r="F656" s="194" t="s">
        <v>538</v>
      </c>
    </row>
    <row r="657">
      <c r="A657" s="192" t="s">
        <v>158</v>
      </c>
      <c r="B657" s="193">
        <v>45323.66666666667</v>
      </c>
      <c r="C657" s="192">
        <v>-182.2</v>
      </c>
      <c r="D657" s="192" t="s">
        <v>536</v>
      </c>
      <c r="E657" s="192" t="s">
        <v>537</v>
      </c>
      <c r="F657" s="194" t="s">
        <v>538</v>
      </c>
    </row>
    <row r="658">
      <c r="A658" s="192" t="s">
        <v>158</v>
      </c>
      <c r="B658" s="193">
        <v>45245.66666666667</v>
      </c>
      <c r="C658" s="192">
        <v>-83.95</v>
      </c>
      <c r="D658" s="192" t="s">
        <v>536</v>
      </c>
      <c r="E658" s="192" t="s">
        <v>539</v>
      </c>
      <c r="F658" s="194" t="s">
        <v>538</v>
      </c>
    </row>
    <row r="659">
      <c r="A659" s="192" t="s">
        <v>158</v>
      </c>
      <c r="B659" s="193">
        <v>45277.66666666667</v>
      </c>
      <c r="C659" s="192">
        <v>-83.95</v>
      </c>
      <c r="D659" s="192" t="s">
        <v>536</v>
      </c>
      <c r="E659" s="192" t="s">
        <v>539</v>
      </c>
      <c r="F659" s="194" t="s">
        <v>538</v>
      </c>
    </row>
    <row r="660">
      <c r="A660" s="192" t="s">
        <v>158</v>
      </c>
      <c r="B660" s="193">
        <v>45307.66666666667</v>
      </c>
      <c r="C660" s="192">
        <v>-83.95</v>
      </c>
      <c r="D660" s="192" t="s">
        <v>536</v>
      </c>
      <c r="E660" s="192" t="s">
        <v>539</v>
      </c>
      <c r="F660" s="194" t="s">
        <v>538</v>
      </c>
    </row>
    <row r="661">
      <c r="A661" s="192" t="s">
        <v>158</v>
      </c>
      <c r="B661" s="193">
        <v>45328.66666666667</v>
      </c>
      <c r="C661" s="192">
        <v>-83.95</v>
      </c>
      <c r="D661" s="192" t="s">
        <v>540</v>
      </c>
      <c r="E661" s="192" t="s">
        <v>541</v>
      </c>
      <c r="F661" s="194" t="s">
        <v>538</v>
      </c>
    </row>
    <row r="662">
      <c r="A662" s="192" t="s">
        <v>158</v>
      </c>
      <c r="B662" s="193">
        <v>45237.66666666667</v>
      </c>
      <c r="C662" s="192">
        <v>-21.32</v>
      </c>
      <c r="D662" s="192" t="s">
        <v>542</v>
      </c>
      <c r="E662" s="192" t="s">
        <v>543</v>
      </c>
      <c r="F662" s="194" t="s">
        <v>538</v>
      </c>
    </row>
    <row r="663">
      <c r="A663" s="192" t="s">
        <v>158</v>
      </c>
      <c r="B663" s="193">
        <v>45237.66666666667</v>
      </c>
      <c r="C663" s="192">
        <v>-17.85</v>
      </c>
      <c r="D663" s="192" t="s">
        <v>542</v>
      </c>
      <c r="E663" s="192" t="s">
        <v>543</v>
      </c>
      <c r="F663" s="194" t="s">
        <v>538</v>
      </c>
    </row>
    <row r="664">
      <c r="A664" s="192" t="s">
        <v>107</v>
      </c>
      <c r="B664" s="193">
        <v>45427.70833333333</v>
      </c>
      <c r="C664" s="192">
        <v>-3328.0</v>
      </c>
      <c r="D664" s="192" t="s">
        <v>544</v>
      </c>
      <c r="E664" s="192" t="s">
        <v>545</v>
      </c>
      <c r="F664" s="194" t="s">
        <v>546</v>
      </c>
    </row>
    <row r="665">
      <c r="A665" s="192" t="s">
        <v>107</v>
      </c>
      <c r="B665" s="193">
        <v>45474.70833333333</v>
      </c>
      <c r="C665" s="192">
        <v>-2139.45</v>
      </c>
      <c r="D665" s="192" t="s">
        <v>544</v>
      </c>
      <c r="E665" s="192" t="s">
        <v>547</v>
      </c>
      <c r="F665" s="194" t="s">
        <v>546</v>
      </c>
    </row>
    <row r="666">
      <c r="A666" s="192" t="s">
        <v>107</v>
      </c>
      <c r="B666" s="193">
        <v>45329.66666666667</v>
      </c>
      <c r="C666" s="192">
        <v>-1776.69</v>
      </c>
      <c r="D666" s="192" t="s">
        <v>544</v>
      </c>
      <c r="E666" s="192" t="s">
        <v>547</v>
      </c>
      <c r="F666" s="194" t="s">
        <v>546</v>
      </c>
    </row>
    <row r="667">
      <c r="A667" s="192" t="s">
        <v>107</v>
      </c>
      <c r="B667" s="193">
        <v>45558.70833333333</v>
      </c>
      <c r="C667" s="192">
        <v>-961.93</v>
      </c>
      <c r="D667" s="192" t="s">
        <v>544</v>
      </c>
      <c r="E667" s="192" t="s">
        <v>548</v>
      </c>
      <c r="F667" s="194" t="s">
        <v>546</v>
      </c>
    </row>
    <row r="668">
      <c r="A668" s="192" t="s">
        <v>107</v>
      </c>
      <c r="B668" s="193">
        <v>45271.66666666667</v>
      </c>
      <c r="C668" s="192">
        <v>-746.25</v>
      </c>
      <c r="D668" s="192" t="s">
        <v>544</v>
      </c>
      <c r="E668" s="192" t="s">
        <v>549</v>
      </c>
      <c r="F668" s="194" t="s">
        <v>546</v>
      </c>
    </row>
    <row r="669">
      <c r="A669" s="192" t="s">
        <v>107</v>
      </c>
      <c r="B669" s="193">
        <v>45577.70833333333</v>
      </c>
      <c r="C669" s="192">
        <v>-216.44</v>
      </c>
      <c r="D669" s="192" t="s">
        <v>550</v>
      </c>
      <c r="E669" s="192" t="s">
        <v>551</v>
      </c>
      <c r="F669" s="194" t="s">
        <v>546</v>
      </c>
    </row>
    <row r="670">
      <c r="A670" s="192" t="s">
        <v>107</v>
      </c>
      <c r="B670" s="193">
        <v>45569.70833333333</v>
      </c>
      <c r="C670" s="192">
        <v>-30.0</v>
      </c>
      <c r="D670" s="192" t="s">
        <v>552</v>
      </c>
      <c r="E670" s="192" t="s">
        <v>553</v>
      </c>
      <c r="F670" s="194" t="s">
        <v>546</v>
      </c>
    </row>
    <row r="671">
      <c r="A671" s="192" t="s">
        <v>107</v>
      </c>
      <c r="B671" s="193">
        <v>45339.66666666667</v>
      </c>
      <c r="C671" s="192">
        <v>-12.0</v>
      </c>
      <c r="D671" s="192" t="s">
        <v>554</v>
      </c>
      <c r="E671" s="192" t="s">
        <v>555</v>
      </c>
      <c r="F671" s="194" t="s">
        <v>546</v>
      </c>
    </row>
    <row r="672">
      <c r="A672" s="192" t="s">
        <v>123</v>
      </c>
      <c r="B672" s="193">
        <v>45539.70833333333</v>
      </c>
      <c r="C672" s="192">
        <v>-739.32</v>
      </c>
      <c r="D672" s="192" t="s">
        <v>544</v>
      </c>
      <c r="E672" s="192" t="s">
        <v>556</v>
      </c>
      <c r="F672" s="194" t="s">
        <v>546</v>
      </c>
    </row>
    <row r="673">
      <c r="A673" s="192" t="s">
        <v>158</v>
      </c>
      <c r="B673" s="193">
        <v>45572.70833333333</v>
      </c>
      <c r="C673" s="192">
        <v>-25.68</v>
      </c>
      <c r="D673" s="192" t="s">
        <v>557</v>
      </c>
      <c r="E673" s="192" t="s">
        <v>558</v>
      </c>
      <c r="F673" s="194" t="s">
        <v>546</v>
      </c>
    </row>
    <row r="674">
      <c r="A674" s="192" t="s">
        <v>133</v>
      </c>
      <c r="B674" s="193">
        <v>45320.66666666667</v>
      </c>
      <c r="C674" s="192">
        <v>-2012.25</v>
      </c>
      <c r="D674" s="192" t="s">
        <v>559</v>
      </c>
      <c r="E674" s="192" t="s">
        <v>560</v>
      </c>
      <c r="F674" s="194" t="s">
        <v>546</v>
      </c>
    </row>
    <row r="675">
      <c r="A675" s="192" t="s">
        <v>133</v>
      </c>
      <c r="B675" s="193">
        <v>45389.70833333333</v>
      </c>
      <c r="C675" s="192">
        <v>-14.72</v>
      </c>
      <c r="D675" s="192" t="s">
        <v>561</v>
      </c>
      <c r="E675" s="192" t="s">
        <v>562</v>
      </c>
      <c r="F675" s="194" t="s">
        <v>546</v>
      </c>
    </row>
    <row r="676">
      <c r="A676" s="192" t="s">
        <v>158</v>
      </c>
      <c r="B676" s="193">
        <v>45263.66666666667</v>
      </c>
      <c r="C676" s="192">
        <v>-2708.0</v>
      </c>
      <c r="E676" s="192" t="s">
        <v>563</v>
      </c>
      <c r="F676" s="194" t="s">
        <v>564</v>
      </c>
    </row>
    <row r="677">
      <c r="A677" s="192" t="s">
        <v>158</v>
      </c>
      <c r="B677" s="193">
        <v>45293.66666666667</v>
      </c>
      <c r="C677" s="192">
        <v>-2708.0</v>
      </c>
      <c r="E677" s="192" t="s">
        <v>563</v>
      </c>
      <c r="F677" s="194" t="s">
        <v>564</v>
      </c>
    </row>
    <row r="678">
      <c r="A678" s="192" t="s">
        <v>158</v>
      </c>
      <c r="B678" s="193">
        <v>45306.66666666667</v>
      </c>
      <c r="C678" s="192">
        <v>-1001.0</v>
      </c>
      <c r="E678" s="192" t="s">
        <v>563</v>
      </c>
      <c r="F678" s="194" t="s">
        <v>564</v>
      </c>
    </row>
    <row r="679">
      <c r="A679" s="192" t="s">
        <v>158</v>
      </c>
      <c r="B679" s="193">
        <v>45323.66666666667</v>
      </c>
      <c r="C679" s="192">
        <v>-2708.0</v>
      </c>
      <c r="E679" s="192" t="s">
        <v>563</v>
      </c>
      <c r="F679" s="194" t="s">
        <v>564</v>
      </c>
    </row>
    <row r="680">
      <c r="A680" s="192" t="s">
        <v>158</v>
      </c>
      <c r="B680" s="193">
        <v>45354.66666666667</v>
      </c>
      <c r="C680" s="192">
        <v>-2708.0</v>
      </c>
      <c r="E680" s="192" t="s">
        <v>563</v>
      </c>
      <c r="F680" s="194" t="s">
        <v>564</v>
      </c>
    </row>
    <row r="681">
      <c r="A681" s="192" t="s">
        <v>158</v>
      </c>
      <c r="B681" s="193">
        <v>45383.70833333333</v>
      </c>
      <c r="C681" s="192">
        <v>-2708.0</v>
      </c>
      <c r="E681" s="192" t="s">
        <v>563</v>
      </c>
      <c r="F681" s="194" t="s">
        <v>564</v>
      </c>
    </row>
    <row r="682">
      <c r="A682" s="192" t="s">
        <v>158</v>
      </c>
      <c r="B682" s="193">
        <v>45407.70833333333</v>
      </c>
      <c r="C682" s="192">
        <v>-2000.0</v>
      </c>
      <c r="E682" s="192" t="s">
        <v>563</v>
      </c>
      <c r="F682" s="194" t="s">
        <v>564</v>
      </c>
    </row>
    <row r="683">
      <c r="A683" s="192" t="s">
        <v>158</v>
      </c>
      <c r="B683" s="193">
        <v>45413.70833333333</v>
      </c>
      <c r="C683" s="192">
        <v>-2708.0</v>
      </c>
      <c r="E683" s="192" t="s">
        <v>563</v>
      </c>
      <c r="F683" s="194" t="s">
        <v>564</v>
      </c>
    </row>
    <row r="684">
      <c r="A684" s="192" t="s">
        <v>158</v>
      </c>
      <c r="B684" s="193">
        <v>45446.70833333333</v>
      </c>
      <c r="C684" s="192">
        <v>-2708.0</v>
      </c>
      <c r="E684" s="192" t="s">
        <v>563</v>
      </c>
      <c r="F684" s="194" t="s">
        <v>564</v>
      </c>
    </row>
    <row r="685">
      <c r="A685" s="192" t="s">
        <v>158</v>
      </c>
      <c r="B685" s="193">
        <v>45474.70833333333</v>
      </c>
      <c r="C685" s="192">
        <v>-2708.0</v>
      </c>
      <c r="E685" s="192" t="s">
        <v>563</v>
      </c>
      <c r="F685" s="194" t="s">
        <v>564</v>
      </c>
    </row>
    <row r="686">
      <c r="A686" s="192" t="s">
        <v>158</v>
      </c>
      <c r="B686" s="193">
        <v>45505.70833333333</v>
      </c>
      <c r="C686" s="192">
        <v>-2708.0</v>
      </c>
      <c r="E686" s="192" t="s">
        <v>563</v>
      </c>
      <c r="F686" s="194" t="s">
        <v>564</v>
      </c>
    </row>
    <row r="687">
      <c r="A687" s="192" t="s">
        <v>158</v>
      </c>
      <c r="B687" s="193">
        <v>45538.70833333333</v>
      </c>
      <c r="C687" s="192">
        <v>-2708.0</v>
      </c>
      <c r="E687" s="192" t="s">
        <v>563</v>
      </c>
      <c r="F687" s="194" t="s">
        <v>564</v>
      </c>
    </row>
    <row r="688">
      <c r="A688" s="192" t="s">
        <v>158</v>
      </c>
      <c r="B688" s="193">
        <v>45566.70833333333</v>
      </c>
      <c r="C688" s="192">
        <v>-2708.0</v>
      </c>
      <c r="E688" s="192" t="s">
        <v>563</v>
      </c>
      <c r="F688" s="194" t="s">
        <v>564</v>
      </c>
    </row>
    <row r="689">
      <c r="A689" s="192" t="s">
        <v>158</v>
      </c>
      <c r="B689" s="193">
        <v>45596.70833333333</v>
      </c>
      <c r="C689" s="192">
        <v>-2710.0</v>
      </c>
      <c r="E689" s="192" t="s">
        <v>563</v>
      </c>
      <c r="F689" s="194" t="s">
        <v>564</v>
      </c>
    </row>
    <row r="690">
      <c r="A690" s="192" t="s">
        <v>107</v>
      </c>
      <c r="B690" s="193">
        <v>45452.70833333333</v>
      </c>
      <c r="C690" s="192">
        <v>128.37</v>
      </c>
      <c r="E690" s="192" t="s">
        <v>151</v>
      </c>
      <c r="F690" s="194" t="s">
        <v>43</v>
      </c>
    </row>
    <row r="691">
      <c r="A691" s="192" t="s">
        <v>158</v>
      </c>
      <c r="B691" s="193">
        <v>45280.66666666667</v>
      </c>
      <c r="C691" s="192">
        <v>37.24</v>
      </c>
      <c r="E691" s="192" t="s">
        <v>565</v>
      </c>
      <c r="F691" s="194" t="s">
        <v>43</v>
      </c>
    </row>
    <row r="692">
      <c r="A692" s="192" t="s">
        <v>158</v>
      </c>
      <c r="B692" s="193">
        <v>45371.70833333333</v>
      </c>
      <c r="C692" s="192">
        <v>37.24</v>
      </c>
      <c r="E692" s="192" t="s">
        <v>566</v>
      </c>
      <c r="F692" s="194" t="s">
        <v>43</v>
      </c>
    </row>
    <row r="693">
      <c r="A693" s="192" t="s">
        <v>158</v>
      </c>
      <c r="B693" s="193">
        <v>45462.70833333333</v>
      </c>
      <c r="C693" s="192">
        <v>39.52</v>
      </c>
      <c r="E693" s="192" t="s">
        <v>567</v>
      </c>
      <c r="F693" s="194" t="s">
        <v>43</v>
      </c>
    </row>
    <row r="694">
      <c r="A694" s="192" t="s">
        <v>158</v>
      </c>
      <c r="B694" s="193">
        <v>45553.70833333333</v>
      </c>
      <c r="C694" s="192">
        <v>39.52</v>
      </c>
      <c r="E694" s="192" t="s">
        <v>568</v>
      </c>
      <c r="F694" s="194" t="s">
        <v>43</v>
      </c>
    </row>
    <row r="695">
      <c r="A695" s="192" t="s">
        <v>158</v>
      </c>
      <c r="B695" s="193">
        <v>45301.66666666667</v>
      </c>
      <c r="C695" s="192">
        <v>120.0</v>
      </c>
      <c r="E695" s="192" t="s">
        <v>569</v>
      </c>
      <c r="F695" s="194" t="s">
        <v>43</v>
      </c>
    </row>
    <row r="696">
      <c r="A696" s="192" t="s">
        <v>158</v>
      </c>
      <c r="B696" s="193">
        <v>45484.70833333333</v>
      </c>
      <c r="C696" s="192">
        <v>126.42</v>
      </c>
      <c r="E696" s="192" t="s">
        <v>570</v>
      </c>
      <c r="F696" s="194" t="s">
        <v>43</v>
      </c>
    </row>
    <row r="697">
      <c r="A697" s="192" t="s">
        <v>158</v>
      </c>
      <c r="B697" s="193">
        <v>45368.70833333333</v>
      </c>
      <c r="C697" s="192">
        <v>192.31</v>
      </c>
      <c r="E697" s="192" t="s">
        <v>571</v>
      </c>
      <c r="F697" s="194" t="s">
        <v>43</v>
      </c>
    </row>
    <row r="698">
      <c r="A698" s="192" t="s">
        <v>158</v>
      </c>
      <c r="B698" s="193">
        <v>45382.70833333333</v>
      </c>
      <c r="C698" s="192">
        <v>192.31</v>
      </c>
      <c r="E698" s="192" t="s">
        <v>571</v>
      </c>
      <c r="F698" s="194" t="s">
        <v>43</v>
      </c>
    </row>
    <row r="699">
      <c r="A699" s="192" t="s">
        <v>158</v>
      </c>
      <c r="B699" s="193">
        <v>45396.70833333333</v>
      </c>
      <c r="C699" s="192">
        <v>192.31</v>
      </c>
      <c r="E699" s="192" t="s">
        <v>571</v>
      </c>
      <c r="F699" s="194" t="s">
        <v>43</v>
      </c>
    </row>
    <row r="700">
      <c r="A700" s="192" t="s">
        <v>158</v>
      </c>
      <c r="B700" s="193">
        <v>45410.70833333333</v>
      </c>
      <c r="C700" s="192">
        <v>192.31</v>
      </c>
      <c r="E700" s="192" t="s">
        <v>571</v>
      </c>
      <c r="F700" s="194" t="s">
        <v>43</v>
      </c>
    </row>
    <row r="701">
      <c r="A701" s="192" t="s">
        <v>158</v>
      </c>
      <c r="B701" s="193">
        <v>45424.70833333333</v>
      </c>
      <c r="C701" s="192">
        <v>192.31</v>
      </c>
      <c r="E701" s="192" t="s">
        <v>571</v>
      </c>
      <c r="F701" s="194" t="s">
        <v>43</v>
      </c>
    </row>
    <row r="702">
      <c r="A702" s="192" t="s">
        <v>158</v>
      </c>
      <c r="B702" s="193">
        <v>45439.70833333333</v>
      </c>
      <c r="C702" s="192">
        <v>192.31</v>
      </c>
      <c r="E702" s="192" t="s">
        <v>571</v>
      </c>
      <c r="F702" s="194" t="s">
        <v>43</v>
      </c>
    </row>
    <row r="703">
      <c r="A703" s="192" t="s">
        <v>158</v>
      </c>
      <c r="B703" s="193">
        <v>45452.70833333333</v>
      </c>
      <c r="C703" s="192">
        <v>192.31</v>
      </c>
      <c r="E703" s="192" t="s">
        <v>571</v>
      </c>
      <c r="F703" s="194" t="s">
        <v>43</v>
      </c>
    </row>
    <row r="704">
      <c r="A704" s="192" t="s">
        <v>158</v>
      </c>
      <c r="B704" s="193">
        <v>45466.70833333333</v>
      </c>
      <c r="C704" s="192">
        <v>192.31</v>
      </c>
      <c r="E704" s="192" t="s">
        <v>571</v>
      </c>
      <c r="F704" s="194" t="s">
        <v>43</v>
      </c>
    </row>
    <row r="705">
      <c r="A705" s="192" t="s">
        <v>158</v>
      </c>
      <c r="B705" s="193">
        <v>45480.70833333333</v>
      </c>
      <c r="C705" s="192">
        <v>192.31</v>
      </c>
      <c r="E705" s="192" t="s">
        <v>571</v>
      </c>
      <c r="F705" s="194" t="s">
        <v>43</v>
      </c>
    </row>
    <row r="706">
      <c r="A706" s="192" t="s">
        <v>158</v>
      </c>
      <c r="B706" s="193">
        <v>45495.70833333333</v>
      </c>
      <c r="C706" s="192">
        <v>192.31</v>
      </c>
      <c r="E706" s="192" t="s">
        <v>571</v>
      </c>
      <c r="F706" s="194" t="s">
        <v>43</v>
      </c>
    </row>
    <row r="707">
      <c r="A707" s="192" t="s">
        <v>158</v>
      </c>
      <c r="B707" s="193">
        <v>45508.70833333333</v>
      </c>
      <c r="C707" s="192">
        <v>192.31</v>
      </c>
      <c r="E707" s="192" t="s">
        <v>571</v>
      </c>
      <c r="F707" s="194" t="s">
        <v>43</v>
      </c>
    </row>
    <row r="708">
      <c r="A708" s="192" t="s">
        <v>158</v>
      </c>
      <c r="B708" s="193">
        <v>45522.70833333333</v>
      </c>
      <c r="C708" s="192">
        <v>192.31</v>
      </c>
      <c r="E708" s="192" t="s">
        <v>571</v>
      </c>
      <c r="F708" s="194" t="s">
        <v>43</v>
      </c>
    </row>
    <row r="709">
      <c r="A709" s="192" t="s">
        <v>158</v>
      </c>
      <c r="B709" s="193">
        <v>45537.70833333333</v>
      </c>
      <c r="C709" s="192">
        <v>192.31</v>
      </c>
      <c r="E709" s="192" t="s">
        <v>571</v>
      </c>
      <c r="F709" s="194" t="s">
        <v>43</v>
      </c>
    </row>
    <row r="710">
      <c r="A710" s="192" t="s">
        <v>158</v>
      </c>
      <c r="B710" s="193">
        <v>45550.70833333333</v>
      </c>
      <c r="C710" s="192">
        <v>192.31</v>
      </c>
      <c r="E710" s="192" t="s">
        <v>571</v>
      </c>
      <c r="F710" s="194" t="s">
        <v>43</v>
      </c>
    </row>
    <row r="711">
      <c r="A711" s="192" t="s">
        <v>158</v>
      </c>
      <c r="B711" s="193">
        <v>45564.70833333333</v>
      </c>
      <c r="C711" s="192">
        <v>192.31</v>
      </c>
      <c r="E711" s="192" t="s">
        <v>571</v>
      </c>
      <c r="F711" s="194" t="s">
        <v>43</v>
      </c>
    </row>
    <row r="712">
      <c r="A712" s="192" t="s">
        <v>158</v>
      </c>
      <c r="B712" s="193">
        <v>45579.70833333333</v>
      </c>
      <c r="C712" s="192">
        <v>192.31</v>
      </c>
      <c r="E712" s="192" t="s">
        <v>571</v>
      </c>
      <c r="F712" s="194" t="s">
        <v>43</v>
      </c>
    </row>
    <row r="713">
      <c r="A713" s="192" t="s">
        <v>158</v>
      </c>
      <c r="B713" s="193">
        <v>45592.70833333333</v>
      </c>
      <c r="C713" s="192">
        <v>192.31</v>
      </c>
      <c r="E713" s="192" t="s">
        <v>571</v>
      </c>
      <c r="F713" s="194" t="s">
        <v>43</v>
      </c>
    </row>
    <row r="714">
      <c r="A714" s="192" t="s">
        <v>158</v>
      </c>
      <c r="B714" s="193">
        <v>45414.70833333333</v>
      </c>
      <c r="C714" s="192">
        <v>318.2</v>
      </c>
      <c r="E714" s="192" t="s">
        <v>572</v>
      </c>
      <c r="F714" s="194" t="s">
        <v>43</v>
      </c>
    </row>
    <row r="715">
      <c r="A715" s="192" t="s">
        <v>158</v>
      </c>
      <c r="B715" s="193">
        <v>45512.70833333333</v>
      </c>
      <c r="C715" s="192">
        <v>500.0</v>
      </c>
      <c r="E715" s="192" t="s">
        <v>573</v>
      </c>
      <c r="F715" s="194" t="s">
        <v>43</v>
      </c>
    </row>
    <row r="716">
      <c r="A716" s="192" t="s">
        <v>158</v>
      </c>
      <c r="B716" s="193">
        <v>45364.70833333333</v>
      </c>
      <c r="C716" s="192">
        <v>961.55</v>
      </c>
      <c r="E716" s="192" t="s">
        <v>571</v>
      </c>
      <c r="F716" s="194" t="s">
        <v>43</v>
      </c>
    </row>
    <row r="717">
      <c r="A717" s="192" t="s">
        <v>158</v>
      </c>
      <c r="B717" s="193">
        <v>45344.66666666667</v>
      </c>
      <c r="C717" s="192">
        <v>2012.25</v>
      </c>
      <c r="E717" s="192" t="s">
        <v>572</v>
      </c>
      <c r="F717" s="194" t="s">
        <v>43</v>
      </c>
    </row>
    <row r="718">
      <c r="A718" s="192" t="s">
        <v>158</v>
      </c>
      <c r="B718" s="193">
        <v>45308.66666666667</v>
      </c>
      <c r="C718" s="192">
        <v>2071.44</v>
      </c>
      <c r="E718" s="192" t="s">
        <v>574</v>
      </c>
      <c r="F718" s="194" t="s">
        <v>43</v>
      </c>
    </row>
    <row r="719">
      <c r="A719" s="192" t="s">
        <v>158</v>
      </c>
      <c r="B719" s="193">
        <v>45294.66666666667</v>
      </c>
      <c r="C719" s="192">
        <v>2078.8</v>
      </c>
      <c r="E719" s="192" t="s">
        <v>574</v>
      </c>
      <c r="F719" s="194" t="s">
        <v>43</v>
      </c>
    </row>
    <row r="720">
      <c r="A720" s="192" t="s">
        <v>158</v>
      </c>
      <c r="B720" s="193">
        <v>45322.66666666667</v>
      </c>
      <c r="C720" s="192">
        <v>2081.25</v>
      </c>
      <c r="E720" s="192" t="s">
        <v>574</v>
      </c>
      <c r="F720" s="194" t="s">
        <v>43</v>
      </c>
    </row>
    <row r="721">
      <c r="A721" s="192" t="s">
        <v>158</v>
      </c>
      <c r="B721" s="193">
        <v>45378.70833333333</v>
      </c>
      <c r="C721" s="192">
        <v>2120.04</v>
      </c>
      <c r="E721" s="192" t="s">
        <v>574</v>
      </c>
      <c r="F721" s="194" t="s">
        <v>43</v>
      </c>
    </row>
    <row r="722">
      <c r="A722" s="192" t="s">
        <v>158</v>
      </c>
      <c r="B722" s="193">
        <v>45448.70833333333</v>
      </c>
      <c r="C722" s="192">
        <v>2123.76</v>
      </c>
      <c r="E722" s="192" t="s">
        <v>574</v>
      </c>
      <c r="F722" s="194" t="s">
        <v>43</v>
      </c>
    </row>
    <row r="723">
      <c r="A723" s="192" t="s">
        <v>158</v>
      </c>
      <c r="B723" s="193">
        <v>45392.70833333333</v>
      </c>
      <c r="C723" s="192">
        <v>2123.77</v>
      </c>
      <c r="E723" s="192" t="s">
        <v>574</v>
      </c>
      <c r="F723" s="194" t="s">
        <v>43</v>
      </c>
    </row>
    <row r="724">
      <c r="A724" s="192" t="s">
        <v>158</v>
      </c>
      <c r="B724" s="193">
        <v>45504.70833333333</v>
      </c>
      <c r="C724" s="192">
        <v>2123.77</v>
      </c>
      <c r="E724" s="192" t="s">
        <v>574</v>
      </c>
      <c r="F724" s="194" t="s">
        <v>43</v>
      </c>
    </row>
    <row r="725">
      <c r="A725" s="192" t="s">
        <v>158</v>
      </c>
      <c r="B725" s="193">
        <v>45532.70833333333</v>
      </c>
      <c r="C725" s="192">
        <v>2123.77</v>
      </c>
      <c r="E725" s="192" t="s">
        <v>574</v>
      </c>
      <c r="F725" s="194" t="s">
        <v>43</v>
      </c>
    </row>
    <row r="726">
      <c r="A726" s="192" t="s">
        <v>158</v>
      </c>
      <c r="B726" s="193">
        <v>45546.70833333333</v>
      </c>
      <c r="C726" s="192">
        <v>2123.77</v>
      </c>
      <c r="E726" s="192" t="s">
        <v>574</v>
      </c>
      <c r="F726" s="194" t="s">
        <v>43</v>
      </c>
    </row>
    <row r="727">
      <c r="A727" s="192" t="s">
        <v>158</v>
      </c>
      <c r="B727" s="193">
        <v>45406.70833333333</v>
      </c>
      <c r="C727" s="192">
        <v>2123.78</v>
      </c>
      <c r="E727" s="192" t="s">
        <v>574</v>
      </c>
      <c r="F727" s="194" t="s">
        <v>43</v>
      </c>
    </row>
    <row r="728">
      <c r="A728" s="192" t="s">
        <v>158</v>
      </c>
      <c r="B728" s="193">
        <v>45420.70833333333</v>
      </c>
      <c r="C728" s="192">
        <v>2123.78</v>
      </c>
      <c r="E728" s="192" t="s">
        <v>574</v>
      </c>
      <c r="F728" s="194" t="s">
        <v>43</v>
      </c>
    </row>
    <row r="729">
      <c r="A729" s="192" t="s">
        <v>158</v>
      </c>
      <c r="B729" s="193">
        <v>45434.70833333333</v>
      </c>
      <c r="C729" s="192">
        <v>2123.78</v>
      </c>
      <c r="E729" s="192" t="s">
        <v>574</v>
      </c>
      <c r="F729" s="194" t="s">
        <v>43</v>
      </c>
    </row>
    <row r="730">
      <c r="A730" s="192" t="s">
        <v>158</v>
      </c>
      <c r="B730" s="193">
        <v>45462.70833333333</v>
      </c>
      <c r="C730" s="192">
        <v>2123.78</v>
      </c>
      <c r="E730" s="192" t="s">
        <v>574</v>
      </c>
      <c r="F730" s="194" t="s">
        <v>43</v>
      </c>
    </row>
    <row r="731">
      <c r="A731" s="192" t="s">
        <v>158</v>
      </c>
      <c r="B731" s="193">
        <v>45475.70833333333</v>
      </c>
      <c r="C731" s="192">
        <v>2123.78</v>
      </c>
      <c r="E731" s="192" t="s">
        <v>574</v>
      </c>
      <c r="F731" s="194" t="s">
        <v>43</v>
      </c>
    </row>
    <row r="732">
      <c r="A732" s="192" t="s">
        <v>158</v>
      </c>
      <c r="B732" s="193">
        <v>45490.70833333333</v>
      </c>
      <c r="C732" s="192">
        <v>2123.78</v>
      </c>
      <c r="E732" s="192" t="s">
        <v>574</v>
      </c>
      <c r="F732" s="194" t="s">
        <v>43</v>
      </c>
    </row>
    <row r="733">
      <c r="A733" s="192" t="s">
        <v>158</v>
      </c>
      <c r="B733" s="193">
        <v>45518.70833333333</v>
      </c>
      <c r="C733" s="192">
        <v>2123.78</v>
      </c>
      <c r="E733" s="192" t="s">
        <v>574</v>
      </c>
      <c r="F733" s="194" t="s">
        <v>43</v>
      </c>
    </row>
    <row r="734">
      <c r="A734" s="192" t="s">
        <v>158</v>
      </c>
      <c r="B734" s="193">
        <v>45560.70833333333</v>
      </c>
      <c r="C734" s="192">
        <v>2123.78</v>
      </c>
      <c r="E734" s="192" t="s">
        <v>574</v>
      </c>
      <c r="F734" s="194" t="s">
        <v>43</v>
      </c>
    </row>
    <row r="735">
      <c r="A735" s="192" t="s">
        <v>158</v>
      </c>
      <c r="B735" s="193">
        <v>45574.70833333333</v>
      </c>
      <c r="C735" s="192">
        <v>2123.78</v>
      </c>
      <c r="E735" s="192" t="s">
        <v>574</v>
      </c>
      <c r="F735" s="194" t="s">
        <v>43</v>
      </c>
    </row>
    <row r="736">
      <c r="A736" s="192" t="s">
        <v>158</v>
      </c>
      <c r="B736" s="193">
        <v>45588.70833333333</v>
      </c>
      <c r="C736" s="192">
        <v>2123.78</v>
      </c>
      <c r="E736" s="192" t="s">
        <v>574</v>
      </c>
      <c r="F736" s="194" t="s">
        <v>43</v>
      </c>
    </row>
    <row r="737">
      <c r="A737" s="192" t="s">
        <v>158</v>
      </c>
      <c r="B737" s="193">
        <v>45350.66666666667</v>
      </c>
      <c r="C737" s="192">
        <v>2127.17</v>
      </c>
      <c r="E737" s="192" t="s">
        <v>574</v>
      </c>
      <c r="F737" s="194" t="s">
        <v>43</v>
      </c>
    </row>
    <row r="738">
      <c r="A738" s="192" t="s">
        <v>158</v>
      </c>
      <c r="B738" s="193">
        <v>45364.70833333333</v>
      </c>
      <c r="C738" s="192">
        <v>2127.17</v>
      </c>
      <c r="E738" s="192" t="s">
        <v>574</v>
      </c>
      <c r="F738" s="194" t="s">
        <v>43</v>
      </c>
    </row>
    <row r="739">
      <c r="A739" s="192" t="s">
        <v>158</v>
      </c>
      <c r="B739" s="193">
        <v>45336.66666666667</v>
      </c>
      <c r="C739" s="192">
        <v>2127.18</v>
      </c>
      <c r="E739" s="192" t="s">
        <v>574</v>
      </c>
      <c r="F739" s="194" t="s">
        <v>43</v>
      </c>
    </row>
    <row r="740">
      <c r="A740" s="192" t="s">
        <v>158</v>
      </c>
      <c r="B740" s="193">
        <v>45251.66666666667</v>
      </c>
      <c r="C740" s="192">
        <v>2769.46</v>
      </c>
      <c r="E740" s="192" t="s">
        <v>574</v>
      </c>
      <c r="F740" s="194" t="s">
        <v>43</v>
      </c>
    </row>
    <row r="741">
      <c r="A741" s="192" t="s">
        <v>158</v>
      </c>
      <c r="B741" s="193">
        <v>45280.66666666667</v>
      </c>
      <c r="C741" s="192">
        <v>2876.7</v>
      </c>
      <c r="E741" s="192" t="s">
        <v>574</v>
      </c>
      <c r="F741" s="194" t="s">
        <v>43</v>
      </c>
    </row>
    <row r="742">
      <c r="A742" s="192" t="s">
        <v>158</v>
      </c>
      <c r="B742" s="193">
        <v>45266.66666666667</v>
      </c>
      <c r="C742" s="192">
        <v>2876.72</v>
      </c>
      <c r="E742" s="192" t="s">
        <v>574</v>
      </c>
      <c r="F742" s="194" t="s">
        <v>43</v>
      </c>
    </row>
    <row r="743">
      <c r="A743" s="192" t="s">
        <v>158</v>
      </c>
      <c r="B743" s="193">
        <v>45512.70833333333</v>
      </c>
      <c r="C743" s="192">
        <v>2993.81</v>
      </c>
      <c r="E743" s="192" t="s">
        <v>575</v>
      </c>
      <c r="F743" s="194" t="s">
        <v>43</v>
      </c>
    </row>
    <row r="744">
      <c r="A744" s="192" t="s">
        <v>158</v>
      </c>
      <c r="B744" s="193">
        <v>45484.70833333333</v>
      </c>
      <c r="C744" s="192">
        <v>2993.82</v>
      </c>
      <c r="E744" s="192" t="s">
        <v>575</v>
      </c>
      <c r="F744" s="194" t="s">
        <v>43</v>
      </c>
    </row>
    <row r="745">
      <c r="A745" s="192" t="s">
        <v>158</v>
      </c>
      <c r="B745" s="193">
        <v>45540.70833333333</v>
      </c>
      <c r="C745" s="192">
        <v>2993.82</v>
      </c>
      <c r="E745" s="192" t="s">
        <v>576</v>
      </c>
      <c r="F745" s="194" t="s">
        <v>43</v>
      </c>
    </row>
    <row r="746">
      <c r="A746" s="192" t="s">
        <v>158</v>
      </c>
      <c r="B746" s="193">
        <v>45568.70833333333</v>
      </c>
      <c r="C746" s="192">
        <v>2993.82</v>
      </c>
      <c r="E746" s="192" t="s">
        <v>576</v>
      </c>
      <c r="F746" s="194" t="s">
        <v>43</v>
      </c>
    </row>
    <row r="747">
      <c r="A747" s="192" t="s">
        <v>158</v>
      </c>
      <c r="B747" s="193">
        <v>45596.70833333333</v>
      </c>
      <c r="C747" s="192">
        <v>2993.82</v>
      </c>
      <c r="E747" s="192" t="s">
        <v>575</v>
      </c>
      <c r="F747" s="194" t="s">
        <v>43</v>
      </c>
    </row>
    <row r="748">
      <c r="A748" s="192" t="s">
        <v>158</v>
      </c>
      <c r="B748" s="193">
        <v>45470.70833333333</v>
      </c>
      <c r="C748" s="192">
        <v>2993.83</v>
      </c>
      <c r="E748" s="192" t="s">
        <v>575</v>
      </c>
      <c r="F748" s="194" t="s">
        <v>43</v>
      </c>
    </row>
    <row r="749">
      <c r="A749" s="192" t="s">
        <v>158</v>
      </c>
      <c r="B749" s="193">
        <v>45526.70833333333</v>
      </c>
      <c r="C749" s="192">
        <v>2993.83</v>
      </c>
      <c r="E749" s="192" t="s">
        <v>575</v>
      </c>
      <c r="F749" s="194" t="s">
        <v>43</v>
      </c>
    </row>
    <row r="750">
      <c r="A750" s="192" t="s">
        <v>158</v>
      </c>
      <c r="B750" s="193">
        <v>45554.70833333333</v>
      </c>
      <c r="C750" s="192">
        <v>2993.83</v>
      </c>
      <c r="E750" s="192" t="s">
        <v>575</v>
      </c>
      <c r="F750" s="194" t="s">
        <v>43</v>
      </c>
    </row>
    <row r="751">
      <c r="A751" s="192" t="s">
        <v>158</v>
      </c>
      <c r="B751" s="193">
        <v>45582.70833333333</v>
      </c>
      <c r="C751" s="192">
        <v>2993.83</v>
      </c>
      <c r="E751" s="192" t="s">
        <v>575</v>
      </c>
      <c r="F751" s="194" t="s">
        <v>43</v>
      </c>
    </row>
    <row r="752">
      <c r="A752" s="192" t="s">
        <v>158</v>
      </c>
      <c r="B752" s="193">
        <v>45498.70833333333</v>
      </c>
      <c r="C752" s="192">
        <v>3015.83</v>
      </c>
      <c r="E752" s="192" t="s">
        <v>575</v>
      </c>
      <c r="F752" s="194" t="s">
        <v>43</v>
      </c>
    </row>
    <row r="753">
      <c r="A753" s="192" t="s">
        <v>158</v>
      </c>
      <c r="B753" s="193">
        <v>45246.66666666667</v>
      </c>
      <c r="C753" s="192">
        <v>3042.49</v>
      </c>
      <c r="E753" s="192" t="s">
        <v>575</v>
      </c>
      <c r="F753" s="194" t="s">
        <v>43</v>
      </c>
    </row>
    <row r="754">
      <c r="A754" s="192" t="s">
        <v>158</v>
      </c>
      <c r="B754" s="193">
        <v>45260.66666666667</v>
      </c>
      <c r="C754" s="192">
        <v>3042.49</v>
      </c>
      <c r="E754" s="192" t="s">
        <v>575</v>
      </c>
      <c r="F754" s="194" t="s">
        <v>43</v>
      </c>
    </row>
    <row r="755">
      <c r="A755" s="192" t="s">
        <v>158</v>
      </c>
      <c r="B755" s="193">
        <v>45302.66666666667</v>
      </c>
      <c r="C755" s="192">
        <v>3117.36</v>
      </c>
      <c r="E755" s="192" t="s">
        <v>575</v>
      </c>
      <c r="F755" s="194" t="s">
        <v>43</v>
      </c>
    </row>
    <row r="756">
      <c r="A756" s="192" t="s">
        <v>158</v>
      </c>
      <c r="B756" s="193">
        <v>45330.66666666667</v>
      </c>
      <c r="C756" s="192">
        <v>3117.36</v>
      </c>
      <c r="E756" s="192" t="s">
        <v>575</v>
      </c>
      <c r="F756" s="194" t="s">
        <v>43</v>
      </c>
    </row>
    <row r="757">
      <c r="A757" s="192" t="s">
        <v>158</v>
      </c>
      <c r="B757" s="193">
        <v>45316.66666666667</v>
      </c>
      <c r="C757" s="192">
        <v>3117.38</v>
      </c>
      <c r="E757" s="192" t="s">
        <v>575</v>
      </c>
      <c r="F757" s="194" t="s">
        <v>43</v>
      </c>
    </row>
    <row r="758">
      <c r="A758" s="192" t="s">
        <v>158</v>
      </c>
      <c r="B758" s="193">
        <v>45400.70833333333</v>
      </c>
      <c r="C758" s="192">
        <v>3193.81</v>
      </c>
      <c r="E758" s="192" t="s">
        <v>575</v>
      </c>
      <c r="F758" s="194" t="s">
        <v>43</v>
      </c>
    </row>
    <row r="759">
      <c r="A759" s="192" t="s">
        <v>158</v>
      </c>
      <c r="B759" s="193">
        <v>45456.70833333333</v>
      </c>
      <c r="C759" s="192">
        <v>3193.81</v>
      </c>
      <c r="E759" s="192" t="s">
        <v>575</v>
      </c>
      <c r="F759" s="194" t="s">
        <v>43</v>
      </c>
    </row>
    <row r="760">
      <c r="A760" s="192" t="s">
        <v>158</v>
      </c>
      <c r="B760" s="193">
        <v>45372.70833333333</v>
      </c>
      <c r="C760" s="192">
        <v>3193.82</v>
      </c>
      <c r="E760" s="192" t="s">
        <v>575</v>
      </c>
      <c r="F760" s="194" t="s">
        <v>43</v>
      </c>
    </row>
    <row r="761">
      <c r="A761" s="192" t="s">
        <v>158</v>
      </c>
      <c r="B761" s="193">
        <v>45428.70833333333</v>
      </c>
      <c r="C761" s="192">
        <v>3193.82</v>
      </c>
      <c r="E761" s="192" t="s">
        <v>575</v>
      </c>
      <c r="F761" s="194" t="s">
        <v>43</v>
      </c>
    </row>
    <row r="762">
      <c r="A762" s="192" t="s">
        <v>158</v>
      </c>
      <c r="B762" s="193">
        <v>45344.66666666667</v>
      </c>
      <c r="C762" s="192">
        <v>3193.83</v>
      </c>
      <c r="E762" s="192" t="s">
        <v>575</v>
      </c>
      <c r="F762" s="194" t="s">
        <v>43</v>
      </c>
    </row>
    <row r="763">
      <c r="A763" s="192" t="s">
        <v>158</v>
      </c>
      <c r="B763" s="193">
        <v>45386.70833333333</v>
      </c>
      <c r="C763" s="192">
        <v>3193.83</v>
      </c>
      <c r="E763" s="192" t="s">
        <v>575</v>
      </c>
      <c r="F763" s="194" t="s">
        <v>43</v>
      </c>
    </row>
    <row r="764">
      <c r="A764" s="192" t="s">
        <v>158</v>
      </c>
      <c r="B764" s="193">
        <v>45414.70833333333</v>
      </c>
      <c r="C764" s="192">
        <v>3193.83</v>
      </c>
      <c r="E764" s="192" t="s">
        <v>575</v>
      </c>
      <c r="F764" s="194" t="s">
        <v>43</v>
      </c>
    </row>
    <row r="765">
      <c r="A765" s="192" t="s">
        <v>158</v>
      </c>
      <c r="B765" s="193">
        <v>45358.66666666667</v>
      </c>
      <c r="C765" s="192">
        <v>3193.84</v>
      </c>
      <c r="E765" s="192" t="s">
        <v>575</v>
      </c>
      <c r="F765" s="194" t="s">
        <v>43</v>
      </c>
    </row>
    <row r="766">
      <c r="A766" s="192" t="s">
        <v>158</v>
      </c>
      <c r="B766" s="193">
        <v>45442.70833333333</v>
      </c>
      <c r="C766" s="192">
        <v>3193.84</v>
      </c>
      <c r="E766" s="192" t="s">
        <v>575</v>
      </c>
      <c r="F766" s="194" t="s">
        <v>43</v>
      </c>
    </row>
    <row r="767">
      <c r="A767" s="192" t="s">
        <v>158</v>
      </c>
      <c r="B767" s="193">
        <v>45274.66666666667</v>
      </c>
      <c r="C767" s="192">
        <v>3245.92</v>
      </c>
      <c r="E767" s="192" t="s">
        <v>575</v>
      </c>
      <c r="F767" s="194" t="s">
        <v>43</v>
      </c>
    </row>
    <row r="768">
      <c r="A768" s="192" t="s">
        <v>158</v>
      </c>
      <c r="B768" s="193">
        <v>45288.66666666667</v>
      </c>
      <c r="C768" s="192">
        <v>3382.85</v>
      </c>
      <c r="E768" s="192" t="s">
        <v>575</v>
      </c>
      <c r="F768" s="194" t="s">
        <v>43</v>
      </c>
    </row>
    <row r="769">
      <c r="A769" s="192" t="s">
        <v>158</v>
      </c>
      <c r="B769" s="193">
        <v>45238.66666666667</v>
      </c>
      <c r="C769" s="192">
        <v>5643.81</v>
      </c>
      <c r="E769" s="192" t="s">
        <v>574</v>
      </c>
      <c r="F769" s="194" t="s">
        <v>43</v>
      </c>
    </row>
    <row r="770">
      <c r="A770" s="192" t="s">
        <v>158</v>
      </c>
      <c r="B770" s="193">
        <v>45596.70833333333</v>
      </c>
      <c r="C770" s="192">
        <v>5931.52</v>
      </c>
      <c r="E770" s="192" t="s">
        <v>574</v>
      </c>
      <c r="F770" s="194" t="s">
        <v>43</v>
      </c>
    </row>
    <row r="771">
      <c r="A771" s="192" t="s">
        <v>158</v>
      </c>
      <c r="B771" s="193">
        <v>45344.66666666667</v>
      </c>
      <c r="C771" s="192">
        <v>21318.88</v>
      </c>
      <c r="E771" s="192" t="s">
        <v>575</v>
      </c>
      <c r="F771" s="194" t="s">
        <v>43</v>
      </c>
    </row>
    <row r="772">
      <c r="A772" s="192" t="s">
        <v>107</v>
      </c>
      <c r="B772" s="193">
        <v>45463.70833333333</v>
      </c>
      <c r="C772" s="192">
        <v>-40.0</v>
      </c>
      <c r="D772" s="192" t="s">
        <v>577</v>
      </c>
      <c r="E772" s="192" t="s">
        <v>578</v>
      </c>
      <c r="F772" s="194" t="s">
        <v>579</v>
      </c>
    </row>
    <row r="773">
      <c r="A773" s="192" t="s">
        <v>107</v>
      </c>
      <c r="B773" s="193">
        <v>45567.70833333333</v>
      </c>
      <c r="C773" s="192">
        <v>-27.0</v>
      </c>
      <c r="D773" s="192" t="s">
        <v>580</v>
      </c>
      <c r="E773" s="192" t="s">
        <v>581</v>
      </c>
      <c r="F773" s="194" t="s">
        <v>579</v>
      </c>
    </row>
    <row r="774">
      <c r="A774" s="192" t="s">
        <v>107</v>
      </c>
      <c r="B774" s="193">
        <v>45322.66666666667</v>
      </c>
      <c r="C774" s="192">
        <v>-26.8</v>
      </c>
      <c r="D774" s="192" t="s">
        <v>582</v>
      </c>
      <c r="E774" s="192" t="s">
        <v>583</v>
      </c>
      <c r="F774" s="194" t="s">
        <v>579</v>
      </c>
    </row>
    <row r="775">
      <c r="A775" s="192" t="s">
        <v>107</v>
      </c>
      <c r="B775" s="193">
        <v>45524.70833333333</v>
      </c>
      <c r="C775" s="192">
        <v>-26.0</v>
      </c>
      <c r="D775" s="192" t="s">
        <v>577</v>
      </c>
      <c r="E775" s="192" t="s">
        <v>578</v>
      </c>
      <c r="F775" s="194" t="s">
        <v>579</v>
      </c>
    </row>
    <row r="776">
      <c r="A776" s="192" t="s">
        <v>107</v>
      </c>
      <c r="B776" s="193">
        <v>45345.66666666667</v>
      </c>
      <c r="C776" s="192">
        <v>-25.0</v>
      </c>
      <c r="D776" s="192" t="s">
        <v>577</v>
      </c>
      <c r="E776" s="192" t="s">
        <v>578</v>
      </c>
      <c r="F776" s="194" t="s">
        <v>579</v>
      </c>
    </row>
    <row r="777">
      <c r="A777" s="192" t="s">
        <v>107</v>
      </c>
      <c r="B777" s="193">
        <v>45468.70833333333</v>
      </c>
      <c r="C777" s="192">
        <v>-25.0</v>
      </c>
      <c r="D777" s="192" t="s">
        <v>577</v>
      </c>
      <c r="E777" s="192" t="s">
        <v>578</v>
      </c>
      <c r="F777" s="194" t="s">
        <v>579</v>
      </c>
    </row>
    <row r="778">
      <c r="A778" s="192" t="s">
        <v>107</v>
      </c>
      <c r="B778" s="193">
        <v>45340.66666666667</v>
      </c>
      <c r="C778" s="192">
        <v>-16.59</v>
      </c>
      <c r="D778" s="192" t="s">
        <v>584</v>
      </c>
      <c r="E778" s="192" t="s">
        <v>585</v>
      </c>
      <c r="F778" s="194" t="s">
        <v>579</v>
      </c>
    </row>
    <row r="779">
      <c r="A779" s="192" t="s">
        <v>107</v>
      </c>
      <c r="B779" s="193">
        <v>45260.66666666667</v>
      </c>
      <c r="C779" s="192">
        <v>-12.76</v>
      </c>
      <c r="D779" s="192" t="s">
        <v>582</v>
      </c>
      <c r="E779" s="192" t="s">
        <v>583</v>
      </c>
      <c r="F779" s="194" t="s">
        <v>579</v>
      </c>
    </row>
    <row r="780">
      <c r="A780" s="192" t="s">
        <v>107</v>
      </c>
      <c r="B780" s="193">
        <v>45351.66666666667</v>
      </c>
      <c r="C780" s="192">
        <v>-12.76</v>
      </c>
      <c r="D780" s="192" t="s">
        <v>582</v>
      </c>
      <c r="E780" s="192" t="s">
        <v>583</v>
      </c>
      <c r="F780" s="194" t="s">
        <v>579</v>
      </c>
    </row>
    <row r="781">
      <c r="A781" s="192" t="s">
        <v>107</v>
      </c>
      <c r="B781" s="193">
        <v>45443.70833333333</v>
      </c>
      <c r="C781" s="192">
        <v>-12.76</v>
      </c>
      <c r="D781" s="192" t="s">
        <v>582</v>
      </c>
      <c r="E781" s="192" t="s">
        <v>583</v>
      </c>
      <c r="F781" s="194" t="s">
        <v>579</v>
      </c>
    </row>
    <row r="782">
      <c r="A782" s="192" t="s">
        <v>107</v>
      </c>
      <c r="B782" s="193">
        <v>45535.70833333333</v>
      </c>
      <c r="C782" s="192">
        <v>-12.76</v>
      </c>
      <c r="D782" s="192" t="s">
        <v>582</v>
      </c>
      <c r="E782" s="192" t="s">
        <v>583</v>
      </c>
      <c r="F782" s="194" t="s">
        <v>579</v>
      </c>
    </row>
    <row r="783">
      <c r="A783" s="192" t="s">
        <v>123</v>
      </c>
      <c r="B783" s="193">
        <v>45393.70833333333</v>
      </c>
      <c r="C783" s="192">
        <v>-156.0</v>
      </c>
      <c r="D783" s="192" t="s">
        <v>586</v>
      </c>
      <c r="E783" s="192" t="s">
        <v>587</v>
      </c>
      <c r="F783" s="194" t="s">
        <v>579</v>
      </c>
    </row>
    <row r="784">
      <c r="A784" s="192" t="s">
        <v>123</v>
      </c>
      <c r="B784" s="193">
        <v>45266.66666666667</v>
      </c>
      <c r="C784" s="192">
        <v>-144.0</v>
      </c>
      <c r="D784" s="192" t="s">
        <v>586</v>
      </c>
      <c r="E784" s="192" t="s">
        <v>587</v>
      </c>
      <c r="F784" s="194" t="s">
        <v>579</v>
      </c>
    </row>
    <row r="785">
      <c r="A785" s="192" t="s">
        <v>123</v>
      </c>
      <c r="B785" s="193">
        <v>45522.70833333333</v>
      </c>
      <c r="C785" s="192">
        <v>-140.0</v>
      </c>
      <c r="D785" s="192" t="s">
        <v>586</v>
      </c>
      <c r="E785" s="192" t="s">
        <v>587</v>
      </c>
      <c r="F785" s="194" t="s">
        <v>579</v>
      </c>
    </row>
    <row r="786">
      <c r="A786" s="192" t="s">
        <v>123</v>
      </c>
      <c r="B786" s="193">
        <v>45588.70833333333</v>
      </c>
      <c r="C786" s="192">
        <v>-130.06</v>
      </c>
      <c r="D786" s="192" t="s">
        <v>588</v>
      </c>
      <c r="E786" s="192" t="s">
        <v>589</v>
      </c>
      <c r="F786" s="194" t="s">
        <v>579</v>
      </c>
    </row>
    <row r="787">
      <c r="A787" s="192" t="s">
        <v>123</v>
      </c>
      <c r="B787" s="193">
        <v>45247.66666666667</v>
      </c>
      <c r="C787" s="192">
        <v>-120.0</v>
      </c>
      <c r="D787" s="192" t="s">
        <v>590</v>
      </c>
      <c r="E787" s="192" t="s">
        <v>591</v>
      </c>
      <c r="F787" s="194" t="s">
        <v>579</v>
      </c>
    </row>
    <row r="788">
      <c r="A788" s="192" t="s">
        <v>123</v>
      </c>
      <c r="B788" s="193">
        <v>45277.66666666667</v>
      </c>
      <c r="C788" s="192">
        <v>-22.0</v>
      </c>
      <c r="D788" s="192" t="s">
        <v>586</v>
      </c>
      <c r="E788" s="192" t="s">
        <v>587</v>
      </c>
      <c r="F788" s="194" t="s">
        <v>579</v>
      </c>
    </row>
    <row r="789">
      <c r="A789" s="192" t="s">
        <v>133</v>
      </c>
      <c r="B789" s="193">
        <v>45262.66666666667</v>
      </c>
      <c r="C789" s="192">
        <v>-45.0</v>
      </c>
      <c r="D789" s="192" t="s">
        <v>577</v>
      </c>
      <c r="E789" s="192" t="s">
        <v>592</v>
      </c>
      <c r="F789" s="194" t="s">
        <v>579</v>
      </c>
    </row>
    <row r="790">
      <c r="A790" s="192" t="s">
        <v>133</v>
      </c>
      <c r="B790" s="193">
        <v>45310.66666666667</v>
      </c>
      <c r="C790" s="192">
        <v>-35.0</v>
      </c>
      <c r="D790" s="192" t="s">
        <v>577</v>
      </c>
      <c r="E790" s="192" t="s">
        <v>592</v>
      </c>
      <c r="F790" s="194" t="s">
        <v>579</v>
      </c>
    </row>
    <row r="791">
      <c r="A791" s="192" t="s">
        <v>133</v>
      </c>
      <c r="B791" s="193">
        <v>45538.70833333333</v>
      </c>
      <c r="C791" s="192">
        <v>-31.0</v>
      </c>
      <c r="D791" s="192" t="s">
        <v>577</v>
      </c>
      <c r="E791" s="192" t="s">
        <v>592</v>
      </c>
      <c r="F791" s="194" t="s">
        <v>579</v>
      </c>
    </row>
    <row r="792">
      <c r="A792" s="192" t="s">
        <v>133</v>
      </c>
      <c r="B792" s="193">
        <v>45378.70833333333</v>
      </c>
      <c r="C792" s="192">
        <v>-30.0</v>
      </c>
      <c r="D792" s="192" t="s">
        <v>577</v>
      </c>
      <c r="E792" s="192" t="s">
        <v>592</v>
      </c>
      <c r="F792" s="194" t="s">
        <v>579</v>
      </c>
    </row>
    <row r="793">
      <c r="A793" s="192" t="s">
        <v>107</v>
      </c>
      <c r="B793" s="193">
        <v>45526.70833333333</v>
      </c>
      <c r="C793" s="192">
        <v>-102.43</v>
      </c>
      <c r="D793" s="192" t="s">
        <v>593</v>
      </c>
      <c r="E793" s="192" t="s">
        <v>594</v>
      </c>
      <c r="F793" s="194" t="s">
        <v>595</v>
      </c>
    </row>
    <row r="794">
      <c r="A794" s="192" t="s">
        <v>107</v>
      </c>
      <c r="B794" s="193">
        <v>45259.66666666667</v>
      </c>
      <c r="C794" s="192">
        <v>-63.5</v>
      </c>
      <c r="D794" s="192" t="s">
        <v>593</v>
      </c>
      <c r="E794" s="192" t="s">
        <v>594</v>
      </c>
      <c r="F794" s="194" t="s">
        <v>595</v>
      </c>
    </row>
    <row r="795">
      <c r="A795" s="192" t="s">
        <v>107</v>
      </c>
      <c r="B795" s="193">
        <v>45246.66666666667</v>
      </c>
      <c r="C795" s="192">
        <v>-57.35</v>
      </c>
      <c r="D795" s="192" t="s">
        <v>593</v>
      </c>
      <c r="E795" s="192" t="s">
        <v>594</v>
      </c>
      <c r="F795" s="194" t="s">
        <v>595</v>
      </c>
    </row>
    <row r="796">
      <c r="A796" s="192" t="s">
        <v>107</v>
      </c>
      <c r="B796" s="193">
        <v>45333.66666666667</v>
      </c>
      <c r="C796" s="192">
        <v>-49.76</v>
      </c>
      <c r="D796" s="192" t="s">
        <v>593</v>
      </c>
      <c r="E796" s="192" t="s">
        <v>594</v>
      </c>
      <c r="F796" s="194" t="s">
        <v>595</v>
      </c>
    </row>
    <row r="797">
      <c r="A797" s="192" t="s">
        <v>107</v>
      </c>
      <c r="B797" s="193">
        <v>45251.66666666667</v>
      </c>
      <c r="C797" s="192">
        <v>-44.77</v>
      </c>
      <c r="D797" s="192" t="s">
        <v>593</v>
      </c>
      <c r="E797" s="192" t="s">
        <v>594</v>
      </c>
      <c r="F797" s="194" t="s">
        <v>595</v>
      </c>
    </row>
    <row r="798">
      <c r="A798" s="192" t="s">
        <v>107</v>
      </c>
      <c r="B798" s="193">
        <v>45357.66666666667</v>
      </c>
      <c r="C798" s="192">
        <v>-36.3</v>
      </c>
      <c r="D798" s="192" t="s">
        <v>593</v>
      </c>
      <c r="E798" s="192" t="s">
        <v>594</v>
      </c>
      <c r="F798" s="194" t="s">
        <v>595</v>
      </c>
    </row>
    <row r="799">
      <c r="A799" s="192" t="s">
        <v>107</v>
      </c>
      <c r="B799" s="193">
        <v>45546.70833333333</v>
      </c>
      <c r="C799" s="192">
        <v>-31.75</v>
      </c>
      <c r="D799" s="192" t="s">
        <v>596</v>
      </c>
      <c r="E799" s="192" t="s">
        <v>597</v>
      </c>
      <c r="F799" s="194" t="s">
        <v>595</v>
      </c>
    </row>
    <row r="800">
      <c r="A800" s="192" t="s">
        <v>107</v>
      </c>
      <c r="B800" s="193">
        <v>45430.70833333333</v>
      </c>
      <c r="C800" s="192">
        <v>-31.05</v>
      </c>
      <c r="D800" s="192" t="s">
        <v>593</v>
      </c>
      <c r="E800" s="192" t="s">
        <v>594</v>
      </c>
      <c r="F800" s="194" t="s">
        <v>595</v>
      </c>
    </row>
    <row r="801">
      <c r="A801" s="192" t="s">
        <v>107</v>
      </c>
      <c r="B801" s="193">
        <v>45308.66666666667</v>
      </c>
      <c r="C801" s="192">
        <v>-29.0</v>
      </c>
      <c r="D801" s="192" t="s">
        <v>593</v>
      </c>
      <c r="E801" s="192" t="s">
        <v>594</v>
      </c>
      <c r="F801" s="194" t="s">
        <v>595</v>
      </c>
    </row>
    <row r="802">
      <c r="A802" s="192" t="s">
        <v>107</v>
      </c>
      <c r="B802" s="193">
        <v>45291.66666666667</v>
      </c>
      <c r="C802" s="192">
        <v>-25.81</v>
      </c>
      <c r="D802" s="192" t="s">
        <v>593</v>
      </c>
      <c r="E802" s="192" t="s">
        <v>594</v>
      </c>
      <c r="F802" s="194" t="s">
        <v>595</v>
      </c>
    </row>
    <row r="803">
      <c r="A803" s="192" t="s">
        <v>107</v>
      </c>
      <c r="B803" s="193">
        <v>45488.70833333333</v>
      </c>
      <c r="C803" s="192">
        <v>-25.78</v>
      </c>
      <c r="D803" s="192" t="s">
        <v>593</v>
      </c>
      <c r="E803" s="192" t="s">
        <v>594</v>
      </c>
      <c r="F803" s="194" t="s">
        <v>595</v>
      </c>
    </row>
    <row r="804">
      <c r="A804" s="192" t="s">
        <v>107</v>
      </c>
      <c r="B804" s="193">
        <v>45380.70833333333</v>
      </c>
      <c r="C804" s="192">
        <v>-24.65</v>
      </c>
      <c r="D804" s="192" t="s">
        <v>598</v>
      </c>
      <c r="E804" s="192" t="s">
        <v>599</v>
      </c>
      <c r="F804" s="194" t="s">
        <v>595</v>
      </c>
    </row>
    <row r="805">
      <c r="A805" s="192" t="s">
        <v>107</v>
      </c>
      <c r="B805" s="193">
        <v>45268.66666666667</v>
      </c>
      <c r="C805" s="192">
        <v>-22.69</v>
      </c>
      <c r="D805" s="192" t="s">
        <v>593</v>
      </c>
      <c r="E805" s="192" t="s">
        <v>594</v>
      </c>
      <c r="F805" s="194" t="s">
        <v>595</v>
      </c>
    </row>
    <row r="806">
      <c r="A806" s="192" t="s">
        <v>107</v>
      </c>
      <c r="B806" s="193">
        <v>45264.66666666667</v>
      </c>
      <c r="C806" s="192">
        <v>-22.51</v>
      </c>
      <c r="D806" s="192" t="s">
        <v>593</v>
      </c>
      <c r="E806" s="192" t="s">
        <v>594</v>
      </c>
      <c r="F806" s="194" t="s">
        <v>595</v>
      </c>
    </row>
    <row r="807">
      <c r="A807" s="192" t="s">
        <v>107</v>
      </c>
      <c r="B807" s="193">
        <v>45532.70833333333</v>
      </c>
      <c r="C807" s="192">
        <v>-21.16</v>
      </c>
      <c r="D807" s="192" t="s">
        <v>593</v>
      </c>
      <c r="E807" s="192" t="s">
        <v>594</v>
      </c>
      <c r="F807" s="194" t="s">
        <v>595</v>
      </c>
    </row>
    <row r="808">
      <c r="A808" s="192" t="s">
        <v>107</v>
      </c>
      <c r="B808" s="193">
        <v>45260.66666666667</v>
      </c>
      <c r="C808" s="192">
        <v>-17.83</v>
      </c>
      <c r="D808" s="192" t="s">
        <v>593</v>
      </c>
      <c r="E808" s="192" t="s">
        <v>594</v>
      </c>
      <c r="F808" s="194" t="s">
        <v>595</v>
      </c>
    </row>
    <row r="809">
      <c r="A809" s="192" t="s">
        <v>107</v>
      </c>
      <c r="B809" s="193">
        <v>45294.66666666667</v>
      </c>
      <c r="C809" s="192">
        <v>-16.99</v>
      </c>
      <c r="D809" s="192" t="s">
        <v>593</v>
      </c>
      <c r="E809" s="192" t="s">
        <v>594</v>
      </c>
      <c r="F809" s="194" t="s">
        <v>595</v>
      </c>
    </row>
    <row r="810">
      <c r="A810" s="192" t="s">
        <v>107</v>
      </c>
      <c r="B810" s="193">
        <v>45379.70833333333</v>
      </c>
      <c r="C810" s="192">
        <v>-16.97</v>
      </c>
      <c r="D810" s="192" t="s">
        <v>593</v>
      </c>
      <c r="E810" s="192" t="s">
        <v>594</v>
      </c>
      <c r="F810" s="194" t="s">
        <v>595</v>
      </c>
    </row>
    <row r="811">
      <c r="A811" s="192" t="s">
        <v>107</v>
      </c>
      <c r="B811" s="193">
        <v>45274.66666666667</v>
      </c>
      <c r="C811" s="192">
        <v>-16.58</v>
      </c>
      <c r="D811" s="192" t="s">
        <v>593</v>
      </c>
      <c r="E811" s="192" t="s">
        <v>594</v>
      </c>
      <c r="F811" s="194" t="s">
        <v>595</v>
      </c>
    </row>
    <row r="812">
      <c r="A812" s="192" t="s">
        <v>107</v>
      </c>
      <c r="B812" s="193">
        <v>45320.66666666667</v>
      </c>
      <c r="C812" s="192">
        <v>-15.04</v>
      </c>
      <c r="D812" s="192" t="s">
        <v>593</v>
      </c>
      <c r="E812" s="192" t="s">
        <v>594</v>
      </c>
      <c r="F812" s="194" t="s">
        <v>595</v>
      </c>
    </row>
    <row r="813">
      <c r="A813" s="192" t="s">
        <v>107</v>
      </c>
      <c r="B813" s="193">
        <v>45248.66666666667</v>
      </c>
      <c r="C813" s="192">
        <v>-14.55</v>
      </c>
      <c r="D813" s="192" t="s">
        <v>593</v>
      </c>
      <c r="E813" s="192" t="s">
        <v>594</v>
      </c>
      <c r="F813" s="194" t="s">
        <v>595</v>
      </c>
    </row>
    <row r="814">
      <c r="A814" s="192" t="s">
        <v>107</v>
      </c>
      <c r="B814" s="193">
        <v>45513.70833333333</v>
      </c>
      <c r="C814" s="192">
        <v>-13.99</v>
      </c>
      <c r="D814" s="192" t="s">
        <v>596</v>
      </c>
      <c r="E814" s="192" t="s">
        <v>597</v>
      </c>
      <c r="F814" s="194" t="s">
        <v>595</v>
      </c>
    </row>
    <row r="815">
      <c r="A815" s="192" t="s">
        <v>107</v>
      </c>
      <c r="B815" s="193">
        <v>45333.66666666667</v>
      </c>
      <c r="C815" s="192">
        <v>-11.62</v>
      </c>
      <c r="D815" s="192" t="s">
        <v>593</v>
      </c>
      <c r="E815" s="192" t="s">
        <v>594</v>
      </c>
      <c r="F815" s="194" t="s">
        <v>595</v>
      </c>
    </row>
    <row r="816">
      <c r="A816" s="192" t="s">
        <v>107</v>
      </c>
      <c r="B816" s="193">
        <v>45359.66666666667</v>
      </c>
      <c r="C816" s="192">
        <v>-11.46</v>
      </c>
      <c r="D816" s="192" t="s">
        <v>593</v>
      </c>
      <c r="E816" s="192" t="s">
        <v>594</v>
      </c>
      <c r="F816" s="194" t="s">
        <v>595</v>
      </c>
    </row>
    <row r="817">
      <c r="A817" s="192" t="s">
        <v>107</v>
      </c>
      <c r="B817" s="193">
        <v>45425.70833333333</v>
      </c>
      <c r="C817" s="192">
        <v>-10.0</v>
      </c>
      <c r="D817" s="192" t="s">
        <v>593</v>
      </c>
      <c r="E817" s="192" t="s">
        <v>594</v>
      </c>
      <c r="F817" s="194" t="s">
        <v>595</v>
      </c>
    </row>
    <row r="818">
      <c r="A818" s="192" t="s">
        <v>107</v>
      </c>
      <c r="B818" s="193">
        <v>45579.70833333333</v>
      </c>
      <c r="C818" s="192">
        <v>-8.5</v>
      </c>
      <c r="D818" s="192" t="s">
        <v>593</v>
      </c>
      <c r="E818" s="192" t="s">
        <v>594</v>
      </c>
      <c r="F818" s="194" t="s">
        <v>595</v>
      </c>
    </row>
    <row r="819">
      <c r="A819" s="192" t="s">
        <v>107</v>
      </c>
      <c r="B819" s="193">
        <v>45575.70833333333</v>
      </c>
      <c r="C819" s="192">
        <v>-7.43</v>
      </c>
      <c r="D819" s="192" t="s">
        <v>593</v>
      </c>
      <c r="E819" s="192" t="s">
        <v>594</v>
      </c>
      <c r="F819" s="194" t="s">
        <v>595</v>
      </c>
    </row>
    <row r="820">
      <c r="A820" s="192" t="s">
        <v>107</v>
      </c>
      <c r="B820" s="193">
        <v>45413.70833333333</v>
      </c>
      <c r="C820" s="192">
        <v>-5.99</v>
      </c>
      <c r="D820" s="192" t="s">
        <v>593</v>
      </c>
      <c r="E820" s="192" t="s">
        <v>594</v>
      </c>
      <c r="F820" s="194" t="s">
        <v>595</v>
      </c>
    </row>
    <row r="821">
      <c r="A821" s="192" t="s">
        <v>123</v>
      </c>
      <c r="B821" s="193">
        <v>45548.70833333333</v>
      </c>
      <c r="C821" s="192">
        <v>-70.59</v>
      </c>
      <c r="D821" s="192" t="s">
        <v>593</v>
      </c>
      <c r="E821" s="192" t="s">
        <v>600</v>
      </c>
      <c r="F821" s="194" t="s">
        <v>595</v>
      </c>
    </row>
    <row r="822">
      <c r="A822" s="192" t="s">
        <v>123</v>
      </c>
      <c r="B822" s="193">
        <v>45396.70833333333</v>
      </c>
      <c r="C822" s="192">
        <v>-53.92</v>
      </c>
      <c r="D822" s="192" t="s">
        <v>593</v>
      </c>
      <c r="E822" s="192" t="s">
        <v>600</v>
      </c>
      <c r="F822" s="194" t="s">
        <v>595</v>
      </c>
    </row>
    <row r="823">
      <c r="A823" s="192" t="s">
        <v>123</v>
      </c>
      <c r="B823" s="193">
        <v>45596.70833333333</v>
      </c>
      <c r="C823" s="192">
        <v>-52.99</v>
      </c>
      <c r="D823" s="192" t="s">
        <v>598</v>
      </c>
      <c r="E823" s="192" t="s">
        <v>601</v>
      </c>
      <c r="F823" s="194" t="s">
        <v>595</v>
      </c>
    </row>
    <row r="824">
      <c r="A824" s="192" t="s">
        <v>123</v>
      </c>
      <c r="B824" s="193">
        <v>45421.70833333333</v>
      </c>
      <c r="C824" s="192">
        <v>-39.3</v>
      </c>
      <c r="D824" s="192" t="s">
        <v>593</v>
      </c>
      <c r="E824" s="192" t="s">
        <v>600</v>
      </c>
      <c r="F824" s="194" t="s">
        <v>595</v>
      </c>
    </row>
    <row r="825">
      <c r="A825" s="192" t="s">
        <v>123</v>
      </c>
      <c r="B825" s="193">
        <v>45513.70833333333</v>
      </c>
      <c r="C825" s="192">
        <v>-37.24</v>
      </c>
      <c r="D825" s="192" t="s">
        <v>596</v>
      </c>
      <c r="E825" s="192" t="s">
        <v>602</v>
      </c>
      <c r="F825" s="194" t="s">
        <v>595</v>
      </c>
    </row>
    <row r="826">
      <c r="A826" s="192" t="s">
        <v>123</v>
      </c>
      <c r="B826" s="193">
        <v>45575.70833333333</v>
      </c>
      <c r="C826" s="192">
        <v>-32.3</v>
      </c>
      <c r="D826" s="192" t="s">
        <v>598</v>
      </c>
      <c r="E826" s="192" t="s">
        <v>603</v>
      </c>
      <c r="F826" s="194" t="s">
        <v>595</v>
      </c>
    </row>
    <row r="827">
      <c r="A827" s="192" t="s">
        <v>123</v>
      </c>
      <c r="B827" s="193">
        <v>45276.66666666667</v>
      </c>
      <c r="C827" s="192">
        <v>-30.11</v>
      </c>
      <c r="D827" s="192" t="s">
        <v>596</v>
      </c>
      <c r="E827" s="192" t="s">
        <v>602</v>
      </c>
      <c r="F827" s="194" t="s">
        <v>595</v>
      </c>
    </row>
    <row r="828">
      <c r="A828" s="192" t="s">
        <v>123</v>
      </c>
      <c r="B828" s="193">
        <v>45458.70833333333</v>
      </c>
      <c r="C828" s="192">
        <v>-25.8</v>
      </c>
      <c r="D828" s="192" t="s">
        <v>593</v>
      </c>
      <c r="E828" s="192" t="s">
        <v>600</v>
      </c>
      <c r="F828" s="194" t="s">
        <v>595</v>
      </c>
    </row>
    <row r="829">
      <c r="A829" s="192" t="s">
        <v>123</v>
      </c>
      <c r="B829" s="193">
        <v>45416.70833333333</v>
      </c>
      <c r="C829" s="192">
        <v>-17.85</v>
      </c>
      <c r="D829" s="192" t="s">
        <v>593</v>
      </c>
      <c r="E829" s="192" t="s">
        <v>600</v>
      </c>
      <c r="F829" s="194" t="s">
        <v>595</v>
      </c>
    </row>
    <row r="830">
      <c r="A830" s="192" t="s">
        <v>123</v>
      </c>
      <c r="B830" s="193">
        <v>45519.70833333333</v>
      </c>
      <c r="C830" s="192">
        <v>-12.59</v>
      </c>
      <c r="D830" s="192" t="s">
        <v>593</v>
      </c>
      <c r="E830" s="192" t="s">
        <v>600</v>
      </c>
      <c r="F830" s="194" t="s">
        <v>595</v>
      </c>
    </row>
    <row r="831">
      <c r="A831" s="192" t="s">
        <v>123</v>
      </c>
      <c r="B831" s="193">
        <v>45372.70833333333</v>
      </c>
      <c r="C831" s="192">
        <v>-9.98</v>
      </c>
      <c r="D831" s="192" t="s">
        <v>593</v>
      </c>
      <c r="E831" s="192" t="s">
        <v>600</v>
      </c>
      <c r="F831" s="194" t="s">
        <v>595</v>
      </c>
    </row>
    <row r="832">
      <c r="A832" s="192" t="s">
        <v>123</v>
      </c>
      <c r="B832" s="193">
        <v>45465.70833333333</v>
      </c>
      <c r="C832" s="192">
        <v>-9.18</v>
      </c>
      <c r="D832" s="192" t="s">
        <v>593</v>
      </c>
      <c r="E832" s="192" t="s">
        <v>600</v>
      </c>
      <c r="F832" s="194" t="s">
        <v>595</v>
      </c>
    </row>
    <row r="833">
      <c r="A833" s="192" t="s">
        <v>123</v>
      </c>
      <c r="B833" s="193">
        <v>45435.70833333333</v>
      </c>
      <c r="C833" s="192">
        <v>-8.58</v>
      </c>
      <c r="D833" s="192" t="s">
        <v>598</v>
      </c>
      <c r="E833" s="192" t="s">
        <v>604</v>
      </c>
      <c r="F833" s="194" t="s">
        <v>595</v>
      </c>
    </row>
    <row r="834">
      <c r="A834" s="192" t="s">
        <v>123</v>
      </c>
      <c r="B834" s="193">
        <v>45472.70833333333</v>
      </c>
      <c r="C834" s="192">
        <v>-8.5</v>
      </c>
      <c r="D834" s="192" t="s">
        <v>593</v>
      </c>
      <c r="E834" s="192" t="s">
        <v>600</v>
      </c>
      <c r="F834" s="194" t="s">
        <v>595</v>
      </c>
    </row>
    <row r="835">
      <c r="A835" s="192" t="s">
        <v>123</v>
      </c>
      <c r="B835" s="193">
        <v>45400.70833333333</v>
      </c>
      <c r="C835" s="192">
        <v>-6.37</v>
      </c>
      <c r="D835" s="192" t="s">
        <v>593</v>
      </c>
      <c r="E835" s="192" t="s">
        <v>600</v>
      </c>
      <c r="F835" s="194" t="s">
        <v>595</v>
      </c>
    </row>
    <row r="836">
      <c r="A836" s="192" t="s">
        <v>123</v>
      </c>
      <c r="B836" s="193">
        <v>45586.70833333333</v>
      </c>
      <c r="C836" s="192">
        <v>-3.04</v>
      </c>
      <c r="D836" s="192" t="s">
        <v>605</v>
      </c>
      <c r="E836" s="192" t="s">
        <v>605</v>
      </c>
      <c r="F836" s="194" t="s">
        <v>595</v>
      </c>
    </row>
    <row r="837">
      <c r="A837" s="192" t="s">
        <v>123</v>
      </c>
      <c r="B837" s="193">
        <v>45280.66666666667</v>
      </c>
      <c r="C837" s="192">
        <v>-0.21</v>
      </c>
      <c r="D837" s="192" t="s">
        <v>593</v>
      </c>
      <c r="E837" s="192" t="s">
        <v>600</v>
      </c>
      <c r="F837" s="194" t="s">
        <v>595</v>
      </c>
    </row>
    <row r="838">
      <c r="A838" s="192" t="s">
        <v>158</v>
      </c>
      <c r="B838" s="193">
        <v>45501.70833333333</v>
      </c>
      <c r="C838" s="192">
        <v>-21.69</v>
      </c>
      <c r="D838" s="192" t="s">
        <v>593</v>
      </c>
      <c r="E838" s="192" t="s">
        <v>606</v>
      </c>
      <c r="F838" s="194" t="s">
        <v>595</v>
      </c>
    </row>
    <row r="839">
      <c r="A839" s="192" t="s">
        <v>133</v>
      </c>
      <c r="B839" s="193">
        <v>45303.66666666667</v>
      </c>
      <c r="C839" s="192">
        <v>-30.83</v>
      </c>
      <c r="D839" s="192" t="s">
        <v>593</v>
      </c>
      <c r="E839" s="192" t="s">
        <v>607</v>
      </c>
      <c r="F839" s="194" t="s">
        <v>595</v>
      </c>
    </row>
    <row r="840">
      <c r="A840" s="192" t="s">
        <v>107</v>
      </c>
      <c r="B840" s="193">
        <v>45521.70833333333</v>
      </c>
      <c r="C840" s="192">
        <v>-166.22</v>
      </c>
      <c r="D840" s="192" t="s">
        <v>608</v>
      </c>
      <c r="E840" s="192" t="s">
        <v>609</v>
      </c>
      <c r="F840" s="194" t="s">
        <v>610</v>
      </c>
    </row>
    <row r="841">
      <c r="A841" s="192" t="s">
        <v>107</v>
      </c>
      <c r="B841" s="193">
        <v>45251.66666666667</v>
      </c>
      <c r="C841" s="192">
        <v>-165.98</v>
      </c>
      <c r="D841" s="192" t="s">
        <v>608</v>
      </c>
      <c r="E841" s="192" t="s">
        <v>609</v>
      </c>
      <c r="F841" s="194" t="s">
        <v>610</v>
      </c>
    </row>
    <row r="842">
      <c r="A842" s="192" t="s">
        <v>107</v>
      </c>
      <c r="B842" s="193">
        <v>45341.66666666667</v>
      </c>
      <c r="C842" s="192">
        <v>-165.98</v>
      </c>
      <c r="D842" s="192" t="s">
        <v>608</v>
      </c>
      <c r="E842" s="192" t="s">
        <v>609</v>
      </c>
      <c r="F842" s="194" t="s">
        <v>610</v>
      </c>
    </row>
    <row r="843">
      <c r="A843" s="192" t="s">
        <v>107</v>
      </c>
      <c r="B843" s="193">
        <v>45431.70833333333</v>
      </c>
      <c r="C843" s="192">
        <v>-165.92</v>
      </c>
      <c r="D843" s="192" t="s">
        <v>608</v>
      </c>
      <c r="E843" s="192" t="s">
        <v>609</v>
      </c>
      <c r="F843" s="194" t="s">
        <v>610</v>
      </c>
    </row>
    <row r="844">
      <c r="A844" s="192" t="s">
        <v>107</v>
      </c>
      <c r="B844" s="193">
        <v>45581.70833333333</v>
      </c>
      <c r="C844" s="192">
        <v>-25.36</v>
      </c>
      <c r="D844" s="192" t="s">
        <v>608</v>
      </c>
      <c r="E844" s="192" t="s">
        <v>609</v>
      </c>
      <c r="F844" s="194" t="s">
        <v>610</v>
      </c>
    </row>
    <row r="845">
      <c r="A845" s="192" t="s">
        <v>107</v>
      </c>
      <c r="B845" s="193">
        <v>45582.70833333333</v>
      </c>
      <c r="C845" s="192">
        <v>-25.36</v>
      </c>
      <c r="D845" s="192" t="s">
        <v>608</v>
      </c>
      <c r="E845" s="192" t="s">
        <v>609</v>
      </c>
      <c r="F845" s="194" t="s">
        <v>610</v>
      </c>
    </row>
    <row r="846">
      <c r="A846" s="192" t="s">
        <v>107</v>
      </c>
      <c r="B846" s="193">
        <v>45505.70833333333</v>
      </c>
      <c r="C846" s="192">
        <v>-1575.0</v>
      </c>
      <c r="D846" s="192" t="s">
        <v>611</v>
      </c>
      <c r="E846" s="192" t="s">
        <v>612</v>
      </c>
      <c r="F846" s="194" t="s">
        <v>613</v>
      </c>
    </row>
    <row r="847">
      <c r="A847" s="192" t="s">
        <v>107</v>
      </c>
      <c r="B847" s="193">
        <v>45520.70833333333</v>
      </c>
      <c r="C847" s="192">
        <v>-305.6</v>
      </c>
      <c r="D847" s="192" t="s">
        <v>611</v>
      </c>
      <c r="E847" s="192" t="s">
        <v>612</v>
      </c>
      <c r="F847" s="194" t="s">
        <v>613</v>
      </c>
    </row>
    <row r="848">
      <c r="A848" s="192" t="s">
        <v>107</v>
      </c>
      <c r="B848" s="193">
        <v>45595.70833333333</v>
      </c>
      <c r="C848" s="192">
        <v>-140.22</v>
      </c>
      <c r="D848" s="192" t="s">
        <v>614</v>
      </c>
      <c r="E848" s="192" t="s">
        <v>615</v>
      </c>
      <c r="F848" s="194" t="s">
        <v>613</v>
      </c>
    </row>
    <row r="849">
      <c r="A849" s="192" t="s">
        <v>107</v>
      </c>
      <c r="B849" s="193">
        <v>45280.66666666667</v>
      </c>
      <c r="C849" s="192">
        <v>-139.21</v>
      </c>
      <c r="D849" s="192" t="s">
        <v>616</v>
      </c>
      <c r="E849" s="192" t="s">
        <v>617</v>
      </c>
      <c r="F849" s="194" t="s">
        <v>613</v>
      </c>
    </row>
    <row r="850">
      <c r="A850" s="192" t="s">
        <v>107</v>
      </c>
      <c r="B850" s="193">
        <v>45351.66666666667</v>
      </c>
      <c r="C850" s="192">
        <v>-133.11</v>
      </c>
      <c r="D850" s="192" t="s">
        <v>618</v>
      </c>
      <c r="E850" s="192" t="s">
        <v>619</v>
      </c>
      <c r="F850" s="194" t="s">
        <v>613</v>
      </c>
    </row>
    <row r="851">
      <c r="A851" s="192" t="s">
        <v>107</v>
      </c>
      <c r="B851" s="193">
        <v>45291.66666666667</v>
      </c>
      <c r="C851" s="192">
        <v>-127.95</v>
      </c>
      <c r="D851" s="192" t="s">
        <v>614</v>
      </c>
      <c r="E851" s="192" t="s">
        <v>615</v>
      </c>
      <c r="F851" s="194" t="s">
        <v>613</v>
      </c>
    </row>
    <row r="852">
      <c r="A852" s="192" t="s">
        <v>107</v>
      </c>
      <c r="B852" s="193">
        <v>45484.70833333333</v>
      </c>
      <c r="C852" s="192">
        <v>-124.68</v>
      </c>
      <c r="D852" s="192" t="s">
        <v>620</v>
      </c>
      <c r="E852" s="192" t="s">
        <v>621</v>
      </c>
      <c r="F852" s="194" t="s">
        <v>613</v>
      </c>
    </row>
    <row r="853">
      <c r="A853" s="192" t="s">
        <v>107</v>
      </c>
      <c r="B853" s="193">
        <v>45420.70833333333</v>
      </c>
      <c r="C853" s="192">
        <v>-122.2</v>
      </c>
      <c r="D853" s="192" t="s">
        <v>614</v>
      </c>
      <c r="E853" s="192" t="s">
        <v>615</v>
      </c>
      <c r="F853" s="194" t="s">
        <v>613</v>
      </c>
    </row>
    <row r="854">
      <c r="A854" s="192" t="s">
        <v>107</v>
      </c>
      <c r="B854" s="193">
        <v>45449.70833333333</v>
      </c>
      <c r="C854" s="192">
        <v>-120.9</v>
      </c>
      <c r="D854" s="192" t="s">
        <v>622</v>
      </c>
      <c r="E854" s="192" t="s">
        <v>623</v>
      </c>
      <c r="F854" s="194" t="s">
        <v>613</v>
      </c>
    </row>
    <row r="855">
      <c r="A855" s="192" t="s">
        <v>107</v>
      </c>
      <c r="B855" s="193">
        <v>45337.66666666667</v>
      </c>
      <c r="C855" s="192">
        <v>-114.8</v>
      </c>
      <c r="D855" s="192" t="s">
        <v>624</v>
      </c>
      <c r="E855" s="192" t="s">
        <v>625</v>
      </c>
      <c r="F855" s="194" t="s">
        <v>613</v>
      </c>
    </row>
    <row r="856">
      <c r="A856" s="192" t="s">
        <v>107</v>
      </c>
      <c r="B856" s="193">
        <v>45459.70833333333</v>
      </c>
      <c r="C856" s="192">
        <v>-111.12</v>
      </c>
      <c r="D856" s="192" t="s">
        <v>626</v>
      </c>
      <c r="E856" s="192" t="s">
        <v>627</v>
      </c>
      <c r="F856" s="194" t="s">
        <v>613</v>
      </c>
    </row>
    <row r="857">
      <c r="A857" s="192" t="s">
        <v>107</v>
      </c>
      <c r="B857" s="193">
        <v>45564.70833333333</v>
      </c>
      <c r="C857" s="192">
        <v>-104.84</v>
      </c>
      <c r="D857" s="192" t="s">
        <v>628</v>
      </c>
      <c r="E857" s="192" t="s">
        <v>629</v>
      </c>
      <c r="F857" s="194" t="s">
        <v>613</v>
      </c>
    </row>
    <row r="858">
      <c r="A858" s="192" t="s">
        <v>107</v>
      </c>
      <c r="B858" s="193">
        <v>45305.66666666667</v>
      </c>
      <c r="C858" s="192">
        <v>-103.42</v>
      </c>
      <c r="D858" s="192" t="s">
        <v>630</v>
      </c>
      <c r="E858" s="192" t="s">
        <v>631</v>
      </c>
      <c r="F858" s="194" t="s">
        <v>613</v>
      </c>
    </row>
    <row r="859">
      <c r="A859" s="192" t="s">
        <v>107</v>
      </c>
      <c r="B859" s="193">
        <v>45352.66666666667</v>
      </c>
      <c r="C859" s="192">
        <v>-103.32</v>
      </c>
      <c r="D859" s="192" t="s">
        <v>632</v>
      </c>
      <c r="E859" s="192" t="s">
        <v>633</v>
      </c>
      <c r="F859" s="194" t="s">
        <v>613</v>
      </c>
    </row>
    <row r="860">
      <c r="A860" s="192" t="s">
        <v>107</v>
      </c>
      <c r="B860" s="193">
        <v>45555.70833333333</v>
      </c>
      <c r="C860" s="192">
        <v>-96.25</v>
      </c>
      <c r="D860" s="192" t="s">
        <v>616</v>
      </c>
      <c r="E860" s="192" t="s">
        <v>617</v>
      </c>
      <c r="F860" s="194" t="s">
        <v>613</v>
      </c>
    </row>
    <row r="861">
      <c r="A861" s="192" t="s">
        <v>107</v>
      </c>
      <c r="B861" s="193">
        <v>45466.70833333333</v>
      </c>
      <c r="C861" s="192">
        <v>-95.39</v>
      </c>
      <c r="D861" s="192" t="s">
        <v>634</v>
      </c>
      <c r="E861" s="192" t="s">
        <v>635</v>
      </c>
      <c r="F861" s="194" t="s">
        <v>613</v>
      </c>
    </row>
    <row r="862">
      <c r="A862" s="192" t="s">
        <v>107</v>
      </c>
      <c r="B862" s="193">
        <v>45248.66666666667</v>
      </c>
      <c r="C862" s="192">
        <v>-89.81</v>
      </c>
      <c r="D862" s="192" t="s">
        <v>636</v>
      </c>
      <c r="E862" s="192" t="s">
        <v>637</v>
      </c>
      <c r="F862" s="194" t="s">
        <v>613</v>
      </c>
    </row>
    <row r="863">
      <c r="A863" s="192" t="s">
        <v>107</v>
      </c>
      <c r="B863" s="193">
        <v>45380.70833333333</v>
      </c>
      <c r="C863" s="192">
        <v>-87.25</v>
      </c>
      <c r="D863" s="192" t="s">
        <v>638</v>
      </c>
      <c r="E863" s="192" t="s">
        <v>639</v>
      </c>
      <c r="F863" s="194" t="s">
        <v>613</v>
      </c>
    </row>
    <row r="864">
      <c r="A864" s="192" t="s">
        <v>107</v>
      </c>
      <c r="B864" s="193">
        <v>45551.70833333333</v>
      </c>
      <c r="C864" s="192">
        <v>-86.94</v>
      </c>
      <c r="D864" s="192" t="s">
        <v>611</v>
      </c>
      <c r="E864" s="192" t="s">
        <v>612</v>
      </c>
      <c r="F864" s="194" t="s">
        <v>613</v>
      </c>
    </row>
    <row r="865">
      <c r="A865" s="192" t="s">
        <v>107</v>
      </c>
      <c r="B865" s="193">
        <v>45581.70833333333</v>
      </c>
      <c r="C865" s="192">
        <v>-86.94</v>
      </c>
      <c r="D865" s="192" t="s">
        <v>611</v>
      </c>
      <c r="E865" s="192" t="s">
        <v>612</v>
      </c>
      <c r="F865" s="194" t="s">
        <v>613</v>
      </c>
    </row>
    <row r="866">
      <c r="A866" s="192" t="s">
        <v>107</v>
      </c>
      <c r="B866" s="193">
        <v>45505.70833333333</v>
      </c>
      <c r="C866" s="192">
        <v>-84.84</v>
      </c>
      <c r="D866" s="192" t="s">
        <v>640</v>
      </c>
      <c r="E866" s="192" t="s">
        <v>641</v>
      </c>
      <c r="F866" s="194" t="s">
        <v>613</v>
      </c>
    </row>
    <row r="867">
      <c r="A867" s="192" t="s">
        <v>107</v>
      </c>
      <c r="B867" s="193">
        <v>45596.70833333333</v>
      </c>
      <c r="C867" s="192">
        <v>-84.84</v>
      </c>
      <c r="D867" s="192" t="s">
        <v>640</v>
      </c>
      <c r="E867" s="192" t="s">
        <v>641</v>
      </c>
      <c r="F867" s="194" t="s">
        <v>613</v>
      </c>
    </row>
    <row r="868">
      <c r="A868" s="192" t="s">
        <v>107</v>
      </c>
      <c r="B868" s="193">
        <v>45534.70833333333</v>
      </c>
      <c r="C868" s="192">
        <v>-80.7</v>
      </c>
      <c r="D868" s="192" t="s">
        <v>642</v>
      </c>
      <c r="E868" s="192" t="s">
        <v>643</v>
      </c>
      <c r="F868" s="194" t="s">
        <v>613</v>
      </c>
    </row>
    <row r="869">
      <c r="A869" s="192" t="s">
        <v>107</v>
      </c>
      <c r="B869" s="193">
        <v>45321.66666666667</v>
      </c>
      <c r="C869" s="192">
        <v>-79.63</v>
      </c>
      <c r="D869" s="192" t="s">
        <v>644</v>
      </c>
      <c r="E869" s="192" t="s">
        <v>645</v>
      </c>
      <c r="F869" s="194" t="s">
        <v>613</v>
      </c>
    </row>
    <row r="870">
      <c r="A870" s="192" t="s">
        <v>107</v>
      </c>
      <c r="B870" s="193">
        <v>45511.70833333333</v>
      </c>
      <c r="C870" s="192">
        <v>-79.03</v>
      </c>
      <c r="D870" s="192" t="s">
        <v>646</v>
      </c>
      <c r="E870" s="192" t="s">
        <v>647</v>
      </c>
      <c r="F870" s="194" t="s">
        <v>613</v>
      </c>
    </row>
    <row r="871">
      <c r="A871" s="192" t="s">
        <v>107</v>
      </c>
      <c r="B871" s="193">
        <v>45421.70833333333</v>
      </c>
      <c r="C871" s="192">
        <v>-78.79</v>
      </c>
      <c r="D871" s="192" t="s">
        <v>616</v>
      </c>
      <c r="E871" s="192" t="s">
        <v>617</v>
      </c>
      <c r="F871" s="194" t="s">
        <v>613</v>
      </c>
    </row>
    <row r="872">
      <c r="A872" s="192" t="s">
        <v>107</v>
      </c>
      <c r="B872" s="193">
        <v>45444.70833333333</v>
      </c>
      <c r="C872" s="192">
        <v>-78.52</v>
      </c>
      <c r="D872" s="192" t="s">
        <v>648</v>
      </c>
      <c r="E872" s="192" t="s">
        <v>649</v>
      </c>
      <c r="F872" s="194" t="s">
        <v>613</v>
      </c>
    </row>
    <row r="873">
      <c r="A873" s="192" t="s">
        <v>107</v>
      </c>
      <c r="B873" s="193">
        <v>45288.66666666667</v>
      </c>
      <c r="C873" s="192">
        <v>-78.3</v>
      </c>
      <c r="D873" s="192" t="s">
        <v>650</v>
      </c>
      <c r="E873" s="192" t="s">
        <v>651</v>
      </c>
      <c r="F873" s="194" t="s">
        <v>613</v>
      </c>
    </row>
    <row r="874">
      <c r="A874" s="192" t="s">
        <v>107</v>
      </c>
      <c r="B874" s="193">
        <v>45331.66666666667</v>
      </c>
      <c r="C874" s="192">
        <v>-77.54</v>
      </c>
      <c r="D874" s="192" t="s">
        <v>652</v>
      </c>
      <c r="E874" s="192" t="s">
        <v>653</v>
      </c>
      <c r="F874" s="194" t="s">
        <v>613</v>
      </c>
    </row>
    <row r="875">
      <c r="A875" s="192" t="s">
        <v>107</v>
      </c>
      <c r="B875" s="193">
        <v>45428.70833333333</v>
      </c>
      <c r="C875" s="192">
        <v>-76.32</v>
      </c>
      <c r="D875" s="192" t="s">
        <v>646</v>
      </c>
      <c r="E875" s="192" t="s">
        <v>647</v>
      </c>
      <c r="F875" s="194" t="s">
        <v>613</v>
      </c>
    </row>
    <row r="876">
      <c r="A876" s="192" t="s">
        <v>107</v>
      </c>
      <c r="B876" s="193">
        <v>45479.70833333333</v>
      </c>
      <c r="C876" s="192">
        <v>-75.01</v>
      </c>
      <c r="D876" s="192" t="s">
        <v>654</v>
      </c>
      <c r="E876" s="192" t="s">
        <v>655</v>
      </c>
      <c r="F876" s="194" t="s">
        <v>613</v>
      </c>
    </row>
    <row r="877">
      <c r="A877" s="192" t="s">
        <v>107</v>
      </c>
      <c r="B877" s="193">
        <v>45508.70833333333</v>
      </c>
      <c r="C877" s="192">
        <v>-75.0</v>
      </c>
      <c r="D877" s="192" t="s">
        <v>611</v>
      </c>
      <c r="E877" s="192" t="s">
        <v>612</v>
      </c>
      <c r="F877" s="194" t="s">
        <v>613</v>
      </c>
    </row>
    <row r="878">
      <c r="A878" s="192" t="s">
        <v>107</v>
      </c>
      <c r="B878" s="193">
        <v>45487.70833333333</v>
      </c>
      <c r="C878" s="192">
        <v>-74.23</v>
      </c>
      <c r="D878" s="192" t="s">
        <v>620</v>
      </c>
      <c r="E878" s="192" t="s">
        <v>621</v>
      </c>
      <c r="F878" s="194" t="s">
        <v>613</v>
      </c>
    </row>
    <row r="879">
      <c r="A879" s="192" t="s">
        <v>107</v>
      </c>
      <c r="B879" s="193">
        <v>45400.70833333333</v>
      </c>
      <c r="C879" s="192">
        <v>-73.32</v>
      </c>
      <c r="D879" s="192" t="s">
        <v>616</v>
      </c>
      <c r="E879" s="192" t="s">
        <v>617</v>
      </c>
      <c r="F879" s="194" t="s">
        <v>613</v>
      </c>
    </row>
    <row r="880">
      <c r="A880" s="192" t="s">
        <v>107</v>
      </c>
      <c r="B880" s="193">
        <v>45330.66666666667</v>
      </c>
      <c r="C880" s="192">
        <v>-70.37</v>
      </c>
      <c r="D880" s="192" t="s">
        <v>656</v>
      </c>
      <c r="E880" s="192" t="s">
        <v>657</v>
      </c>
      <c r="F880" s="194" t="s">
        <v>613</v>
      </c>
    </row>
    <row r="881">
      <c r="A881" s="192" t="s">
        <v>107</v>
      </c>
      <c r="B881" s="193">
        <v>45422.70833333333</v>
      </c>
      <c r="C881" s="192">
        <v>-68.96</v>
      </c>
      <c r="D881" s="192" t="s">
        <v>658</v>
      </c>
      <c r="E881" s="192" t="s">
        <v>659</v>
      </c>
      <c r="F881" s="194" t="s">
        <v>613</v>
      </c>
    </row>
    <row r="882">
      <c r="A882" s="192" t="s">
        <v>107</v>
      </c>
      <c r="B882" s="193">
        <v>45406.70833333333</v>
      </c>
      <c r="C882" s="192">
        <v>-65.06</v>
      </c>
      <c r="D882" s="192" t="s">
        <v>644</v>
      </c>
      <c r="E882" s="192" t="s">
        <v>645</v>
      </c>
      <c r="F882" s="194" t="s">
        <v>613</v>
      </c>
    </row>
    <row r="883">
      <c r="A883" s="192" t="s">
        <v>107</v>
      </c>
      <c r="B883" s="193">
        <v>45247.66666666667</v>
      </c>
      <c r="C883" s="192">
        <v>-64.88</v>
      </c>
      <c r="D883" s="192" t="s">
        <v>660</v>
      </c>
      <c r="E883" s="192" t="s">
        <v>661</v>
      </c>
      <c r="F883" s="194" t="s">
        <v>613</v>
      </c>
    </row>
    <row r="884">
      <c r="A884" s="192" t="s">
        <v>107</v>
      </c>
      <c r="B884" s="193">
        <v>45276.66666666667</v>
      </c>
      <c r="C884" s="192">
        <v>-63.61</v>
      </c>
      <c r="D884" s="192" t="s">
        <v>614</v>
      </c>
      <c r="E884" s="192" t="s">
        <v>615</v>
      </c>
      <c r="F884" s="194" t="s">
        <v>613</v>
      </c>
    </row>
    <row r="885">
      <c r="A885" s="192" t="s">
        <v>107</v>
      </c>
      <c r="B885" s="193">
        <v>45315.66666666667</v>
      </c>
      <c r="C885" s="192">
        <v>-63.61</v>
      </c>
      <c r="D885" s="192" t="s">
        <v>614</v>
      </c>
      <c r="E885" s="192" t="s">
        <v>615</v>
      </c>
      <c r="F885" s="194" t="s">
        <v>613</v>
      </c>
    </row>
    <row r="886">
      <c r="A886" s="192" t="s">
        <v>107</v>
      </c>
      <c r="B886" s="193">
        <v>45454.70833333333</v>
      </c>
      <c r="C886" s="192">
        <v>-62.45</v>
      </c>
      <c r="D886" s="192" t="s">
        <v>662</v>
      </c>
      <c r="E886" s="192" t="s">
        <v>663</v>
      </c>
      <c r="F886" s="194" t="s">
        <v>613</v>
      </c>
    </row>
    <row r="887">
      <c r="A887" s="192" t="s">
        <v>107</v>
      </c>
      <c r="B887" s="193">
        <v>45493.70833333333</v>
      </c>
      <c r="C887" s="192">
        <v>-60.81</v>
      </c>
      <c r="D887" s="192" t="s">
        <v>664</v>
      </c>
      <c r="E887" s="192" t="s">
        <v>665</v>
      </c>
      <c r="F887" s="194" t="s">
        <v>613</v>
      </c>
    </row>
    <row r="888">
      <c r="A888" s="192" t="s">
        <v>107</v>
      </c>
      <c r="B888" s="193">
        <v>45423.70833333333</v>
      </c>
      <c r="C888" s="192">
        <v>-57.89</v>
      </c>
      <c r="D888" s="192" t="s">
        <v>666</v>
      </c>
      <c r="E888" s="192" t="s">
        <v>667</v>
      </c>
      <c r="F888" s="194" t="s">
        <v>613</v>
      </c>
    </row>
    <row r="889">
      <c r="A889" s="192" t="s">
        <v>107</v>
      </c>
      <c r="B889" s="193">
        <v>45353.66666666667</v>
      </c>
      <c r="C889" s="192">
        <v>-57.85</v>
      </c>
      <c r="D889" s="192" t="s">
        <v>668</v>
      </c>
      <c r="E889" s="192" t="s">
        <v>669</v>
      </c>
      <c r="F889" s="194" t="s">
        <v>613</v>
      </c>
    </row>
    <row r="890">
      <c r="A890" s="192" t="s">
        <v>107</v>
      </c>
      <c r="B890" s="193">
        <v>45357.66666666667</v>
      </c>
      <c r="C890" s="192">
        <v>-56.86</v>
      </c>
      <c r="D890" s="192" t="s">
        <v>630</v>
      </c>
      <c r="E890" s="192" t="s">
        <v>631</v>
      </c>
      <c r="F890" s="194" t="s">
        <v>613</v>
      </c>
    </row>
    <row r="891">
      <c r="A891" s="192" t="s">
        <v>107</v>
      </c>
      <c r="B891" s="193">
        <v>45344.66666666667</v>
      </c>
      <c r="C891" s="192">
        <v>-56.64</v>
      </c>
      <c r="D891" s="192" t="s">
        <v>670</v>
      </c>
      <c r="E891" s="192" t="s">
        <v>671</v>
      </c>
      <c r="F891" s="194" t="s">
        <v>613</v>
      </c>
    </row>
    <row r="892">
      <c r="A892" s="192" t="s">
        <v>107</v>
      </c>
      <c r="B892" s="193">
        <v>45488.70833333333</v>
      </c>
      <c r="C892" s="192">
        <v>-56.29</v>
      </c>
      <c r="D892" s="192" t="s">
        <v>630</v>
      </c>
      <c r="E892" s="192" t="s">
        <v>631</v>
      </c>
      <c r="F892" s="194" t="s">
        <v>613</v>
      </c>
    </row>
    <row r="893">
      <c r="A893" s="192" t="s">
        <v>107</v>
      </c>
      <c r="B893" s="193">
        <v>45413.70833333333</v>
      </c>
      <c r="C893" s="192">
        <v>-55.51</v>
      </c>
      <c r="D893" s="192" t="s">
        <v>630</v>
      </c>
      <c r="E893" s="192" t="s">
        <v>631</v>
      </c>
      <c r="F893" s="194" t="s">
        <v>613</v>
      </c>
    </row>
    <row r="894">
      <c r="A894" s="192" t="s">
        <v>107</v>
      </c>
      <c r="B894" s="193">
        <v>45472.70833333333</v>
      </c>
      <c r="C894" s="192">
        <v>-55.38</v>
      </c>
      <c r="D894" s="192" t="s">
        <v>672</v>
      </c>
      <c r="E894" s="192" t="s">
        <v>673</v>
      </c>
      <c r="F894" s="194" t="s">
        <v>613</v>
      </c>
    </row>
    <row r="895">
      <c r="A895" s="192" t="s">
        <v>107</v>
      </c>
      <c r="B895" s="193">
        <v>45366.70833333333</v>
      </c>
      <c r="C895" s="192">
        <v>-55.37</v>
      </c>
      <c r="D895" s="192" t="s">
        <v>658</v>
      </c>
      <c r="E895" s="192" t="s">
        <v>659</v>
      </c>
      <c r="F895" s="194" t="s">
        <v>613</v>
      </c>
    </row>
    <row r="896">
      <c r="A896" s="192" t="s">
        <v>107</v>
      </c>
      <c r="B896" s="193">
        <v>45596.70833333333</v>
      </c>
      <c r="C896" s="192">
        <v>-55.31</v>
      </c>
      <c r="D896" s="192" t="s">
        <v>658</v>
      </c>
      <c r="E896" s="192" t="s">
        <v>659</v>
      </c>
      <c r="F896" s="194" t="s">
        <v>613</v>
      </c>
    </row>
    <row r="897">
      <c r="A897" s="192" t="s">
        <v>107</v>
      </c>
      <c r="B897" s="193">
        <v>45317.66666666667</v>
      </c>
      <c r="C897" s="192">
        <v>-55.29</v>
      </c>
      <c r="D897" s="192" t="s">
        <v>658</v>
      </c>
      <c r="E897" s="192" t="s">
        <v>659</v>
      </c>
      <c r="F897" s="194" t="s">
        <v>613</v>
      </c>
    </row>
    <row r="898">
      <c r="A898" s="192" t="s">
        <v>107</v>
      </c>
      <c r="B898" s="193">
        <v>45399.70833333333</v>
      </c>
      <c r="C898" s="192">
        <v>-54.75</v>
      </c>
      <c r="D898" s="192" t="s">
        <v>674</v>
      </c>
      <c r="E898" s="192" t="s">
        <v>675</v>
      </c>
      <c r="F898" s="194" t="s">
        <v>613</v>
      </c>
    </row>
    <row r="899">
      <c r="A899" s="192" t="s">
        <v>107</v>
      </c>
      <c r="B899" s="193">
        <v>45472.70833333333</v>
      </c>
      <c r="C899" s="192">
        <v>-53.01</v>
      </c>
      <c r="D899" s="192" t="s">
        <v>676</v>
      </c>
      <c r="E899" s="192" t="s">
        <v>677</v>
      </c>
      <c r="F899" s="194" t="s">
        <v>613</v>
      </c>
    </row>
    <row r="900">
      <c r="A900" s="192" t="s">
        <v>107</v>
      </c>
      <c r="B900" s="193">
        <v>45283.66666666667</v>
      </c>
      <c r="C900" s="192">
        <v>-52.55</v>
      </c>
      <c r="D900" s="192" t="s">
        <v>678</v>
      </c>
      <c r="E900" s="192" t="s">
        <v>679</v>
      </c>
      <c r="F900" s="194" t="s">
        <v>613</v>
      </c>
    </row>
    <row r="901">
      <c r="A901" s="192" t="s">
        <v>107</v>
      </c>
      <c r="B901" s="193">
        <v>45561.70833333333</v>
      </c>
      <c r="C901" s="192">
        <v>-52.3</v>
      </c>
      <c r="D901" s="192" t="s">
        <v>658</v>
      </c>
      <c r="E901" s="192" t="s">
        <v>659</v>
      </c>
      <c r="F901" s="194" t="s">
        <v>613</v>
      </c>
    </row>
    <row r="902">
      <c r="A902" s="192" t="s">
        <v>107</v>
      </c>
      <c r="B902" s="193">
        <v>45345.66666666667</v>
      </c>
      <c r="C902" s="192">
        <v>-52.1</v>
      </c>
      <c r="D902" s="192" t="s">
        <v>680</v>
      </c>
      <c r="E902" s="192" t="s">
        <v>681</v>
      </c>
      <c r="F902" s="194" t="s">
        <v>613</v>
      </c>
    </row>
    <row r="903">
      <c r="A903" s="192" t="s">
        <v>107</v>
      </c>
      <c r="B903" s="193">
        <v>45316.66666666667</v>
      </c>
      <c r="C903" s="192">
        <v>-52.08</v>
      </c>
      <c r="D903" s="192" t="s">
        <v>616</v>
      </c>
      <c r="E903" s="192" t="s">
        <v>617</v>
      </c>
      <c r="F903" s="194" t="s">
        <v>613</v>
      </c>
    </row>
    <row r="904">
      <c r="A904" s="192" t="s">
        <v>107</v>
      </c>
      <c r="B904" s="193">
        <v>45401.70833333333</v>
      </c>
      <c r="C904" s="192">
        <v>-51.27</v>
      </c>
      <c r="D904" s="192" t="s">
        <v>682</v>
      </c>
      <c r="E904" s="192" t="s">
        <v>683</v>
      </c>
      <c r="F904" s="194" t="s">
        <v>613</v>
      </c>
    </row>
    <row r="905">
      <c r="A905" s="192" t="s">
        <v>107</v>
      </c>
      <c r="B905" s="193">
        <v>45527.70833333333</v>
      </c>
      <c r="C905" s="192">
        <v>-51.27</v>
      </c>
      <c r="D905" s="192" t="s">
        <v>682</v>
      </c>
      <c r="E905" s="192" t="s">
        <v>683</v>
      </c>
      <c r="F905" s="194" t="s">
        <v>613</v>
      </c>
    </row>
    <row r="906">
      <c r="A906" s="192" t="s">
        <v>107</v>
      </c>
      <c r="B906" s="193">
        <v>45381.70833333333</v>
      </c>
      <c r="C906" s="192">
        <v>-51.05</v>
      </c>
      <c r="D906" s="192" t="s">
        <v>658</v>
      </c>
      <c r="E906" s="192" t="s">
        <v>659</v>
      </c>
      <c r="F906" s="194" t="s">
        <v>613</v>
      </c>
    </row>
    <row r="907">
      <c r="A907" s="192" t="s">
        <v>107</v>
      </c>
      <c r="B907" s="193">
        <v>45337.66666666667</v>
      </c>
      <c r="C907" s="192">
        <v>-51.0</v>
      </c>
      <c r="D907" s="192" t="s">
        <v>684</v>
      </c>
      <c r="E907" s="192" t="s">
        <v>685</v>
      </c>
      <c r="F907" s="194" t="s">
        <v>613</v>
      </c>
    </row>
    <row r="908">
      <c r="A908" s="192" t="s">
        <v>107</v>
      </c>
      <c r="B908" s="193">
        <v>45469.70833333333</v>
      </c>
      <c r="C908" s="192">
        <v>-50.0</v>
      </c>
      <c r="D908" s="192" t="s">
        <v>686</v>
      </c>
      <c r="E908" s="192" t="s">
        <v>687</v>
      </c>
      <c r="F908" s="194" t="s">
        <v>613</v>
      </c>
    </row>
    <row r="909">
      <c r="A909" s="192" t="s">
        <v>107</v>
      </c>
      <c r="B909" s="193">
        <v>45463.70833333333</v>
      </c>
      <c r="C909" s="192">
        <v>-48.89</v>
      </c>
      <c r="D909" s="192" t="s">
        <v>688</v>
      </c>
      <c r="E909" s="192" t="s">
        <v>689</v>
      </c>
      <c r="F909" s="194" t="s">
        <v>613</v>
      </c>
    </row>
    <row r="910">
      <c r="A910" s="192" t="s">
        <v>107</v>
      </c>
      <c r="B910" s="193">
        <v>45442.70833333333</v>
      </c>
      <c r="C910" s="192">
        <v>-48.4</v>
      </c>
      <c r="D910" s="192" t="s">
        <v>690</v>
      </c>
      <c r="E910" s="192" t="s">
        <v>691</v>
      </c>
      <c r="F910" s="194" t="s">
        <v>613</v>
      </c>
    </row>
    <row r="911">
      <c r="A911" s="192" t="s">
        <v>107</v>
      </c>
      <c r="B911" s="193">
        <v>45486.70833333333</v>
      </c>
      <c r="C911" s="192">
        <v>-48.3</v>
      </c>
      <c r="D911" s="192" t="s">
        <v>692</v>
      </c>
      <c r="E911" s="192" t="s">
        <v>693</v>
      </c>
      <c r="F911" s="194" t="s">
        <v>613</v>
      </c>
    </row>
    <row r="912">
      <c r="A912" s="192" t="s">
        <v>107</v>
      </c>
      <c r="B912" s="193">
        <v>45253.66666666667</v>
      </c>
      <c r="C912" s="192">
        <v>-48.0</v>
      </c>
      <c r="D912" s="192" t="s">
        <v>694</v>
      </c>
      <c r="E912" s="192" t="s">
        <v>695</v>
      </c>
      <c r="F912" s="194" t="s">
        <v>613</v>
      </c>
    </row>
    <row r="913">
      <c r="A913" s="192" t="s">
        <v>107</v>
      </c>
      <c r="B913" s="193">
        <v>45311.66666666667</v>
      </c>
      <c r="C913" s="192">
        <v>-47.23</v>
      </c>
      <c r="D913" s="192" t="s">
        <v>696</v>
      </c>
      <c r="E913" s="192" t="s">
        <v>697</v>
      </c>
      <c r="F913" s="194" t="s">
        <v>613</v>
      </c>
    </row>
    <row r="914">
      <c r="A914" s="192" t="s">
        <v>107</v>
      </c>
      <c r="B914" s="193">
        <v>45394.70833333333</v>
      </c>
      <c r="C914" s="192">
        <v>-46.72</v>
      </c>
      <c r="D914" s="192" t="s">
        <v>658</v>
      </c>
      <c r="E914" s="192" t="s">
        <v>659</v>
      </c>
      <c r="F914" s="194" t="s">
        <v>613</v>
      </c>
    </row>
    <row r="915">
      <c r="A915" s="192" t="s">
        <v>107</v>
      </c>
      <c r="B915" s="193">
        <v>45254.66666666667</v>
      </c>
      <c r="C915" s="192">
        <v>-46.51</v>
      </c>
      <c r="D915" s="192" t="s">
        <v>646</v>
      </c>
      <c r="E915" s="192" t="s">
        <v>698</v>
      </c>
      <c r="F915" s="194" t="s">
        <v>613</v>
      </c>
    </row>
    <row r="916">
      <c r="A916" s="192" t="s">
        <v>107</v>
      </c>
      <c r="B916" s="193">
        <v>45424.70833333333</v>
      </c>
      <c r="C916" s="192">
        <v>-46.07</v>
      </c>
      <c r="D916" s="192" t="s">
        <v>699</v>
      </c>
      <c r="E916" s="192" t="s">
        <v>700</v>
      </c>
      <c r="F916" s="194" t="s">
        <v>613</v>
      </c>
    </row>
    <row r="917">
      <c r="A917" s="192" t="s">
        <v>107</v>
      </c>
      <c r="B917" s="193">
        <v>45499.70833333333</v>
      </c>
      <c r="C917" s="192">
        <v>-45.99</v>
      </c>
      <c r="D917" s="192" t="s">
        <v>662</v>
      </c>
      <c r="E917" s="192" t="s">
        <v>663</v>
      </c>
      <c r="F917" s="194" t="s">
        <v>613</v>
      </c>
    </row>
    <row r="918">
      <c r="A918" s="192" t="s">
        <v>107</v>
      </c>
      <c r="B918" s="193">
        <v>45335.66666666667</v>
      </c>
      <c r="C918" s="192">
        <v>-45.3</v>
      </c>
      <c r="D918" s="192" t="s">
        <v>701</v>
      </c>
      <c r="E918" s="192" t="s">
        <v>702</v>
      </c>
      <c r="F918" s="194" t="s">
        <v>613</v>
      </c>
    </row>
    <row r="919">
      <c r="A919" s="192" t="s">
        <v>107</v>
      </c>
      <c r="B919" s="193">
        <v>45484.70833333333</v>
      </c>
      <c r="C919" s="192">
        <v>-45.01</v>
      </c>
      <c r="D919" s="192" t="s">
        <v>703</v>
      </c>
      <c r="E919" s="192" t="s">
        <v>704</v>
      </c>
      <c r="F919" s="194" t="s">
        <v>613</v>
      </c>
    </row>
    <row r="920">
      <c r="A920" s="192" t="s">
        <v>107</v>
      </c>
      <c r="B920" s="193">
        <v>45338.66666666667</v>
      </c>
      <c r="C920" s="192">
        <v>-44.89</v>
      </c>
      <c r="D920" s="192" t="s">
        <v>678</v>
      </c>
      <c r="E920" s="192" t="s">
        <v>679</v>
      </c>
      <c r="F920" s="194" t="s">
        <v>613</v>
      </c>
    </row>
    <row r="921">
      <c r="A921" s="192" t="s">
        <v>107</v>
      </c>
      <c r="B921" s="193">
        <v>45268.66666666667</v>
      </c>
      <c r="C921" s="192">
        <v>-44.69</v>
      </c>
      <c r="D921" s="192" t="s">
        <v>658</v>
      </c>
      <c r="E921" s="192" t="s">
        <v>659</v>
      </c>
      <c r="F921" s="194" t="s">
        <v>613</v>
      </c>
    </row>
    <row r="922">
      <c r="A922" s="192" t="s">
        <v>107</v>
      </c>
      <c r="B922" s="193">
        <v>45470.70833333333</v>
      </c>
      <c r="C922" s="192">
        <v>-44.01</v>
      </c>
      <c r="D922" s="192" t="s">
        <v>703</v>
      </c>
      <c r="E922" s="192" t="s">
        <v>704</v>
      </c>
      <c r="F922" s="194" t="s">
        <v>613</v>
      </c>
    </row>
    <row r="923">
      <c r="A923" s="192" t="s">
        <v>107</v>
      </c>
      <c r="B923" s="193">
        <v>45582.70833333333</v>
      </c>
      <c r="C923" s="192">
        <v>-43.5</v>
      </c>
      <c r="D923" s="192" t="s">
        <v>705</v>
      </c>
      <c r="E923" s="192" t="s">
        <v>706</v>
      </c>
      <c r="F923" s="194" t="s">
        <v>613</v>
      </c>
    </row>
    <row r="924">
      <c r="A924" s="192" t="s">
        <v>107</v>
      </c>
      <c r="B924" s="193">
        <v>45555.70833333333</v>
      </c>
      <c r="C924" s="192">
        <v>-43.01</v>
      </c>
      <c r="D924" s="192" t="s">
        <v>658</v>
      </c>
      <c r="E924" s="192" t="s">
        <v>659</v>
      </c>
      <c r="F924" s="194" t="s">
        <v>613</v>
      </c>
    </row>
    <row r="925">
      <c r="A925" s="192" t="s">
        <v>107</v>
      </c>
      <c r="B925" s="193">
        <v>45367.70833333333</v>
      </c>
      <c r="C925" s="192">
        <v>-42.39</v>
      </c>
      <c r="D925" s="192" t="s">
        <v>707</v>
      </c>
      <c r="E925" s="192" t="s">
        <v>708</v>
      </c>
      <c r="F925" s="194" t="s">
        <v>613</v>
      </c>
    </row>
    <row r="926">
      <c r="A926" s="192" t="s">
        <v>107</v>
      </c>
      <c r="B926" s="193">
        <v>45505.70833333333</v>
      </c>
      <c r="C926" s="192">
        <v>-42.15</v>
      </c>
      <c r="D926" s="192" t="s">
        <v>656</v>
      </c>
      <c r="E926" s="192" t="s">
        <v>657</v>
      </c>
      <c r="F926" s="194" t="s">
        <v>613</v>
      </c>
    </row>
    <row r="927">
      <c r="A927" s="192" t="s">
        <v>107</v>
      </c>
      <c r="B927" s="193">
        <v>45526.70833333333</v>
      </c>
      <c r="C927" s="192">
        <v>-42.15</v>
      </c>
      <c r="D927" s="192" t="s">
        <v>656</v>
      </c>
      <c r="E927" s="192" t="s">
        <v>657</v>
      </c>
      <c r="F927" s="194" t="s">
        <v>613</v>
      </c>
    </row>
    <row r="928">
      <c r="A928" s="192" t="s">
        <v>107</v>
      </c>
      <c r="B928" s="193">
        <v>45568.70833333333</v>
      </c>
      <c r="C928" s="192">
        <v>-42.15</v>
      </c>
      <c r="D928" s="192" t="s">
        <v>656</v>
      </c>
      <c r="E928" s="192" t="s">
        <v>657</v>
      </c>
      <c r="F928" s="194" t="s">
        <v>613</v>
      </c>
    </row>
    <row r="929">
      <c r="A929" s="192" t="s">
        <v>107</v>
      </c>
      <c r="B929" s="193">
        <v>45461.70833333333</v>
      </c>
      <c r="C929" s="192">
        <v>-41.47</v>
      </c>
      <c r="D929" s="192" t="s">
        <v>709</v>
      </c>
      <c r="E929" s="192" t="s">
        <v>710</v>
      </c>
      <c r="F929" s="194" t="s">
        <v>613</v>
      </c>
    </row>
    <row r="930">
      <c r="A930" s="192" t="s">
        <v>107</v>
      </c>
      <c r="B930" s="193">
        <v>45310.66666666667</v>
      </c>
      <c r="C930" s="192">
        <v>-39.32</v>
      </c>
      <c r="D930" s="192" t="s">
        <v>638</v>
      </c>
      <c r="E930" s="192" t="s">
        <v>639</v>
      </c>
      <c r="F930" s="194" t="s">
        <v>613</v>
      </c>
    </row>
    <row r="931">
      <c r="A931" s="192" t="s">
        <v>107</v>
      </c>
      <c r="B931" s="193">
        <v>45458.70833333333</v>
      </c>
      <c r="C931" s="192">
        <v>-39.18</v>
      </c>
      <c r="D931" s="192" t="s">
        <v>682</v>
      </c>
      <c r="E931" s="192" t="s">
        <v>683</v>
      </c>
      <c r="F931" s="194" t="s">
        <v>613</v>
      </c>
    </row>
    <row r="932">
      <c r="A932" s="192" t="s">
        <v>107</v>
      </c>
      <c r="B932" s="193">
        <v>45282.66666666667</v>
      </c>
      <c r="C932" s="192">
        <v>-36.06</v>
      </c>
      <c r="D932" s="192" t="s">
        <v>658</v>
      </c>
      <c r="E932" s="192" t="s">
        <v>659</v>
      </c>
      <c r="F932" s="194" t="s">
        <v>613</v>
      </c>
    </row>
    <row r="933">
      <c r="A933" s="192" t="s">
        <v>107</v>
      </c>
      <c r="B933" s="193">
        <v>45279.66666666667</v>
      </c>
      <c r="C933" s="192">
        <v>-34.4</v>
      </c>
      <c r="D933" s="192" t="s">
        <v>711</v>
      </c>
      <c r="E933" s="192" t="s">
        <v>712</v>
      </c>
      <c r="F933" s="194" t="s">
        <v>613</v>
      </c>
    </row>
    <row r="934">
      <c r="A934" s="192" t="s">
        <v>107</v>
      </c>
      <c r="B934" s="193">
        <v>45438.70833333333</v>
      </c>
      <c r="C934" s="192">
        <v>-34.18</v>
      </c>
      <c r="D934" s="192" t="s">
        <v>694</v>
      </c>
      <c r="E934" s="192" t="s">
        <v>695</v>
      </c>
      <c r="F934" s="194" t="s">
        <v>613</v>
      </c>
    </row>
    <row r="935">
      <c r="A935" s="192" t="s">
        <v>107</v>
      </c>
      <c r="B935" s="193">
        <v>45456.70833333333</v>
      </c>
      <c r="C935" s="192">
        <v>-33.57</v>
      </c>
      <c r="D935" s="192" t="s">
        <v>713</v>
      </c>
      <c r="E935" s="192" t="s">
        <v>714</v>
      </c>
      <c r="F935" s="194" t="s">
        <v>613</v>
      </c>
    </row>
    <row r="936">
      <c r="A936" s="192" t="s">
        <v>107</v>
      </c>
      <c r="B936" s="193">
        <v>45464.70833333333</v>
      </c>
      <c r="C936" s="192">
        <v>-33.57</v>
      </c>
      <c r="D936" s="192" t="s">
        <v>658</v>
      </c>
      <c r="E936" s="192" t="s">
        <v>659</v>
      </c>
      <c r="F936" s="194" t="s">
        <v>613</v>
      </c>
    </row>
    <row r="937">
      <c r="A937" s="192" t="s">
        <v>107</v>
      </c>
      <c r="B937" s="193">
        <v>45583.70833333333</v>
      </c>
      <c r="C937" s="192">
        <v>-33.33</v>
      </c>
      <c r="D937" s="192" t="s">
        <v>694</v>
      </c>
      <c r="E937" s="192" t="s">
        <v>695</v>
      </c>
      <c r="F937" s="194" t="s">
        <v>613</v>
      </c>
    </row>
    <row r="938">
      <c r="A938" s="192" t="s">
        <v>107</v>
      </c>
      <c r="B938" s="193">
        <v>45365.70833333333</v>
      </c>
      <c r="C938" s="192">
        <v>-32.18</v>
      </c>
      <c r="D938" s="192" t="s">
        <v>715</v>
      </c>
      <c r="E938" s="192" t="s">
        <v>716</v>
      </c>
      <c r="F938" s="194" t="s">
        <v>613</v>
      </c>
    </row>
    <row r="939">
      <c r="A939" s="192" t="s">
        <v>107</v>
      </c>
      <c r="B939" s="193">
        <v>45512.70833333333</v>
      </c>
      <c r="C939" s="192">
        <v>-32.18</v>
      </c>
      <c r="D939" s="192" t="s">
        <v>715</v>
      </c>
      <c r="E939" s="192" t="s">
        <v>717</v>
      </c>
      <c r="F939" s="194" t="s">
        <v>613</v>
      </c>
    </row>
    <row r="940">
      <c r="A940" s="192" t="s">
        <v>107</v>
      </c>
      <c r="B940" s="193">
        <v>45493.70833333333</v>
      </c>
      <c r="C940" s="192">
        <v>-32.05</v>
      </c>
      <c r="D940" s="192" t="s">
        <v>694</v>
      </c>
      <c r="E940" s="192" t="s">
        <v>695</v>
      </c>
      <c r="F940" s="194" t="s">
        <v>613</v>
      </c>
    </row>
    <row r="941">
      <c r="A941" s="192" t="s">
        <v>107</v>
      </c>
      <c r="B941" s="193">
        <v>45387.70833333333</v>
      </c>
      <c r="C941" s="192">
        <v>-31.91</v>
      </c>
      <c r="D941" s="192" t="s">
        <v>658</v>
      </c>
      <c r="E941" s="192" t="s">
        <v>659</v>
      </c>
      <c r="F941" s="194" t="s">
        <v>613</v>
      </c>
    </row>
    <row r="942">
      <c r="A942" s="192" t="s">
        <v>107</v>
      </c>
      <c r="B942" s="193">
        <v>45562.70833333333</v>
      </c>
      <c r="C942" s="192">
        <v>-31.58</v>
      </c>
      <c r="D942" s="192" t="s">
        <v>718</v>
      </c>
      <c r="E942" s="192" t="s">
        <v>719</v>
      </c>
      <c r="F942" s="194" t="s">
        <v>613</v>
      </c>
    </row>
    <row r="943">
      <c r="A943" s="192" t="s">
        <v>107</v>
      </c>
      <c r="B943" s="193">
        <v>45548.70833333333</v>
      </c>
      <c r="C943" s="192">
        <v>-30.85</v>
      </c>
      <c r="D943" s="192" t="s">
        <v>658</v>
      </c>
      <c r="E943" s="192" t="s">
        <v>659</v>
      </c>
      <c r="F943" s="194" t="s">
        <v>613</v>
      </c>
    </row>
    <row r="944">
      <c r="A944" s="192" t="s">
        <v>107</v>
      </c>
      <c r="B944" s="193">
        <v>45259.66666666667</v>
      </c>
      <c r="C944" s="192">
        <v>-30.0</v>
      </c>
      <c r="D944" s="192" t="s">
        <v>692</v>
      </c>
      <c r="E944" s="192" t="s">
        <v>720</v>
      </c>
      <c r="F944" s="194" t="s">
        <v>613</v>
      </c>
    </row>
    <row r="945">
      <c r="A945" s="192" t="s">
        <v>107</v>
      </c>
      <c r="B945" s="193">
        <v>45268.66666666667</v>
      </c>
      <c r="C945" s="192">
        <v>-30.0</v>
      </c>
      <c r="D945" s="192" t="s">
        <v>692</v>
      </c>
      <c r="E945" s="192" t="s">
        <v>720</v>
      </c>
      <c r="F945" s="194" t="s">
        <v>613</v>
      </c>
    </row>
    <row r="946">
      <c r="A946" s="192" t="s">
        <v>107</v>
      </c>
      <c r="B946" s="193">
        <v>45507.70833333333</v>
      </c>
      <c r="C946" s="192">
        <v>-29.65</v>
      </c>
      <c r="D946" s="192" t="s">
        <v>688</v>
      </c>
      <c r="E946" s="192" t="s">
        <v>689</v>
      </c>
      <c r="F946" s="194" t="s">
        <v>613</v>
      </c>
    </row>
    <row r="947">
      <c r="A947" s="192" t="s">
        <v>107</v>
      </c>
      <c r="B947" s="193">
        <v>45323.66666666667</v>
      </c>
      <c r="C947" s="192">
        <v>-29.34</v>
      </c>
      <c r="D947" s="192" t="s">
        <v>721</v>
      </c>
      <c r="E947" s="192" t="s">
        <v>722</v>
      </c>
      <c r="F947" s="194" t="s">
        <v>613</v>
      </c>
    </row>
    <row r="948">
      <c r="A948" s="192" t="s">
        <v>107</v>
      </c>
      <c r="B948" s="193">
        <v>45554.70833333333</v>
      </c>
      <c r="C948" s="192">
        <v>-28.96</v>
      </c>
      <c r="D948" s="192" t="s">
        <v>715</v>
      </c>
      <c r="E948" s="192" t="s">
        <v>716</v>
      </c>
      <c r="F948" s="194" t="s">
        <v>613</v>
      </c>
    </row>
    <row r="949">
      <c r="A949" s="192" t="s">
        <v>107</v>
      </c>
      <c r="B949" s="193">
        <v>45428.70833333333</v>
      </c>
      <c r="C949" s="192">
        <v>-28.49</v>
      </c>
      <c r="D949" s="192" t="s">
        <v>678</v>
      </c>
      <c r="E949" s="192" t="s">
        <v>679</v>
      </c>
      <c r="F949" s="194" t="s">
        <v>613</v>
      </c>
    </row>
    <row r="950">
      <c r="A950" s="192" t="s">
        <v>107</v>
      </c>
      <c r="B950" s="193">
        <v>45556.70833333333</v>
      </c>
      <c r="C950" s="192">
        <v>-28.45</v>
      </c>
      <c r="D950" s="192" t="s">
        <v>723</v>
      </c>
      <c r="E950" s="192" t="s">
        <v>724</v>
      </c>
      <c r="F950" s="194" t="s">
        <v>613</v>
      </c>
    </row>
    <row r="951">
      <c r="A951" s="192" t="s">
        <v>107</v>
      </c>
      <c r="B951" s="193">
        <v>45596.70833333333</v>
      </c>
      <c r="C951" s="192">
        <v>-28.15</v>
      </c>
      <c r="D951" s="192" t="s">
        <v>721</v>
      </c>
      <c r="E951" s="192" t="s">
        <v>725</v>
      </c>
      <c r="F951" s="194" t="s">
        <v>613</v>
      </c>
    </row>
    <row r="952">
      <c r="A952" s="192" t="s">
        <v>107</v>
      </c>
      <c r="B952" s="193">
        <v>45547.70833333333</v>
      </c>
      <c r="C952" s="192">
        <v>-26.49</v>
      </c>
      <c r="D952" s="192" t="s">
        <v>726</v>
      </c>
      <c r="E952" s="192" t="s">
        <v>727</v>
      </c>
      <c r="F952" s="194" t="s">
        <v>613</v>
      </c>
    </row>
    <row r="953">
      <c r="A953" s="192" t="s">
        <v>107</v>
      </c>
      <c r="B953" s="193">
        <v>45541.70833333333</v>
      </c>
      <c r="C953" s="192">
        <v>-26.41</v>
      </c>
      <c r="D953" s="192" t="s">
        <v>658</v>
      </c>
      <c r="E953" s="192" t="s">
        <v>659</v>
      </c>
      <c r="F953" s="194" t="s">
        <v>613</v>
      </c>
    </row>
    <row r="954">
      <c r="A954" s="192" t="s">
        <v>107</v>
      </c>
      <c r="B954" s="193">
        <v>45289.66666666667</v>
      </c>
      <c r="C954" s="192">
        <v>-26.3</v>
      </c>
      <c r="D954" s="192" t="s">
        <v>723</v>
      </c>
      <c r="E954" s="192" t="s">
        <v>728</v>
      </c>
      <c r="F954" s="194" t="s">
        <v>613</v>
      </c>
    </row>
    <row r="955">
      <c r="A955" s="192" t="s">
        <v>107</v>
      </c>
      <c r="B955" s="193">
        <v>45539.70833333333</v>
      </c>
      <c r="C955" s="192">
        <v>-25.75</v>
      </c>
      <c r="D955" s="192" t="s">
        <v>729</v>
      </c>
      <c r="E955" s="192" t="s">
        <v>730</v>
      </c>
      <c r="F955" s="194" t="s">
        <v>613</v>
      </c>
    </row>
    <row r="956">
      <c r="A956" s="192" t="s">
        <v>107</v>
      </c>
      <c r="B956" s="193">
        <v>45577.70833333333</v>
      </c>
      <c r="C956" s="192">
        <v>-25.59</v>
      </c>
      <c r="D956" s="192" t="s">
        <v>701</v>
      </c>
      <c r="E956" s="192" t="s">
        <v>702</v>
      </c>
      <c r="F956" s="194" t="s">
        <v>613</v>
      </c>
    </row>
    <row r="957">
      <c r="A957" s="192" t="s">
        <v>107</v>
      </c>
      <c r="B957" s="193">
        <v>45522.70833333333</v>
      </c>
      <c r="C957" s="192">
        <v>-25.0</v>
      </c>
      <c r="D957" s="192" t="s">
        <v>731</v>
      </c>
      <c r="E957" s="192" t="s">
        <v>732</v>
      </c>
      <c r="F957" s="194" t="s">
        <v>613</v>
      </c>
    </row>
    <row r="958">
      <c r="A958" s="192" t="s">
        <v>107</v>
      </c>
      <c r="B958" s="193">
        <v>45516.70833333333</v>
      </c>
      <c r="C958" s="192">
        <v>-23.61</v>
      </c>
      <c r="D958" s="192" t="s">
        <v>733</v>
      </c>
      <c r="E958" s="192" t="s">
        <v>734</v>
      </c>
      <c r="F958" s="194" t="s">
        <v>613</v>
      </c>
    </row>
    <row r="959">
      <c r="A959" s="192" t="s">
        <v>107</v>
      </c>
      <c r="B959" s="193">
        <v>45526.70833333333</v>
      </c>
      <c r="C959" s="192">
        <v>-23.54</v>
      </c>
      <c r="D959" s="192" t="s">
        <v>678</v>
      </c>
      <c r="E959" s="192" t="s">
        <v>679</v>
      </c>
      <c r="F959" s="194" t="s">
        <v>613</v>
      </c>
    </row>
    <row r="960">
      <c r="A960" s="192" t="s">
        <v>107</v>
      </c>
      <c r="B960" s="193">
        <v>45570.70833333333</v>
      </c>
      <c r="C960" s="192">
        <v>-23.54</v>
      </c>
      <c r="D960" s="192" t="s">
        <v>678</v>
      </c>
      <c r="E960" s="192" t="s">
        <v>679</v>
      </c>
      <c r="F960" s="194" t="s">
        <v>613</v>
      </c>
    </row>
    <row r="961">
      <c r="A961" s="192" t="s">
        <v>107</v>
      </c>
      <c r="B961" s="193">
        <v>45240.66666666667</v>
      </c>
      <c r="C961" s="192">
        <v>-23.23</v>
      </c>
      <c r="D961" s="192" t="s">
        <v>658</v>
      </c>
      <c r="E961" s="192" t="s">
        <v>659</v>
      </c>
      <c r="F961" s="194" t="s">
        <v>613</v>
      </c>
    </row>
    <row r="962">
      <c r="A962" s="192" t="s">
        <v>107</v>
      </c>
      <c r="B962" s="193">
        <v>45339.66666666667</v>
      </c>
      <c r="C962" s="192">
        <v>-22.91</v>
      </c>
      <c r="D962" s="192" t="s">
        <v>735</v>
      </c>
      <c r="E962" s="192" t="s">
        <v>736</v>
      </c>
      <c r="F962" s="194" t="s">
        <v>613</v>
      </c>
    </row>
    <row r="963">
      <c r="A963" s="192" t="s">
        <v>107</v>
      </c>
      <c r="B963" s="193">
        <v>45575.70833333333</v>
      </c>
      <c r="C963" s="192">
        <v>-22.88</v>
      </c>
      <c r="D963" s="192" t="s">
        <v>656</v>
      </c>
      <c r="E963" s="192" t="s">
        <v>657</v>
      </c>
      <c r="F963" s="194" t="s">
        <v>613</v>
      </c>
    </row>
    <row r="964">
      <c r="A964" s="192" t="s">
        <v>107</v>
      </c>
      <c r="B964" s="193">
        <v>45360.66666666667</v>
      </c>
      <c r="C964" s="192">
        <v>-22.06</v>
      </c>
      <c r="D964" s="192" t="s">
        <v>678</v>
      </c>
      <c r="E964" s="192" t="s">
        <v>679</v>
      </c>
      <c r="F964" s="194" t="s">
        <v>613</v>
      </c>
    </row>
    <row r="965">
      <c r="A965" s="192" t="s">
        <v>107</v>
      </c>
      <c r="B965" s="193">
        <v>45442.70833333333</v>
      </c>
      <c r="C965" s="192">
        <v>-22.01</v>
      </c>
      <c r="D965" s="192" t="s">
        <v>703</v>
      </c>
      <c r="E965" s="192" t="s">
        <v>704</v>
      </c>
      <c r="F965" s="194" t="s">
        <v>613</v>
      </c>
    </row>
    <row r="966">
      <c r="A966" s="192" t="s">
        <v>107</v>
      </c>
      <c r="B966" s="193">
        <v>45463.70833333333</v>
      </c>
      <c r="C966" s="192">
        <v>-22.01</v>
      </c>
      <c r="D966" s="192" t="s">
        <v>703</v>
      </c>
      <c r="E966" s="192" t="s">
        <v>704</v>
      </c>
      <c r="F966" s="194" t="s">
        <v>613</v>
      </c>
    </row>
    <row r="967">
      <c r="A967" s="192" t="s">
        <v>107</v>
      </c>
      <c r="B967" s="193">
        <v>45465.70833333333</v>
      </c>
      <c r="C967" s="192">
        <v>-21.32</v>
      </c>
      <c r="D967" s="192" t="s">
        <v>678</v>
      </c>
      <c r="E967" s="192" t="s">
        <v>679</v>
      </c>
      <c r="F967" s="194" t="s">
        <v>613</v>
      </c>
    </row>
    <row r="968">
      <c r="A968" s="192" t="s">
        <v>107</v>
      </c>
      <c r="B968" s="193">
        <v>45436.70833333333</v>
      </c>
      <c r="C968" s="192">
        <v>-20.41</v>
      </c>
      <c r="D968" s="192" t="s">
        <v>678</v>
      </c>
      <c r="E968" s="192" t="s">
        <v>737</v>
      </c>
      <c r="F968" s="194" t="s">
        <v>613</v>
      </c>
    </row>
    <row r="969">
      <c r="A969" s="192" t="s">
        <v>107</v>
      </c>
      <c r="B969" s="193">
        <v>45248.66666666667</v>
      </c>
      <c r="C969" s="192">
        <v>-20.38</v>
      </c>
      <c r="D969" s="192" t="s">
        <v>678</v>
      </c>
      <c r="E969" s="192" t="s">
        <v>679</v>
      </c>
      <c r="F969" s="194" t="s">
        <v>613</v>
      </c>
    </row>
    <row r="970">
      <c r="A970" s="192" t="s">
        <v>107</v>
      </c>
      <c r="B970" s="193">
        <v>45484.70833333333</v>
      </c>
      <c r="C970" s="192">
        <v>-20.38</v>
      </c>
      <c r="D970" s="192" t="s">
        <v>678</v>
      </c>
      <c r="E970" s="192" t="s">
        <v>679</v>
      </c>
      <c r="F970" s="194" t="s">
        <v>613</v>
      </c>
    </row>
    <row r="971">
      <c r="A971" s="192" t="s">
        <v>107</v>
      </c>
      <c r="B971" s="193">
        <v>45373.70833333333</v>
      </c>
      <c r="C971" s="192">
        <v>-19.94</v>
      </c>
      <c r="D971" s="192" t="s">
        <v>694</v>
      </c>
      <c r="E971" s="192" t="s">
        <v>695</v>
      </c>
      <c r="F971" s="194" t="s">
        <v>613</v>
      </c>
    </row>
    <row r="972">
      <c r="A972" s="192" t="s">
        <v>107</v>
      </c>
      <c r="B972" s="193">
        <v>45262.66666666667</v>
      </c>
      <c r="C972" s="192">
        <v>-18.92</v>
      </c>
      <c r="D972" s="192" t="s">
        <v>678</v>
      </c>
      <c r="E972" s="192" t="s">
        <v>679</v>
      </c>
      <c r="F972" s="194" t="s">
        <v>613</v>
      </c>
    </row>
    <row r="973">
      <c r="A973" s="192" t="s">
        <v>107</v>
      </c>
      <c r="B973" s="193">
        <v>45367.70833333333</v>
      </c>
      <c r="C973" s="192">
        <v>-18.3</v>
      </c>
      <c r="D973" s="192" t="s">
        <v>678</v>
      </c>
      <c r="E973" s="192" t="s">
        <v>679</v>
      </c>
      <c r="F973" s="194" t="s">
        <v>613</v>
      </c>
    </row>
    <row r="974">
      <c r="A974" s="192" t="s">
        <v>107</v>
      </c>
      <c r="B974" s="193">
        <v>45536.70833333333</v>
      </c>
      <c r="C974" s="192">
        <v>-18.3</v>
      </c>
      <c r="D974" s="192" t="s">
        <v>678</v>
      </c>
      <c r="E974" s="192" t="s">
        <v>679</v>
      </c>
      <c r="F974" s="194" t="s">
        <v>613</v>
      </c>
    </row>
    <row r="975">
      <c r="A975" s="192" t="s">
        <v>107</v>
      </c>
      <c r="B975" s="193">
        <v>45520.70833333333</v>
      </c>
      <c r="C975" s="192">
        <v>-18.23</v>
      </c>
      <c r="D975" s="192" t="s">
        <v>678</v>
      </c>
      <c r="E975" s="192" t="s">
        <v>679</v>
      </c>
      <c r="F975" s="194" t="s">
        <v>613</v>
      </c>
    </row>
    <row r="976">
      <c r="A976" s="192" t="s">
        <v>107</v>
      </c>
      <c r="B976" s="193">
        <v>45420.70833333333</v>
      </c>
      <c r="C976" s="192">
        <v>-17.23</v>
      </c>
      <c r="D976" s="192" t="s">
        <v>678</v>
      </c>
      <c r="E976" s="192" t="s">
        <v>737</v>
      </c>
      <c r="F976" s="194" t="s">
        <v>613</v>
      </c>
    </row>
    <row r="977">
      <c r="A977" s="192" t="s">
        <v>107</v>
      </c>
      <c r="B977" s="193">
        <v>45551.70833333333</v>
      </c>
      <c r="C977" s="192">
        <v>-16.85</v>
      </c>
      <c r="D977" s="192" t="s">
        <v>738</v>
      </c>
      <c r="E977" s="192" t="s">
        <v>739</v>
      </c>
      <c r="F977" s="194" t="s">
        <v>613</v>
      </c>
    </row>
    <row r="978">
      <c r="A978" s="192" t="s">
        <v>107</v>
      </c>
      <c r="B978" s="193">
        <v>45261.66666666667</v>
      </c>
      <c r="C978" s="192">
        <v>-15.94</v>
      </c>
      <c r="D978" s="192" t="s">
        <v>688</v>
      </c>
      <c r="E978" s="192" t="s">
        <v>689</v>
      </c>
      <c r="F978" s="194" t="s">
        <v>613</v>
      </c>
    </row>
    <row r="979">
      <c r="A979" s="192" t="s">
        <v>107</v>
      </c>
      <c r="B979" s="193">
        <v>45267.66666666667</v>
      </c>
      <c r="C979" s="192">
        <v>-15.94</v>
      </c>
      <c r="D979" s="192" t="s">
        <v>688</v>
      </c>
      <c r="E979" s="192" t="s">
        <v>689</v>
      </c>
      <c r="F979" s="194" t="s">
        <v>613</v>
      </c>
    </row>
    <row r="980">
      <c r="A980" s="192" t="s">
        <v>107</v>
      </c>
      <c r="B980" s="193">
        <v>45542.70833333333</v>
      </c>
      <c r="C980" s="192">
        <v>-15.78</v>
      </c>
      <c r="D980" s="192" t="s">
        <v>678</v>
      </c>
      <c r="E980" s="192" t="s">
        <v>679</v>
      </c>
      <c r="F980" s="194" t="s">
        <v>613</v>
      </c>
    </row>
    <row r="981">
      <c r="A981" s="192" t="s">
        <v>107</v>
      </c>
      <c r="B981" s="193">
        <v>45582.70833333333</v>
      </c>
      <c r="C981" s="192">
        <v>-15.27</v>
      </c>
      <c r="D981" s="192" t="s">
        <v>740</v>
      </c>
      <c r="E981" s="192" t="s">
        <v>741</v>
      </c>
      <c r="F981" s="194" t="s">
        <v>613</v>
      </c>
    </row>
    <row r="982">
      <c r="A982" s="192" t="s">
        <v>107</v>
      </c>
      <c r="B982" s="193">
        <v>45385.70833333333</v>
      </c>
      <c r="C982" s="192">
        <v>-11.92</v>
      </c>
      <c r="D982" s="192" t="s">
        <v>678</v>
      </c>
      <c r="E982" s="192" t="s">
        <v>679</v>
      </c>
      <c r="F982" s="194" t="s">
        <v>613</v>
      </c>
    </row>
    <row r="983">
      <c r="A983" s="192" t="s">
        <v>107</v>
      </c>
      <c r="B983" s="193">
        <v>45400.70833333333</v>
      </c>
      <c r="C983" s="192">
        <v>-11.92</v>
      </c>
      <c r="D983" s="192" t="s">
        <v>678</v>
      </c>
      <c r="E983" s="192" t="s">
        <v>679</v>
      </c>
      <c r="F983" s="194" t="s">
        <v>613</v>
      </c>
    </row>
    <row r="984">
      <c r="A984" s="192" t="s">
        <v>107</v>
      </c>
      <c r="B984" s="193">
        <v>45504.70833333333</v>
      </c>
      <c r="C984" s="192">
        <v>-11.92</v>
      </c>
      <c r="D984" s="192" t="s">
        <v>678</v>
      </c>
      <c r="E984" s="192" t="s">
        <v>737</v>
      </c>
      <c r="F984" s="194" t="s">
        <v>613</v>
      </c>
    </row>
    <row r="985">
      <c r="A985" s="192" t="s">
        <v>107</v>
      </c>
      <c r="B985" s="193">
        <v>45413.70833333333</v>
      </c>
      <c r="C985" s="192">
        <v>-10.19</v>
      </c>
      <c r="D985" s="192" t="s">
        <v>678</v>
      </c>
      <c r="E985" s="192" t="s">
        <v>737</v>
      </c>
      <c r="F985" s="194" t="s">
        <v>613</v>
      </c>
    </row>
    <row r="986">
      <c r="A986" s="192" t="s">
        <v>107</v>
      </c>
      <c r="B986" s="193">
        <v>45432.70833333333</v>
      </c>
      <c r="C986" s="192">
        <v>-10.11</v>
      </c>
      <c r="D986" s="192" t="s">
        <v>742</v>
      </c>
      <c r="E986" s="192" t="s">
        <v>743</v>
      </c>
      <c r="F986" s="194" t="s">
        <v>613</v>
      </c>
    </row>
    <row r="987">
      <c r="A987" s="192" t="s">
        <v>107</v>
      </c>
      <c r="B987" s="193">
        <v>45350.66666666667</v>
      </c>
      <c r="C987" s="192">
        <v>-9.72</v>
      </c>
      <c r="D987" s="192" t="s">
        <v>678</v>
      </c>
      <c r="E987" s="192" t="s">
        <v>679</v>
      </c>
      <c r="F987" s="194" t="s">
        <v>613</v>
      </c>
    </row>
    <row r="988">
      <c r="A988" s="192" t="s">
        <v>107</v>
      </c>
      <c r="B988" s="193">
        <v>45561.70833333333</v>
      </c>
      <c r="C988" s="192">
        <v>-9.72</v>
      </c>
      <c r="D988" s="192" t="s">
        <v>678</v>
      </c>
      <c r="E988" s="192" t="s">
        <v>679</v>
      </c>
      <c r="F988" s="194" t="s">
        <v>613</v>
      </c>
    </row>
    <row r="989">
      <c r="A989" s="192" t="s">
        <v>107</v>
      </c>
      <c r="B989" s="193">
        <v>45394.70833333333</v>
      </c>
      <c r="C989" s="192">
        <v>-7.69</v>
      </c>
      <c r="D989" s="192" t="s">
        <v>744</v>
      </c>
      <c r="E989" s="192" t="s">
        <v>745</v>
      </c>
      <c r="F989" s="194" t="s">
        <v>613</v>
      </c>
    </row>
    <row r="990">
      <c r="A990" s="192" t="s">
        <v>107</v>
      </c>
      <c r="B990" s="193">
        <v>45499.70833333333</v>
      </c>
      <c r="C990" s="192">
        <v>-7.5</v>
      </c>
      <c r="D990" s="192" t="s">
        <v>487</v>
      </c>
      <c r="E990" s="192" t="s">
        <v>746</v>
      </c>
      <c r="F990" s="194" t="s">
        <v>613</v>
      </c>
    </row>
    <row r="991">
      <c r="A991" s="192" t="s">
        <v>107</v>
      </c>
      <c r="B991" s="193">
        <v>45373.70833333333</v>
      </c>
      <c r="C991" s="192">
        <v>-7.4</v>
      </c>
      <c r="D991" s="192" t="s">
        <v>747</v>
      </c>
      <c r="E991" s="192" t="s">
        <v>748</v>
      </c>
      <c r="F991" s="194" t="s">
        <v>613</v>
      </c>
    </row>
    <row r="992">
      <c r="A992" s="192" t="s">
        <v>107</v>
      </c>
      <c r="B992" s="193">
        <v>45472.70833333333</v>
      </c>
      <c r="C992" s="192">
        <v>-7.4</v>
      </c>
      <c r="D992" s="192" t="s">
        <v>747</v>
      </c>
      <c r="E992" s="192" t="s">
        <v>748</v>
      </c>
      <c r="F992" s="194" t="s">
        <v>613</v>
      </c>
    </row>
    <row r="993">
      <c r="A993" s="192" t="s">
        <v>107</v>
      </c>
      <c r="B993" s="193">
        <v>45288.66666666667</v>
      </c>
      <c r="C993" s="192">
        <v>-6.44</v>
      </c>
      <c r="D993" s="192" t="s">
        <v>749</v>
      </c>
      <c r="E993" s="192" t="s">
        <v>750</v>
      </c>
      <c r="F993" s="194" t="s">
        <v>613</v>
      </c>
    </row>
    <row r="994">
      <c r="A994" s="192" t="s">
        <v>107</v>
      </c>
      <c r="B994" s="193">
        <v>45345.66666666667</v>
      </c>
      <c r="C994" s="192">
        <v>-6.33</v>
      </c>
      <c r="D994" s="192" t="s">
        <v>751</v>
      </c>
      <c r="E994" s="192" t="s">
        <v>752</v>
      </c>
      <c r="F994" s="194" t="s">
        <v>613</v>
      </c>
    </row>
    <row r="995">
      <c r="A995" s="192" t="s">
        <v>107</v>
      </c>
      <c r="B995" s="193">
        <v>45583.70833333333</v>
      </c>
      <c r="C995" s="192">
        <v>-5.37</v>
      </c>
      <c r="D995" s="192" t="s">
        <v>753</v>
      </c>
      <c r="E995" s="192" t="s">
        <v>754</v>
      </c>
      <c r="F995" s="194" t="s">
        <v>613</v>
      </c>
    </row>
    <row r="996">
      <c r="A996" s="192" t="s">
        <v>107</v>
      </c>
      <c r="B996" s="193">
        <v>45587.70833333333</v>
      </c>
      <c r="C996" s="192">
        <v>-5.31</v>
      </c>
      <c r="D996" s="192" t="s">
        <v>755</v>
      </c>
      <c r="E996" s="192" t="s">
        <v>756</v>
      </c>
      <c r="F996" s="194" t="s">
        <v>613</v>
      </c>
    </row>
    <row r="997">
      <c r="A997" s="192" t="s">
        <v>107</v>
      </c>
      <c r="B997" s="193">
        <v>45535.70833333333</v>
      </c>
      <c r="C997" s="192">
        <v>-5.26</v>
      </c>
      <c r="D997" s="192" t="s">
        <v>678</v>
      </c>
      <c r="E997" s="192" t="s">
        <v>679</v>
      </c>
      <c r="F997" s="194" t="s">
        <v>613</v>
      </c>
    </row>
    <row r="998">
      <c r="A998" s="192" t="s">
        <v>107</v>
      </c>
      <c r="B998" s="193">
        <v>45256.66666666667</v>
      </c>
      <c r="C998" s="192">
        <v>-4.75</v>
      </c>
      <c r="D998" s="192" t="s">
        <v>696</v>
      </c>
      <c r="E998" s="192" t="s">
        <v>697</v>
      </c>
      <c r="F998" s="194" t="s">
        <v>613</v>
      </c>
    </row>
    <row r="999">
      <c r="A999" s="192" t="s">
        <v>107</v>
      </c>
      <c r="B999" s="193">
        <v>45268.66666666667</v>
      </c>
      <c r="C999" s="192">
        <v>-4.06</v>
      </c>
      <c r="D999" s="192" t="s">
        <v>692</v>
      </c>
      <c r="E999" s="192" t="s">
        <v>720</v>
      </c>
      <c r="F999" s="194" t="s">
        <v>613</v>
      </c>
    </row>
    <row r="1000">
      <c r="A1000" s="192" t="s">
        <v>107</v>
      </c>
      <c r="B1000" s="193">
        <v>45578.70833333333</v>
      </c>
      <c r="C1000" s="192">
        <v>-4.06</v>
      </c>
      <c r="D1000" s="192" t="s">
        <v>692</v>
      </c>
      <c r="E1000" s="192" t="s">
        <v>693</v>
      </c>
      <c r="F1000" s="194" t="s">
        <v>613</v>
      </c>
    </row>
    <row r="1001">
      <c r="A1001" s="192" t="s">
        <v>107</v>
      </c>
      <c r="B1001" s="193">
        <v>45537.70833333333</v>
      </c>
      <c r="C1001" s="192">
        <v>-3.59</v>
      </c>
      <c r="D1001" s="192" t="s">
        <v>692</v>
      </c>
      <c r="E1001" s="192" t="s">
        <v>693</v>
      </c>
      <c r="F1001" s="194" t="s">
        <v>613</v>
      </c>
    </row>
    <row r="1002">
      <c r="A1002" s="192" t="s">
        <v>107</v>
      </c>
      <c r="B1002" s="193">
        <v>45513.70833333333</v>
      </c>
      <c r="C1002" s="192">
        <v>-3.42</v>
      </c>
      <c r="D1002" s="192" t="s">
        <v>694</v>
      </c>
      <c r="E1002" s="192" t="s">
        <v>695</v>
      </c>
      <c r="F1002" s="194" t="s">
        <v>613</v>
      </c>
    </row>
    <row r="1003">
      <c r="A1003" s="192" t="s">
        <v>107</v>
      </c>
      <c r="B1003" s="193">
        <v>45332.66666666667</v>
      </c>
      <c r="C1003" s="192">
        <v>-3.29</v>
      </c>
      <c r="D1003" s="192" t="s">
        <v>694</v>
      </c>
      <c r="E1003" s="192" t="s">
        <v>695</v>
      </c>
      <c r="F1003" s="194" t="s">
        <v>613</v>
      </c>
    </row>
    <row r="1004">
      <c r="A1004" s="192" t="s">
        <v>107</v>
      </c>
      <c r="B1004" s="193">
        <v>45519.70833333333</v>
      </c>
      <c r="C1004" s="192">
        <v>-2.79</v>
      </c>
      <c r="D1004" s="192" t="s">
        <v>692</v>
      </c>
      <c r="E1004" s="192" t="s">
        <v>693</v>
      </c>
      <c r="F1004" s="194" t="s">
        <v>613</v>
      </c>
    </row>
    <row r="1005">
      <c r="A1005" s="192" t="s">
        <v>107</v>
      </c>
      <c r="B1005" s="193">
        <v>45394.70833333333</v>
      </c>
      <c r="C1005" s="192">
        <v>-2.65</v>
      </c>
      <c r="D1005" s="192" t="s">
        <v>744</v>
      </c>
      <c r="E1005" s="192" t="s">
        <v>745</v>
      </c>
      <c r="F1005" s="194" t="s">
        <v>613</v>
      </c>
    </row>
    <row r="1006">
      <c r="A1006" s="192" t="s">
        <v>107</v>
      </c>
      <c r="B1006" s="193">
        <v>45505.70833333333</v>
      </c>
      <c r="C1006" s="192">
        <v>-2.03</v>
      </c>
      <c r="D1006" s="192" t="s">
        <v>692</v>
      </c>
      <c r="E1006" s="192" t="s">
        <v>693</v>
      </c>
      <c r="F1006" s="194" t="s">
        <v>613</v>
      </c>
    </row>
    <row r="1007">
      <c r="A1007" s="192" t="s">
        <v>123</v>
      </c>
      <c r="B1007" s="193">
        <v>45274.66666666667</v>
      </c>
      <c r="C1007" s="192">
        <v>-100.0</v>
      </c>
      <c r="D1007" s="192" t="s">
        <v>757</v>
      </c>
      <c r="E1007" s="192" t="s">
        <v>758</v>
      </c>
      <c r="F1007" s="194" t="s">
        <v>613</v>
      </c>
    </row>
    <row r="1008">
      <c r="A1008" s="192" t="s">
        <v>123</v>
      </c>
      <c r="B1008" s="193">
        <v>45541.70833333333</v>
      </c>
      <c r="C1008" s="192">
        <v>-100.0</v>
      </c>
      <c r="D1008" s="192" t="s">
        <v>759</v>
      </c>
      <c r="E1008" s="192" t="s">
        <v>760</v>
      </c>
      <c r="F1008" s="194" t="s">
        <v>613</v>
      </c>
    </row>
    <row r="1009">
      <c r="A1009" s="192" t="s">
        <v>123</v>
      </c>
      <c r="B1009" s="193">
        <v>45344.66666666667</v>
      </c>
      <c r="C1009" s="192">
        <v>-95.98</v>
      </c>
      <c r="D1009" s="192" t="s">
        <v>761</v>
      </c>
      <c r="E1009" s="192" t="s">
        <v>762</v>
      </c>
      <c r="F1009" s="194" t="s">
        <v>613</v>
      </c>
    </row>
    <row r="1010">
      <c r="A1010" s="192" t="s">
        <v>123</v>
      </c>
      <c r="B1010" s="193">
        <v>45586.70833333333</v>
      </c>
      <c r="C1010" s="192">
        <v>-87.53</v>
      </c>
      <c r="D1010" s="192" t="s">
        <v>763</v>
      </c>
      <c r="E1010" s="192" t="s">
        <v>764</v>
      </c>
      <c r="F1010" s="194" t="s">
        <v>613</v>
      </c>
    </row>
    <row r="1011">
      <c r="A1011" s="192" t="s">
        <v>123</v>
      </c>
      <c r="B1011" s="193">
        <v>45578.70833333333</v>
      </c>
      <c r="C1011" s="192">
        <v>-72.33</v>
      </c>
      <c r="D1011" s="192" t="s">
        <v>765</v>
      </c>
      <c r="E1011" s="192" t="s">
        <v>766</v>
      </c>
      <c r="F1011" s="194" t="s">
        <v>613</v>
      </c>
    </row>
    <row r="1012">
      <c r="A1012" s="192" t="s">
        <v>123</v>
      </c>
      <c r="B1012" s="193">
        <v>45422.70833333333</v>
      </c>
      <c r="C1012" s="192">
        <v>-56.9</v>
      </c>
      <c r="D1012" s="192" t="s">
        <v>767</v>
      </c>
      <c r="E1012" s="192" t="s">
        <v>768</v>
      </c>
      <c r="F1012" s="194" t="s">
        <v>613</v>
      </c>
    </row>
    <row r="1013">
      <c r="A1013" s="192" t="s">
        <v>123</v>
      </c>
      <c r="B1013" s="193">
        <v>45372.70833333333</v>
      </c>
      <c r="C1013" s="192">
        <v>-47.71</v>
      </c>
      <c r="D1013" s="192" t="s">
        <v>769</v>
      </c>
      <c r="E1013" s="192" t="s">
        <v>770</v>
      </c>
      <c r="F1013" s="194" t="s">
        <v>613</v>
      </c>
    </row>
    <row r="1014">
      <c r="A1014" s="192" t="s">
        <v>123</v>
      </c>
      <c r="B1014" s="193">
        <v>45450.70833333333</v>
      </c>
      <c r="C1014" s="192">
        <v>-37.33</v>
      </c>
      <c r="D1014" s="192" t="s">
        <v>771</v>
      </c>
      <c r="E1014" s="192" t="s">
        <v>772</v>
      </c>
      <c r="F1014" s="194" t="s">
        <v>613</v>
      </c>
    </row>
    <row r="1015">
      <c r="A1015" s="192" t="s">
        <v>123</v>
      </c>
      <c r="B1015" s="193">
        <v>45584.70833333333</v>
      </c>
      <c r="C1015" s="192">
        <v>-33.21</v>
      </c>
      <c r="D1015" s="192" t="s">
        <v>773</v>
      </c>
      <c r="E1015" s="192" t="s">
        <v>774</v>
      </c>
      <c r="F1015" s="194" t="s">
        <v>613</v>
      </c>
    </row>
    <row r="1016">
      <c r="A1016" s="192" t="s">
        <v>123</v>
      </c>
      <c r="B1016" s="193">
        <v>45588.70833333333</v>
      </c>
      <c r="C1016" s="192">
        <v>-32.44</v>
      </c>
      <c r="D1016" s="192" t="s">
        <v>775</v>
      </c>
      <c r="E1016" s="192" t="s">
        <v>776</v>
      </c>
      <c r="F1016" s="194" t="s">
        <v>613</v>
      </c>
    </row>
    <row r="1017">
      <c r="A1017" s="192" t="s">
        <v>123</v>
      </c>
      <c r="B1017" s="193">
        <v>45586.70833333333</v>
      </c>
      <c r="C1017" s="192">
        <v>-31.53</v>
      </c>
      <c r="D1017" s="192" t="s">
        <v>777</v>
      </c>
      <c r="E1017" s="192" t="s">
        <v>778</v>
      </c>
      <c r="F1017" s="194" t="s">
        <v>613</v>
      </c>
    </row>
    <row r="1018">
      <c r="A1018" s="192" t="s">
        <v>123</v>
      </c>
      <c r="B1018" s="193">
        <v>45482.70833333333</v>
      </c>
      <c r="C1018" s="192">
        <v>-30.76</v>
      </c>
      <c r="D1018" s="192" t="s">
        <v>779</v>
      </c>
      <c r="E1018" s="192" t="s">
        <v>780</v>
      </c>
      <c r="F1018" s="194" t="s">
        <v>613</v>
      </c>
    </row>
    <row r="1019">
      <c r="A1019" s="192" t="s">
        <v>123</v>
      </c>
      <c r="B1019" s="193">
        <v>45451.70833333333</v>
      </c>
      <c r="C1019" s="192">
        <v>-27.26</v>
      </c>
      <c r="D1019" s="192" t="s">
        <v>781</v>
      </c>
      <c r="E1019" s="192" t="s">
        <v>782</v>
      </c>
      <c r="F1019" s="194" t="s">
        <v>613</v>
      </c>
    </row>
    <row r="1020">
      <c r="A1020" s="192" t="s">
        <v>123</v>
      </c>
      <c r="B1020" s="193">
        <v>45505.70833333333</v>
      </c>
      <c r="C1020" s="192">
        <v>-26.87</v>
      </c>
      <c r="D1020" s="192" t="s">
        <v>721</v>
      </c>
      <c r="E1020" s="192" t="s">
        <v>783</v>
      </c>
      <c r="F1020" s="194" t="s">
        <v>613</v>
      </c>
    </row>
    <row r="1021">
      <c r="A1021" s="192" t="s">
        <v>123</v>
      </c>
      <c r="B1021" s="193">
        <v>45393.70833333333</v>
      </c>
      <c r="C1021" s="192">
        <v>-25.0</v>
      </c>
      <c r="D1021" s="192" t="s">
        <v>784</v>
      </c>
      <c r="E1021" s="192" t="s">
        <v>785</v>
      </c>
      <c r="F1021" s="194" t="s">
        <v>613</v>
      </c>
    </row>
    <row r="1022">
      <c r="A1022" s="192" t="s">
        <v>123</v>
      </c>
      <c r="B1022" s="193">
        <v>45426.70833333333</v>
      </c>
      <c r="C1022" s="192">
        <v>-25.0</v>
      </c>
      <c r="D1022" s="192" t="s">
        <v>784</v>
      </c>
      <c r="E1022" s="192" t="s">
        <v>785</v>
      </c>
      <c r="F1022" s="194" t="s">
        <v>613</v>
      </c>
    </row>
    <row r="1023">
      <c r="A1023" s="192" t="s">
        <v>123</v>
      </c>
      <c r="B1023" s="193">
        <v>45476.70833333333</v>
      </c>
      <c r="C1023" s="192">
        <v>-25.0</v>
      </c>
      <c r="D1023" s="192" t="s">
        <v>692</v>
      </c>
      <c r="E1023" s="192" t="s">
        <v>786</v>
      </c>
      <c r="F1023" s="194" t="s">
        <v>613</v>
      </c>
    </row>
    <row r="1024">
      <c r="A1024" s="192" t="s">
        <v>123</v>
      </c>
      <c r="B1024" s="193">
        <v>45482.70833333333</v>
      </c>
      <c r="C1024" s="192">
        <v>-25.0</v>
      </c>
      <c r="D1024" s="192" t="s">
        <v>784</v>
      </c>
      <c r="E1024" s="192" t="s">
        <v>785</v>
      </c>
      <c r="F1024" s="194" t="s">
        <v>613</v>
      </c>
    </row>
    <row r="1025">
      <c r="A1025" s="192" t="s">
        <v>123</v>
      </c>
      <c r="B1025" s="193">
        <v>45554.70833333333</v>
      </c>
      <c r="C1025" s="192">
        <v>-25.0</v>
      </c>
      <c r="D1025" s="192" t="s">
        <v>692</v>
      </c>
      <c r="E1025" s="192" t="s">
        <v>786</v>
      </c>
      <c r="F1025" s="194" t="s">
        <v>613</v>
      </c>
    </row>
    <row r="1026">
      <c r="A1026" s="192" t="s">
        <v>123</v>
      </c>
      <c r="B1026" s="193">
        <v>45559.70833333333</v>
      </c>
      <c r="C1026" s="192">
        <v>-25.0</v>
      </c>
      <c r="D1026" s="192" t="s">
        <v>787</v>
      </c>
      <c r="E1026" s="192" t="s">
        <v>788</v>
      </c>
      <c r="F1026" s="194" t="s">
        <v>613</v>
      </c>
    </row>
    <row r="1027">
      <c r="A1027" s="192" t="s">
        <v>123</v>
      </c>
      <c r="B1027" s="193">
        <v>45435.70833333333</v>
      </c>
      <c r="C1027" s="192">
        <v>-23.76</v>
      </c>
      <c r="D1027" s="192" t="s">
        <v>690</v>
      </c>
      <c r="E1027" s="192" t="s">
        <v>789</v>
      </c>
      <c r="F1027" s="194" t="s">
        <v>613</v>
      </c>
    </row>
    <row r="1028">
      <c r="A1028" s="192" t="s">
        <v>123</v>
      </c>
      <c r="B1028" s="193">
        <v>45548.70833333333</v>
      </c>
      <c r="C1028" s="192">
        <v>-23.76</v>
      </c>
      <c r="D1028" s="192" t="s">
        <v>790</v>
      </c>
      <c r="E1028" s="192" t="s">
        <v>791</v>
      </c>
      <c r="F1028" s="194" t="s">
        <v>613</v>
      </c>
    </row>
    <row r="1029">
      <c r="A1029" s="192" t="s">
        <v>123</v>
      </c>
      <c r="B1029" s="193">
        <v>45351.66666666667</v>
      </c>
      <c r="C1029" s="192">
        <v>-23.51</v>
      </c>
      <c r="D1029" s="192" t="s">
        <v>742</v>
      </c>
      <c r="E1029" s="192" t="s">
        <v>792</v>
      </c>
      <c r="F1029" s="194" t="s">
        <v>613</v>
      </c>
    </row>
    <row r="1030">
      <c r="A1030" s="192" t="s">
        <v>123</v>
      </c>
      <c r="B1030" s="193">
        <v>45325.66666666667</v>
      </c>
      <c r="C1030" s="192">
        <v>-23.38</v>
      </c>
      <c r="D1030" s="192" t="s">
        <v>793</v>
      </c>
      <c r="E1030" s="192" t="s">
        <v>794</v>
      </c>
      <c r="F1030" s="194" t="s">
        <v>613</v>
      </c>
    </row>
    <row r="1031">
      <c r="A1031" s="192" t="s">
        <v>123</v>
      </c>
      <c r="B1031" s="193">
        <v>45540.70833333333</v>
      </c>
      <c r="C1031" s="192">
        <v>-22.8</v>
      </c>
      <c r="D1031" s="192" t="s">
        <v>795</v>
      </c>
      <c r="E1031" s="192" t="s">
        <v>796</v>
      </c>
      <c r="F1031" s="194" t="s">
        <v>613</v>
      </c>
    </row>
    <row r="1032">
      <c r="A1032" s="192" t="s">
        <v>123</v>
      </c>
      <c r="B1032" s="193">
        <v>45373.70833333333</v>
      </c>
      <c r="C1032" s="192">
        <v>-22.16</v>
      </c>
      <c r="D1032" s="192" t="s">
        <v>781</v>
      </c>
      <c r="E1032" s="192" t="s">
        <v>782</v>
      </c>
      <c r="F1032" s="194" t="s">
        <v>613</v>
      </c>
    </row>
    <row r="1033">
      <c r="A1033" s="192" t="s">
        <v>123</v>
      </c>
      <c r="B1033" s="193">
        <v>45415.70833333333</v>
      </c>
      <c r="C1033" s="192">
        <v>-22.05</v>
      </c>
      <c r="D1033" s="192" t="s">
        <v>721</v>
      </c>
      <c r="E1033" s="192" t="s">
        <v>783</v>
      </c>
      <c r="F1033" s="194" t="s">
        <v>613</v>
      </c>
    </row>
    <row r="1034">
      <c r="A1034" s="192" t="s">
        <v>123</v>
      </c>
      <c r="B1034" s="193">
        <v>45304.66666666667</v>
      </c>
      <c r="C1034" s="192">
        <v>-21.28</v>
      </c>
      <c r="D1034" s="192" t="s">
        <v>797</v>
      </c>
      <c r="E1034" s="192" t="s">
        <v>798</v>
      </c>
      <c r="F1034" s="194" t="s">
        <v>613</v>
      </c>
    </row>
    <row r="1035">
      <c r="A1035" s="192" t="s">
        <v>123</v>
      </c>
      <c r="B1035" s="193">
        <v>45276.66666666667</v>
      </c>
      <c r="C1035" s="192">
        <v>-20.0</v>
      </c>
      <c r="D1035" s="192" t="s">
        <v>797</v>
      </c>
      <c r="E1035" s="192" t="s">
        <v>798</v>
      </c>
      <c r="F1035" s="194" t="s">
        <v>613</v>
      </c>
    </row>
    <row r="1036">
      <c r="A1036" s="192" t="s">
        <v>123</v>
      </c>
      <c r="B1036" s="193">
        <v>45307.66666666667</v>
      </c>
      <c r="C1036" s="192">
        <v>-20.0</v>
      </c>
      <c r="D1036" s="192" t="s">
        <v>784</v>
      </c>
      <c r="E1036" s="192" t="s">
        <v>785</v>
      </c>
      <c r="F1036" s="194" t="s">
        <v>613</v>
      </c>
    </row>
    <row r="1037">
      <c r="A1037" s="192" t="s">
        <v>123</v>
      </c>
      <c r="B1037" s="193">
        <v>45385.70833333333</v>
      </c>
      <c r="C1037" s="192">
        <v>-19.42</v>
      </c>
      <c r="D1037" s="192" t="s">
        <v>799</v>
      </c>
      <c r="E1037" s="192" t="s">
        <v>800</v>
      </c>
      <c r="F1037" s="194" t="s">
        <v>613</v>
      </c>
    </row>
    <row r="1038">
      <c r="A1038" s="192" t="s">
        <v>123</v>
      </c>
      <c r="B1038" s="193">
        <v>45594.70833333333</v>
      </c>
      <c r="C1038" s="192">
        <v>-18.43</v>
      </c>
      <c r="D1038" s="192" t="s">
        <v>694</v>
      </c>
      <c r="E1038" s="192" t="s">
        <v>801</v>
      </c>
      <c r="F1038" s="194" t="s">
        <v>613</v>
      </c>
    </row>
    <row r="1039">
      <c r="A1039" s="192" t="s">
        <v>123</v>
      </c>
      <c r="B1039" s="193">
        <v>45596.70833333333</v>
      </c>
      <c r="C1039" s="192">
        <v>-18.34</v>
      </c>
      <c r="D1039" s="192" t="s">
        <v>678</v>
      </c>
      <c r="E1039" s="192" t="s">
        <v>802</v>
      </c>
      <c r="F1039" s="194" t="s">
        <v>613</v>
      </c>
    </row>
    <row r="1040">
      <c r="A1040" s="192" t="s">
        <v>123</v>
      </c>
      <c r="B1040" s="193">
        <v>45458.70833333333</v>
      </c>
      <c r="C1040" s="192">
        <v>-17.87</v>
      </c>
      <c r="D1040" s="192" t="s">
        <v>678</v>
      </c>
      <c r="E1040" s="192" t="s">
        <v>802</v>
      </c>
      <c r="F1040" s="194" t="s">
        <v>613</v>
      </c>
    </row>
    <row r="1041">
      <c r="A1041" s="192" t="s">
        <v>123</v>
      </c>
      <c r="B1041" s="193">
        <v>45489.70833333333</v>
      </c>
      <c r="C1041" s="192">
        <v>-16.57</v>
      </c>
      <c r="D1041" s="192" t="s">
        <v>803</v>
      </c>
      <c r="E1041" s="192" t="s">
        <v>804</v>
      </c>
      <c r="F1041" s="194" t="s">
        <v>613</v>
      </c>
    </row>
    <row r="1042">
      <c r="A1042" s="192" t="s">
        <v>123</v>
      </c>
      <c r="B1042" s="193">
        <v>45274.66666666667</v>
      </c>
      <c r="C1042" s="192">
        <v>-16.52</v>
      </c>
      <c r="D1042" s="192" t="s">
        <v>715</v>
      </c>
      <c r="E1042" s="192" t="s">
        <v>805</v>
      </c>
      <c r="F1042" s="194" t="s">
        <v>613</v>
      </c>
    </row>
    <row r="1043">
      <c r="A1043" s="192" t="s">
        <v>123</v>
      </c>
      <c r="B1043" s="193">
        <v>45339.66666666667</v>
      </c>
      <c r="C1043" s="192">
        <v>-16.19</v>
      </c>
      <c r="D1043" s="192" t="s">
        <v>692</v>
      </c>
      <c r="E1043" s="192" t="s">
        <v>806</v>
      </c>
      <c r="F1043" s="194" t="s">
        <v>613</v>
      </c>
    </row>
    <row r="1044">
      <c r="A1044" s="192" t="s">
        <v>123</v>
      </c>
      <c r="B1044" s="193">
        <v>45450.70833333333</v>
      </c>
      <c r="C1044" s="192">
        <v>-16.05</v>
      </c>
      <c r="D1044" s="192" t="s">
        <v>807</v>
      </c>
      <c r="E1044" s="192" t="s">
        <v>808</v>
      </c>
      <c r="F1044" s="194" t="s">
        <v>613</v>
      </c>
    </row>
    <row r="1045">
      <c r="A1045" s="192" t="s">
        <v>123</v>
      </c>
      <c r="B1045" s="193">
        <v>45241.66666666667</v>
      </c>
      <c r="C1045" s="192">
        <v>-15.97</v>
      </c>
      <c r="D1045" s="192" t="s">
        <v>694</v>
      </c>
      <c r="E1045" s="192" t="s">
        <v>809</v>
      </c>
      <c r="F1045" s="194" t="s">
        <v>613</v>
      </c>
    </row>
    <row r="1046">
      <c r="A1046" s="192" t="s">
        <v>123</v>
      </c>
      <c r="B1046" s="193">
        <v>45246.66666666667</v>
      </c>
      <c r="C1046" s="192">
        <v>-14.48</v>
      </c>
      <c r="D1046" s="192" t="s">
        <v>678</v>
      </c>
      <c r="E1046" s="192" t="s">
        <v>802</v>
      </c>
      <c r="F1046" s="194" t="s">
        <v>613</v>
      </c>
    </row>
    <row r="1047">
      <c r="A1047" s="192" t="s">
        <v>123</v>
      </c>
      <c r="B1047" s="193">
        <v>45372.70833333333</v>
      </c>
      <c r="C1047" s="192">
        <v>-14.34</v>
      </c>
      <c r="D1047" s="192" t="s">
        <v>769</v>
      </c>
      <c r="E1047" s="192" t="s">
        <v>810</v>
      </c>
      <c r="F1047" s="194" t="s">
        <v>613</v>
      </c>
    </row>
    <row r="1048">
      <c r="A1048" s="192" t="s">
        <v>123</v>
      </c>
      <c r="B1048" s="193">
        <v>45596.70833333333</v>
      </c>
      <c r="C1048" s="192">
        <v>-13.7</v>
      </c>
      <c r="D1048" s="192" t="s">
        <v>811</v>
      </c>
      <c r="E1048" s="192" t="s">
        <v>812</v>
      </c>
      <c r="F1048" s="194" t="s">
        <v>613</v>
      </c>
    </row>
    <row r="1049">
      <c r="A1049" s="192" t="s">
        <v>123</v>
      </c>
      <c r="B1049" s="193">
        <v>45408.70833333333</v>
      </c>
      <c r="C1049" s="192">
        <v>-12.81</v>
      </c>
      <c r="D1049" s="192" t="s">
        <v>803</v>
      </c>
      <c r="E1049" s="192" t="s">
        <v>804</v>
      </c>
      <c r="F1049" s="194" t="s">
        <v>613</v>
      </c>
    </row>
    <row r="1050">
      <c r="A1050" s="192" t="s">
        <v>123</v>
      </c>
      <c r="B1050" s="193">
        <v>45450.70833333333</v>
      </c>
      <c r="C1050" s="192">
        <v>-12.81</v>
      </c>
      <c r="D1050" s="192" t="s">
        <v>781</v>
      </c>
      <c r="E1050" s="192" t="s">
        <v>782</v>
      </c>
      <c r="F1050" s="194" t="s">
        <v>613</v>
      </c>
    </row>
    <row r="1051">
      <c r="A1051" s="192" t="s">
        <v>123</v>
      </c>
      <c r="B1051" s="193">
        <v>45561.70833333333</v>
      </c>
      <c r="C1051" s="192">
        <v>-12.5</v>
      </c>
      <c r="D1051" s="192" t="s">
        <v>813</v>
      </c>
      <c r="E1051" s="192" t="s">
        <v>814</v>
      </c>
      <c r="F1051" s="194" t="s">
        <v>613</v>
      </c>
    </row>
    <row r="1052">
      <c r="A1052" s="192" t="s">
        <v>123</v>
      </c>
      <c r="B1052" s="193">
        <v>45422.70833333333</v>
      </c>
      <c r="C1052" s="192">
        <v>-12.32</v>
      </c>
      <c r="D1052" s="192" t="s">
        <v>815</v>
      </c>
      <c r="E1052" s="192" t="s">
        <v>816</v>
      </c>
      <c r="F1052" s="194" t="s">
        <v>613</v>
      </c>
    </row>
    <row r="1053">
      <c r="A1053" s="192" t="s">
        <v>123</v>
      </c>
      <c r="B1053" s="193">
        <v>45305.66666666667</v>
      </c>
      <c r="C1053" s="192">
        <v>-11.81</v>
      </c>
      <c r="D1053" s="192" t="s">
        <v>817</v>
      </c>
      <c r="E1053" s="192" t="s">
        <v>818</v>
      </c>
      <c r="F1053" s="194" t="s">
        <v>613</v>
      </c>
    </row>
    <row r="1054">
      <c r="A1054" s="192" t="s">
        <v>123</v>
      </c>
      <c r="B1054" s="193">
        <v>45345.66666666667</v>
      </c>
      <c r="C1054" s="192">
        <v>-11.81</v>
      </c>
      <c r="D1054" s="192" t="s">
        <v>819</v>
      </c>
      <c r="E1054" s="192" t="s">
        <v>820</v>
      </c>
      <c r="F1054" s="194" t="s">
        <v>613</v>
      </c>
    </row>
    <row r="1055">
      <c r="A1055" s="192" t="s">
        <v>123</v>
      </c>
      <c r="B1055" s="193">
        <v>45411.70833333333</v>
      </c>
      <c r="C1055" s="192">
        <v>-10.72</v>
      </c>
      <c r="D1055" s="192" t="s">
        <v>678</v>
      </c>
      <c r="E1055" s="192" t="s">
        <v>802</v>
      </c>
      <c r="F1055" s="194" t="s">
        <v>613</v>
      </c>
    </row>
    <row r="1056">
      <c r="A1056" s="192" t="s">
        <v>123</v>
      </c>
      <c r="B1056" s="193">
        <v>45457.70833333333</v>
      </c>
      <c r="C1056" s="192">
        <v>-10.66</v>
      </c>
      <c r="D1056" s="192" t="s">
        <v>821</v>
      </c>
      <c r="E1056" s="192" t="s">
        <v>822</v>
      </c>
      <c r="F1056" s="194" t="s">
        <v>613</v>
      </c>
    </row>
    <row r="1057">
      <c r="A1057" s="192" t="s">
        <v>123</v>
      </c>
      <c r="B1057" s="193">
        <v>45444.70833333333</v>
      </c>
      <c r="C1057" s="192">
        <v>-10.04</v>
      </c>
      <c r="D1057" s="192" t="s">
        <v>721</v>
      </c>
      <c r="E1057" s="192" t="s">
        <v>783</v>
      </c>
      <c r="F1057" s="194" t="s">
        <v>613</v>
      </c>
    </row>
    <row r="1058">
      <c r="A1058" s="192" t="s">
        <v>123</v>
      </c>
      <c r="B1058" s="193">
        <v>45420.70833333333</v>
      </c>
      <c r="C1058" s="192">
        <v>-9.97</v>
      </c>
      <c r="D1058" s="192" t="s">
        <v>823</v>
      </c>
      <c r="E1058" s="192" t="s">
        <v>824</v>
      </c>
      <c r="F1058" s="194" t="s">
        <v>613</v>
      </c>
    </row>
    <row r="1059">
      <c r="A1059" s="192" t="s">
        <v>123</v>
      </c>
      <c r="B1059" s="193">
        <v>45529.70833333333</v>
      </c>
      <c r="C1059" s="192">
        <v>-9.67</v>
      </c>
      <c r="D1059" s="192" t="s">
        <v>825</v>
      </c>
      <c r="E1059" s="192" t="s">
        <v>826</v>
      </c>
      <c r="F1059" s="194" t="s">
        <v>613</v>
      </c>
    </row>
    <row r="1060">
      <c r="A1060" s="192" t="s">
        <v>123</v>
      </c>
      <c r="B1060" s="193">
        <v>45508.70833333333</v>
      </c>
      <c r="C1060" s="192">
        <v>-9.33</v>
      </c>
      <c r="D1060" s="192" t="s">
        <v>787</v>
      </c>
      <c r="E1060" s="192" t="s">
        <v>788</v>
      </c>
      <c r="F1060" s="194" t="s">
        <v>613</v>
      </c>
    </row>
    <row r="1061">
      <c r="A1061" s="192" t="s">
        <v>123</v>
      </c>
      <c r="B1061" s="193">
        <v>45486.70833333333</v>
      </c>
      <c r="C1061" s="192">
        <v>-9.31</v>
      </c>
      <c r="D1061" s="192" t="s">
        <v>827</v>
      </c>
      <c r="E1061" s="192" t="s">
        <v>828</v>
      </c>
      <c r="F1061" s="194" t="s">
        <v>613</v>
      </c>
    </row>
    <row r="1062">
      <c r="A1062" s="192" t="s">
        <v>123</v>
      </c>
      <c r="B1062" s="193">
        <v>45422.70833333333</v>
      </c>
      <c r="C1062" s="192">
        <v>-9.0</v>
      </c>
      <c r="D1062" s="192" t="s">
        <v>829</v>
      </c>
      <c r="E1062" s="192" t="s">
        <v>830</v>
      </c>
      <c r="F1062" s="194" t="s">
        <v>613</v>
      </c>
    </row>
    <row r="1063">
      <c r="A1063" s="192" t="s">
        <v>123</v>
      </c>
      <c r="B1063" s="193">
        <v>45362.70833333333</v>
      </c>
      <c r="C1063" s="192">
        <v>-8.94</v>
      </c>
      <c r="D1063" s="192" t="s">
        <v>742</v>
      </c>
      <c r="E1063" s="192" t="s">
        <v>792</v>
      </c>
      <c r="F1063" s="194" t="s">
        <v>613</v>
      </c>
    </row>
    <row r="1064">
      <c r="A1064" s="192" t="s">
        <v>123</v>
      </c>
      <c r="B1064" s="193">
        <v>45583.70833333333</v>
      </c>
      <c r="C1064" s="192">
        <v>-8.59</v>
      </c>
      <c r="D1064" s="192" t="s">
        <v>831</v>
      </c>
      <c r="E1064" s="192" t="s">
        <v>832</v>
      </c>
      <c r="F1064" s="194" t="s">
        <v>613</v>
      </c>
    </row>
    <row r="1065">
      <c r="A1065" s="192" t="s">
        <v>123</v>
      </c>
      <c r="B1065" s="193">
        <v>45416.70833333333</v>
      </c>
      <c r="C1065" s="192">
        <v>-8.17</v>
      </c>
      <c r="D1065" s="192" t="s">
        <v>721</v>
      </c>
      <c r="E1065" s="192" t="s">
        <v>783</v>
      </c>
      <c r="F1065" s="194" t="s">
        <v>613</v>
      </c>
    </row>
    <row r="1066">
      <c r="A1066" s="192" t="s">
        <v>123</v>
      </c>
      <c r="B1066" s="193">
        <v>45567.70833333333</v>
      </c>
      <c r="C1066" s="192">
        <v>-7.7</v>
      </c>
      <c r="D1066" s="192" t="s">
        <v>692</v>
      </c>
      <c r="E1066" s="192" t="s">
        <v>833</v>
      </c>
      <c r="F1066" s="194" t="s">
        <v>613</v>
      </c>
    </row>
    <row r="1067">
      <c r="A1067" s="192" t="s">
        <v>123</v>
      </c>
      <c r="B1067" s="193">
        <v>45312.66666666667</v>
      </c>
      <c r="C1067" s="192">
        <v>-6.74</v>
      </c>
      <c r="D1067" s="192" t="s">
        <v>692</v>
      </c>
      <c r="E1067" s="192" t="s">
        <v>806</v>
      </c>
      <c r="F1067" s="194" t="s">
        <v>613</v>
      </c>
    </row>
    <row r="1068">
      <c r="A1068" s="192" t="s">
        <v>123</v>
      </c>
      <c r="B1068" s="193">
        <v>45340.66666666667</v>
      </c>
      <c r="C1068" s="192">
        <v>-6.48</v>
      </c>
      <c r="D1068" s="192" t="s">
        <v>692</v>
      </c>
      <c r="E1068" s="192" t="s">
        <v>806</v>
      </c>
      <c r="F1068" s="194" t="s">
        <v>613</v>
      </c>
    </row>
    <row r="1069">
      <c r="A1069" s="192" t="s">
        <v>123</v>
      </c>
      <c r="B1069" s="193">
        <v>45259.66666666667</v>
      </c>
      <c r="C1069" s="192">
        <v>-6.18</v>
      </c>
      <c r="D1069" s="192" t="s">
        <v>834</v>
      </c>
      <c r="E1069" s="192" t="s">
        <v>835</v>
      </c>
      <c r="F1069" s="194" t="s">
        <v>613</v>
      </c>
    </row>
    <row r="1070">
      <c r="A1070" s="192" t="s">
        <v>123</v>
      </c>
      <c r="B1070" s="193">
        <v>45301.66666666667</v>
      </c>
      <c r="C1070" s="192">
        <v>-6.18</v>
      </c>
      <c r="D1070" s="192" t="s">
        <v>834</v>
      </c>
      <c r="E1070" s="192" t="s">
        <v>835</v>
      </c>
      <c r="F1070" s="194" t="s">
        <v>613</v>
      </c>
    </row>
    <row r="1071">
      <c r="A1071" s="192" t="s">
        <v>123</v>
      </c>
      <c r="B1071" s="193">
        <v>45524.70833333333</v>
      </c>
      <c r="C1071" s="192">
        <v>-6.1</v>
      </c>
      <c r="D1071" s="192" t="s">
        <v>787</v>
      </c>
      <c r="E1071" s="192" t="s">
        <v>788</v>
      </c>
      <c r="F1071" s="194" t="s">
        <v>613</v>
      </c>
    </row>
    <row r="1072">
      <c r="A1072" s="192" t="s">
        <v>123</v>
      </c>
      <c r="B1072" s="193">
        <v>45276.66666666667</v>
      </c>
      <c r="C1072" s="192">
        <v>-5.83</v>
      </c>
      <c r="D1072" s="192" t="s">
        <v>742</v>
      </c>
      <c r="E1072" s="192" t="s">
        <v>792</v>
      </c>
      <c r="F1072" s="194" t="s">
        <v>613</v>
      </c>
    </row>
    <row r="1073">
      <c r="A1073" s="192" t="s">
        <v>123</v>
      </c>
      <c r="B1073" s="193">
        <v>45409.70833333333</v>
      </c>
      <c r="C1073" s="192">
        <v>-5.67</v>
      </c>
      <c r="D1073" s="192" t="s">
        <v>692</v>
      </c>
      <c r="E1073" s="192" t="s">
        <v>833</v>
      </c>
      <c r="F1073" s="194" t="s">
        <v>613</v>
      </c>
    </row>
    <row r="1074">
      <c r="A1074" s="192" t="s">
        <v>123</v>
      </c>
      <c r="B1074" s="193">
        <v>45457.70833333333</v>
      </c>
      <c r="C1074" s="192">
        <v>-5.67</v>
      </c>
      <c r="D1074" s="192" t="s">
        <v>692</v>
      </c>
      <c r="E1074" s="192" t="s">
        <v>836</v>
      </c>
      <c r="F1074" s="194" t="s">
        <v>613</v>
      </c>
    </row>
    <row r="1075">
      <c r="A1075" s="192" t="s">
        <v>123</v>
      </c>
      <c r="B1075" s="193">
        <v>45468.70833333333</v>
      </c>
      <c r="C1075" s="192">
        <v>-5.67</v>
      </c>
      <c r="D1075" s="192" t="s">
        <v>692</v>
      </c>
      <c r="E1075" s="192" t="s">
        <v>833</v>
      </c>
      <c r="F1075" s="194" t="s">
        <v>613</v>
      </c>
    </row>
    <row r="1076">
      <c r="A1076" s="192" t="s">
        <v>123</v>
      </c>
      <c r="B1076" s="193">
        <v>45473.70833333333</v>
      </c>
      <c r="C1076" s="192">
        <v>-5.67</v>
      </c>
      <c r="D1076" s="192" t="s">
        <v>692</v>
      </c>
      <c r="E1076" s="192" t="s">
        <v>837</v>
      </c>
      <c r="F1076" s="194" t="s">
        <v>613</v>
      </c>
    </row>
    <row r="1077">
      <c r="A1077" s="192" t="s">
        <v>123</v>
      </c>
      <c r="B1077" s="193">
        <v>45394.70833333333</v>
      </c>
      <c r="C1077" s="192">
        <v>-5.31</v>
      </c>
      <c r="D1077" s="192" t="s">
        <v>838</v>
      </c>
      <c r="E1077" s="192" t="s">
        <v>839</v>
      </c>
      <c r="F1077" s="194" t="s">
        <v>613</v>
      </c>
    </row>
    <row r="1078">
      <c r="A1078" s="192" t="s">
        <v>123</v>
      </c>
      <c r="B1078" s="193">
        <v>45435.70833333333</v>
      </c>
      <c r="C1078" s="192">
        <v>-5.0</v>
      </c>
      <c r="D1078" s="192" t="s">
        <v>840</v>
      </c>
      <c r="E1078" s="192" t="s">
        <v>841</v>
      </c>
      <c r="F1078" s="194" t="s">
        <v>613</v>
      </c>
    </row>
    <row r="1079">
      <c r="A1079" s="192" t="s">
        <v>123</v>
      </c>
      <c r="B1079" s="193">
        <v>45450.70833333333</v>
      </c>
      <c r="C1079" s="192">
        <v>-5.0</v>
      </c>
      <c r="D1079" s="192" t="s">
        <v>842</v>
      </c>
      <c r="E1079" s="192" t="s">
        <v>843</v>
      </c>
      <c r="F1079" s="194" t="s">
        <v>613</v>
      </c>
    </row>
    <row r="1080">
      <c r="A1080" s="192" t="s">
        <v>123</v>
      </c>
      <c r="B1080" s="193">
        <v>45241.66666666667</v>
      </c>
      <c r="C1080" s="192">
        <v>-4.92</v>
      </c>
      <c r="D1080" s="192" t="s">
        <v>692</v>
      </c>
      <c r="E1080" s="192" t="s">
        <v>844</v>
      </c>
      <c r="F1080" s="194" t="s">
        <v>613</v>
      </c>
    </row>
    <row r="1081">
      <c r="A1081" s="192" t="s">
        <v>123</v>
      </c>
      <c r="B1081" s="193">
        <v>45254.66666666667</v>
      </c>
      <c r="C1081" s="192">
        <v>-4.71</v>
      </c>
      <c r="D1081" s="192" t="s">
        <v>692</v>
      </c>
      <c r="E1081" s="192" t="s">
        <v>806</v>
      </c>
      <c r="F1081" s="194" t="s">
        <v>613</v>
      </c>
    </row>
    <row r="1082">
      <c r="A1082" s="192" t="s">
        <v>123</v>
      </c>
      <c r="B1082" s="193">
        <v>45453.70833333333</v>
      </c>
      <c r="C1082" s="192">
        <v>-4.6</v>
      </c>
      <c r="D1082" s="192" t="s">
        <v>742</v>
      </c>
      <c r="E1082" s="192" t="s">
        <v>792</v>
      </c>
      <c r="F1082" s="194" t="s">
        <v>613</v>
      </c>
    </row>
    <row r="1083">
      <c r="A1083" s="192" t="s">
        <v>123</v>
      </c>
      <c r="B1083" s="193">
        <v>45264.66666666667</v>
      </c>
      <c r="C1083" s="192">
        <v>-4.28</v>
      </c>
      <c r="D1083" s="192" t="s">
        <v>692</v>
      </c>
      <c r="E1083" s="192" t="s">
        <v>806</v>
      </c>
      <c r="F1083" s="194" t="s">
        <v>613</v>
      </c>
    </row>
    <row r="1084">
      <c r="A1084" s="192" t="s">
        <v>123</v>
      </c>
      <c r="B1084" s="193">
        <v>45360.66666666667</v>
      </c>
      <c r="C1084" s="192">
        <v>-4.13</v>
      </c>
      <c r="D1084" s="192" t="s">
        <v>795</v>
      </c>
      <c r="E1084" s="192" t="s">
        <v>796</v>
      </c>
      <c r="F1084" s="194" t="s">
        <v>613</v>
      </c>
    </row>
    <row r="1085">
      <c r="A1085" s="192" t="s">
        <v>123</v>
      </c>
      <c r="B1085" s="193">
        <v>45476.70833333333</v>
      </c>
      <c r="C1085" s="192">
        <v>-4.07</v>
      </c>
      <c r="D1085" s="192" t="s">
        <v>692</v>
      </c>
      <c r="E1085" s="192" t="s">
        <v>836</v>
      </c>
      <c r="F1085" s="194" t="s">
        <v>613</v>
      </c>
    </row>
    <row r="1086">
      <c r="A1086" s="192" t="s">
        <v>123</v>
      </c>
      <c r="B1086" s="193">
        <v>45407.70833333333</v>
      </c>
      <c r="C1086" s="192">
        <v>-3.64</v>
      </c>
      <c r="D1086" s="192" t="s">
        <v>692</v>
      </c>
      <c r="E1086" s="192" t="s">
        <v>836</v>
      </c>
      <c r="F1086" s="194" t="s">
        <v>613</v>
      </c>
    </row>
    <row r="1087">
      <c r="A1087" s="192" t="s">
        <v>123</v>
      </c>
      <c r="B1087" s="193">
        <v>45413.70833333333</v>
      </c>
      <c r="C1087" s="192">
        <v>-3.64</v>
      </c>
      <c r="D1087" s="192" t="s">
        <v>692</v>
      </c>
      <c r="E1087" s="192" t="s">
        <v>836</v>
      </c>
      <c r="F1087" s="194" t="s">
        <v>613</v>
      </c>
    </row>
    <row r="1088">
      <c r="A1088" s="192" t="s">
        <v>123</v>
      </c>
      <c r="B1088" s="193">
        <v>45418.70833333333</v>
      </c>
      <c r="C1088" s="192">
        <v>-3.64</v>
      </c>
      <c r="D1088" s="192" t="s">
        <v>692</v>
      </c>
      <c r="E1088" s="192" t="s">
        <v>836</v>
      </c>
      <c r="F1088" s="194" t="s">
        <v>613</v>
      </c>
    </row>
    <row r="1089">
      <c r="A1089" s="192" t="s">
        <v>123</v>
      </c>
      <c r="B1089" s="193">
        <v>45472.70833333333</v>
      </c>
      <c r="C1089" s="192">
        <v>-3.64</v>
      </c>
      <c r="D1089" s="192" t="s">
        <v>692</v>
      </c>
      <c r="E1089" s="192" t="s">
        <v>836</v>
      </c>
      <c r="F1089" s="194" t="s">
        <v>613</v>
      </c>
    </row>
    <row r="1090">
      <c r="A1090" s="192" t="s">
        <v>123</v>
      </c>
      <c r="B1090" s="193">
        <v>45556.70833333333</v>
      </c>
      <c r="C1090" s="192">
        <v>-3.62</v>
      </c>
      <c r="D1090" s="192" t="s">
        <v>827</v>
      </c>
      <c r="E1090" s="192" t="s">
        <v>828</v>
      </c>
      <c r="F1090" s="194" t="s">
        <v>613</v>
      </c>
    </row>
    <row r="1091">
      <c r="A1091" s="192" t="s">
        <v>123</v>
      </c>
      <c r="B1091" s="193">
        <v>45587.70833333333</v>
      </c>
      <c r="C1091" s="192">
        <v>-3.4</v>
      </c>
      <c r="D1091" s="192" t="s">
        <v>845</v>
      </c>
      <c r="E1091" s="192" t="s">
        <v>846</v>
      </c>
      <c r="F1091" s="194" t="s">
        <v>613</v>
      </c>
    </row>
    <row r="1092">
      <c r="A1092" s="192" t="s">
        <v>123</v>
      </c>
      <c r="B1092" s="193">
        <v>45337.66666666667</v>
      </c>
      <c r="C1092" s="192">
        <v>-3.26</v>
      </c>
      <c r="D1092" s="192" t="s">
        <v>847</v>
      </c>
      <c r="E1092" s="192" t="s">
        <v>848</v>
      </c>
      <c r="F1092" s="194" t="s">
        <v>613</v>
      </c>
    </row>
    <row r="1093">
      <c r="A1093" s="192" t="s">
        <v>123</v>
      </c>
      <c r="B1093" s="193">
        <v>45437.70833333333</v>
      </c>
      <c r="C1093" s="192">
        <v>-3.11</v>
      </c>
      <c r="D1093" s="192" t="s">
        <v>742</v>
      </c>
      <c r="E1093" s="192" t="s">
        <v>792</v>
      </c>
      <c r="F1093" s="194" t="s">
        <v>613</v>
      </c>
    </row>
    <row r="1094">
      <c r="A1094" s="192" t="s">
        <v>123</v>
      </c>
      <c r="B1094" s="193">
        <v>45351.66666666667</v>
      </c>
      <c r="C1094" s="192">
        <v>-2.95</v>
      </c>
      <c r="D1094" s="192" t="s">
        <v>742</v>
      </c>
      <c r="E1094" s="192" t="s">
        <v>792</v>
      </c>
      <c r="F1094" s="194" t="s">
        <v>613</v>
      </c>
    </row>
    <row r="1095">
      <c r="A1095" s="192" t="s">
        <v>123</v>
      </c>
      <c r="B1095" s="193">
        <v>45457.70833333333</v>
      </c>
      <c r="C1095" s="192">
        <v>-2.03</v>
      </c>
      <c r="D1095" s="192" t="s">
        <v>692</v>
      </c>
      <c r="E1095" s="192" t="s">
        <v>836</v>
      </c>
      <c r="F1095" s="194" t="s">
        <v>613</v>
      </c>
    </row>
    <row r="1096">
      <c r="A1096" s="192" t="s">
        <v>173</v>
      </c>
      <c r="B1096" s="193">
        <v>45581.70833333333</v>
      </c>
      <c r="C1096" s="192">
        <v>-4.44</v>
      </c>
      <c r="D1096" s="192" t="s">
        <v>787</v>
      </c>
      <c r="E1096" s="192" t="s">
        <v>849</v>
      </c>
      <c r="F1096" s="194" t="s">
        <v>613</v>
      </c>
    </row>
    <row r="1097">
      <c r="A1097" s="192" t="s">
        <v>158</v>
      </c>
      <c r="B1097" s="193">
        <v>45459.70833333333</v>
      </c>
      <c r="C1097" s="192">
        <v>-7.1</v>
      </c>
      <c r="D1097" s="192" t="s">
        <v>834</v>
      </c>
      <c r="E1097" s="192" t="s">
        <v>850</v>
      </c>
      <c r="F1097" s="194" t="s">
        <v>613</v>
      </c>
    </row>
    <row r="1098">
      <c r="A1098" s="192" t="s">
        <v>133</v>
      </c>
      <c r="B1098" s="193">
        <v>45386.70833333333</v>
      </c>
      <c r="C1098" s="192">
        <v>-303.48</v>
      </c>
      <c r="D1098" s="192" t="s">
        <v>851</v>
      </c>
      <c r="E1098" s="192" t="s">
        <v>852</v>
      </c>
      <c r="F1098" s="194" t="s">
        <v>613</v>
      </c>
    </row>
    <row r="1099">
      <c r="A1099" s="192" t="s">
        <v>133</v>
      </c>
      <c r="B1099" s="193">
        <v>45363.70833333333</v>
      </c>
      <c r="C1099" s="192">
        <v>-132.68</v>
      </c>
      <c r="D1099" s="192" t="s">
        <v>853</v>
      </c>
      <c r="E1099" s="192" t="s">
        <v>854</v>
      </c>
      <c r="F1099" s="194" t="s">
        <v>613</v>
      </c>
    </row>
    <row r="1100">
      <c r="A1100" s="192" t="s">
        <v>133</v>
      </c>
      <c r="B1100" s="193">
        <v>45518.70833333333</v>
      </c>
      <c r="C1100" s="192">
        <v>-110.9</v>
      </c>
      <c r="D1100" s="192" t="s">
        <v>855</v>
      </c>
      <c r="E1100" s="192" t="s">
        <v>856</v>
      </c>
      <c r="F1100" s="194" t="s">
        <v>613</v>
      </c>
    </row>
    <row r="1101">
      <c r="A1101" s="192" t="s">
        <v>133</v>
      </c>
      <c r="B1101" s="193">
        <v>45423.70833333333</v>
      </c>
      <c r="C1101" s="192">
        <v>-79.4</v>
      </c>
      <c r="D1101" s="192" t="s">
        <v>857</v>
      </c>
      <c r="E1101" s="192" t="s">
        <v>858</v>
      </c>
      <c r="F1101" s="194" t="s">
        <v>613</v>
      </c>
    </row>
    <row r="1102">
      <c r="A1102" s="192" t="s">
        <v>133</v>
      </c>
      <c r="B1102" s="193">
        <v>45398.70833333333</v>
      </c>
      <c r="C1102" s="192">
        <v>-78.17</v>
      </c>
      <c r="D1102" s="192" t="s">
        <v>859</v>
      </c>
      <c r="E1102" s="192" t="s">
        <v>860</v>
      </c>
      <c r="F1102" s="194" t="s">
        <v>613</v>
      </c>
    </row>
    <row r="1103">
      <c r="A1103" s="192" t="s">
        <v>133</v>
      </c>
      <c r="B1103" s="193">
        <v>45325.66666666667</v>
      </c>
      <c r="C1103" s="192">
        <v>-77.81</v>
      </c>
      <c r="D1103" s="192" t="s">
        <v>861</v>
      </c>
      <c r="E1103" s="192" t="s">
        <v>862</v>
      </c>
      <c r="F1103" s="194" t="s">
        <v>613</v>
      </c>
    </row>
    <row r="1104">
      <c r="A1104" s="192" t="s">
        <v>133</v>
      </c>
      <c r="B1104" s="193">
        <v>45552.70833333333</v>
      </c>
      <c r="C1104" s="192">
        <v>-71.91</v>
      </c>
      <c r="D1104" s="192" t="s">
        <v>853</v>
      </c>
      <c r="E1104" s="192" t="s">
        <v>863</v>
      </c>
      <c r="F1104" s="194" t="s">
        <v>613</v>
      </c>
    </row>
    <row r="1105">
      <c r="A1105" s="192" t="s">
        <v>133</v>
      </c>
      <c r="B1105" s="193">
        <v>45239.66666666667</v>
      </c>
      <c r="C1105" s="192">
        <v>-64.07</v>
      </c>
      <c r="D1105" s="192" t="s">
        <v>864</v>
      </c>
      <c r="E1105" s="192" t="s">
        <v>865</v>
      </c>
      <c r="F1105" s="194" t="s">
        <v>613</v>
      </c>
    </row>
    <row r="1106">
      <c r="A1106" s="192" t="s">
        <v>133</v>
      </c>
      <c r="B1106" s="193">
        <v>45241.66666666667</v>
      </c>
      <c r="C1106" s="192">
        <v>-57.0</v>
      </c>
      <c r="D1106" s="192" t="s">
        <v>866</v>
      </c>
      <c r="E1106" s="192" t="s">
        <v>867</v>
      </c>
      <c r="F1106" s="194" t="s">
        <v>613</v>
      </c>
    </row>
    <row r="1107">
      <c r="A1107" s="192" t="s">
        <v>133</v>
      </c>
      <c r="B1107" s="193">
        <v>45443.70833333333</v>
      </c>
      <c r="C1107" s="192">
        <v>-47.5</v>
      </c>
      <c r="D1107" s="192" t="s">
        <v>868</v>
      </c>
      <c r="E1107" s="192" t="s">
        <v>869</v>
      </c>
      <c r="F1107" s="194" t="s">
        <v>613</v>
      </c>
    </row>
    <row r="1108">
      <c r="A1108" s="192" t="s">
        <v>133</v>
      </c>
      <c r="B1108" s="193">
        <v>45241.66666666667</v>
      </c>
      <c r="C1108" s="192">
        <v>-47.0</v>
      </c>
      <c r="D1108" s="192" t="s">
        <v>870</v>
      </c>
      <c r="E1108" s="192" t="s">
        <v>871</v>
      </c>
      <c r="F1108" s="194" t="s">
        <v>613</v>
      </c>
    </row>
    <row r="1109">
      <c r="A1109" s="192" t="s">
        <v>133</v>
      </c>
      <c r="B1109" s="193">
        <v>45577.70833333333</v>
      </c>
      <c r="C1109" s="192">
        <v>-46.5</v>
      </c>
      <c r="D1109" s="192" t="s">
        <v>872</v>
      </c>
      <c r="E1109" s="192" t="s">
        <v>873</v>
      </c>
      <c r="F1109" s="194" t="s">
        <v>613</v>
      </c>
    </row>
    <row r="1110">
      <c r="A1110" s="192" t="s">
        <v>133</v>
      </c>
      <c r="B1110" s="193">
        <v>45240.66666666667</v>
      </c>
      <c r="C1110" s="192">
        <v>-44.0</v>
      </c>
      <c r="D1110" s="192" t="s">
        <v>874</v>
      </c>
      <c r="E1110" s="192" t="s">
        <v>875</v>
      </c>
      <c r="F1110" s="194" t="s">
        <v>613</v>
      </c>
    </row>
    <row r="1111">
      <c r="A1111" s="192" t="s">
        <v>133</v>
      </c>
      <c r="B1111" s="193">
        <v>45239.66666666667</v>
      </c>
      <c r="C1111" s="192">
        <v>-35.0</v>
      </c>
      <c r="D1111" s="192" t="s">
        <v>876</v>
      </c>
      <c r="E1111" s="192" t="s">
        <v>877</v>
      </c>
      <c r="F1111" s="194" t="s">
        <v>613</v>
      </c>
    </row>
    <row r="1112">
      <c r="A1112" s="192" t="s">
        <v>133</v>
      </c>
      <c r="B1112" s="193">
        <v>45240.66666666667</v>
      </c>
      <c r="C1112" s="192">
        <v>-34.07</v>
      </c>
      <c r="D1112" s="192" t="s">
        <v>878</v>
      </c>
      <c r="E1112" s="192" t="s">
        <v>879</v>
      </c>
      <c r="F1112" s="194" t="s">
        <v>613</v>
      </c>
    </row>
    <row r="1113">
      <c r="A1113" s="192" t="s">
        <v>133</v>
      </c>
      <c r="B1113" s="193">
        <v>45433.70833333333</v>
      </c>
      <c r="C1113" s="192">
        <v>-33.33</v>
      </c>
      <c r="D1113" s="192" t="s">
        <v>853</v>
      </c>
      <c r="E1113" s="192" t="s">
        <v>854</v>
      </c>
      <c r="F1113" s="194" t="s">
        <v>613</v>
      </c>
    </row>
    <row r="1114">
      <c r="A1114" s="192" t="s">
        <v>133</v>
      </c>
      <c r="B1114" s="193">
        <v>45397.70833333333</v>
      </c>
      <c r="C1114" s="192">
        <v>-32.33</v>
      </c>
      <c r="D1114" s="192" t="s">
        <v>853</v>
      </c>
      <c r="E1114" s="192" t="s">
        <v>854</v>
      </c>
      <c r="F1114" s="194" t="s">
        <v>613</v>
      </c>
    </row>
    <row r="1115">
      <c r="A1115" s="192" t="s">
        <v>133</v>
      </c>
      <c r="B1115" s="193">
        <v>45239.66666666667</v>
      </c>
      <c r="C1115" s="192">
        <v>-30.0</v>
      </c>
      <c r="D1115" s="192" t="s">
        <v>880</v>
      </c>
      <c r="E1115" s="192" t="s">
        <v>881</v>
      </c>
      <c r="F1115" s="194" t="s">
        <v>613</v>
      </c>
    </row>
    <row r="1116">
      <c r="A1116" s="192" t="s">
        <v>133</v>
      </c>
      <c r="B1116" s="193">
        <v>45389.70833333333</v>
      </c>
      <c r="C1116" s="192">
        <v>-28.86</v>
      </c>
      <c r="D1116" s="192" t="s">
        <v>882</v>
      </c>
      <c r="E1116" s="192" t="s">
        <v>883</v>
      </c>
      <c r="F1116" s="194" t="s">
        <v>613</v>
      </c>
    </row>
    <row r="1117">
      <c r="A1117" s="192" t="s">
        <v>133</v>
      </c>
      <c r="B1117" s="193">
        <v>45511.70833333333</v>
      </c>
      <c r="C1117" s="192">
        <v>-25.85</v>
      </c>
      <c r="D1117" s="192" t="s">
        <v>882</v>
      </c>
      <c r="E1117" s="192" t="s">
        <v>883</v>
      </c>
      <c r="F1117" s="194" t="s">
        <v>613</v>
      </c>
    </row>
    <row r="1118">
      <c r="A1118" s="192" t="s">
        <v>133</v>
      </c>
      <c r="B1118" s="193">
        <v>45282.66666666667</v>
      </c>
      <c r="C1118" s="192">
        <v>-24.47</v>
      </c>
      <c r="D1118" s="192" t="s">
        <v>884</v>
      </c>
      <c r="E1118" s="192" t="s">
        <v>885</v>
      </c>
      <c r="F1118" s="194" t="s">
        <v>613</v>
      </c>
    </row>
    <row r="1119">
      <c r="A1119" s="192" t="s">
        <v>133</v>
      </c>
      <c r="B1119" s="193">
        <v>45240.66666666667</v>
      </c>
      <c r="C1119" s="192">
        <v>-24.0</v>
      </c>
      <c r="D1119" s="192" t="s">
        <v>886</v>
      </c>
      <c r="E1119" s="192" t="s">
        <v>887</v>
      </c>
      <c r="F1119" s="194" t="s">
        <v>613</v>
      </c>
    </row>
    <row r="1120">
      <c r="A1120" s="192" t="s">
        <v>133</v>
      </c>
      <c r="B1120" s="193">
        <v>45535.70833333333</v>
      </c>
      <c r="C1120" s="192">
        <v>-23.79</v>
      </c>
      <c r="D1120" s="192" t="s">
        <v>694</v>
      </c>
      <c r="E1120" s="192" t="s">
        <v>888</v>
      </c>
      <c r="F1120" s="194" t="s">
        <v>613</v>
      </c>
    </row>
    <row r="1121">
      <c r="A1121" s="192" t="s">
        <v>133</v>
      </c>
      <c r="B1121" s="193">
        <v>45433.70833333333</v>
      </c>
      <c r="C1121" s="192">
        <v>-22.92</v>
      </c>
      <c r="D1121" s="192" t="s">
        <v>853</v>
      </c>
      <c r="E1121" s="192" t="s">
        <v>854</v>
      </c>
      <c r="F1121" s="194" t="s">
        <v>613</v>
      </c>
    </row>
    <row r="1122">
      <c r="A1122" s="192" t="s">
        <v>133</v>
      </c>
      <c r="B1122" s="193">
        <v>45548.70833333333</v>
      </c>
      <c r="C1122" s="192">
        <v>-21.63</v>
      </c>
      <c r="D1122" s="192" t="s">
        <v>694</v>
      </c>
      <c r="E1122" s="192" t="s">
        <v>888</v>
      </c>
      <c r="F1122" s="194" t="s">
        <v>613</v>
      </c>
    </row>
    <row r="1123">
      <c r="A1123" s="192" t="s">
        <v>133</v>
      </c>
      <c r="B1123" s="193">
        <v>45418.70833333333</v>
      </c>
      <c r="C1123" s="192">
        <v>-21.49</v>
      </c>
      <c r="D1123" s="192" t="s">
        <v>694</v>
      </c>
      <c r="E1123" s="192" t="s">
        <v>888</v>
      </c>
      <c r="F1123" s="194" t="s">
        <v>613</v>
      </c>
    </row>
    <row r="1124">
      <c r="A1124" s="192" t="s">
        <v>133</v>
      </c>
      <c r="B1124" s="193">
        <v>45582.70833333333</v>
      </c>
      <c r="C1124" s="192">
        <v>-18.52</v>
      </c>
      <c r="D1124" s="192" t="s">
        <v>678</v>
      </c>
      <c r="E1124" s="192" t="s">
        <v>889</v>
      </c>
      <c r="F1124" s="194" t="s">
        <v>613</v>
      </c>
    </row>
    <row r="1125">
      <c r="A1125" s="192" t="s">
        <v>133</v>
      </c>
      <c r="B1125" s="193">
        <v>45355.66666666667</v>
      </c>
      <c r="C1125" s="192">
        <v>-15.0</v>
      </c>
      <c r="D1125" s="192" t="s">
        <v>694</v>
      </c>
      <c r="E1125" s="192" t="s">
        <v>888</v>
      </c>
      <c r="F1125" s="194" t="s">
        <v>613</v>
      </c>
    </row>
    <row r="1126">
      <c r="A1126" s="192" t="s">
        <v>133</v>
      </c>
      <c r="B1126" s="193">
        <v>45568.70833333333</v>
      </c>
      <c r="C1126" s="192">
        <v>-14.69</v>
      </c>
      <c r="D1126" s="192" t="s">
        <v>694</v>
      </c>
      <c r="E1126" s="192" t="s">
        <v>888</v>
      </c>
      <c r="F1126" s="194" t="s">
        <v>613</v>
      </c>
    </row>
    <row r="1127">
      <c r="A1127" s="192" t="s">
        <v>133</v>
      </c>
      <c r="B1127" s="193">
        <v>45266.66666666667</v>
      </c>
      <c r="C1127" s="192">
        <v>-14.47</v>
      </c>
      <c r="D1127" s="192" t="s">
        <v>694</v>
      </c>
      <c r="E1127" s="192" t="s">
        <v>888</v>
      </c>
      <c r="F1127" s="194" t="s">
        <v>613</v>
      </c>
    </row>
    <row r="1128">
      <c r="A1128" s="192" t="s">
        <v>133</v>
      </c>
      <c r="B1128" s="193">
        <v>45371.70833333333</v>
      </c>
      <c r="C1128" s="192">
        <v>-14.47</v>
      </c>
      <c r="D1128" s="192" t="s">
        <v>694</v>
      </c>
      <c r="E1128" s="192" t="s">
        <v>888</v>
      </c>
      <c r="F1128" s="194" t="s">
        <v>613</v>
      </c>
    </row>
    <row r="1129">
      <c r="A1129" s="192" t="s">
        <v>133</v>
      </c>
      <c r="B1129" s="193">
        <v>45246.66666666667</v>
      </c>
      <c r="C1129" s="192">
        <v>-13.93</v>
      </c>
      <c r="D1129" s="192" t="s">
        <v>694</v>
      </c>
      <c r="E1129" s="192" t="s">
        <v>888</v>
      </c>
      <c r="F1129" s="194" t="s">
        <v>613</v>
      </c>
    </row>
    <row r="1130">
      <c r="A1130" s="192" t="s">
        <v>133</v>
      </c>
      <c r="B1130" s="193">
        <v>45411.70833333333</v>
      </c>
      <c r="C1130" s="192">
        <v>-12.33</v>
      </c>
      <c r="D1130" s="192" t="s">
        <v>678</v>
      </c>
      <c r="E1130" s="192" t="s">
        <v>889</v>
      </c>
      <c r="F1130" s="194" t="s">
        <v>613</v>
      </c>
    </row>
    <row r="1131">
      <c r="A1131" s="192" t="s">
        <v>133</v>
      </c>
      <c r="B1131" s="193">
        <v>45379.70833333333</v>
      </c>
      <c r="C1131" s="192">
        <v>-12.08</v>
      </c>
      <c r="D1131" s="192" t="s">
        <v>723</v>
      </c>
      <c r="E1131" s="192" t="s">
        <v>890</v>
      </c>
      <c r="F1131" s="194" t="s">
        <v>613</v>
      </c>
    </row>
    <row r="1132">
      <c r="A1132" s="192" t="s">
        <v>133</v>
      </c>
      <c r="B1132" s="193">
        <v>45344.66666666667</v>
      </c>
      <c r="C1132" s="192">
        <v>-9.72</v>
      </c>
      <c r="D1132" s="192" t="s">
        <v>678</v>
      </c>
      <c r="E1132" s="192" t="s">
        <v>891</v>
      </c>
      <c r="F1132" s="194" t="s">
        <v>613</v>
      </c>
    </row>
    <row r="1133">
      <c r="A1133" s="192" t="s">
        <v>133</v>
      </c>
      <c r="B1133" s="193">
        <v>45393.70833333333</v>
      </c>
      <c r="C1133" s="192">
        <v>-9.72</v>
      </c>
      <c r="D1133" s="192" t="s">
        <v>678</v>
      </c>
      <c r="E1133" s="192" t="s">
        <v>889</v>
      </c>
      <c r="F1133" s="194" t="s">
        <v>613</v>
      </c>
    </row>
    <row r="1134">
      <c r="A1134" s="192" t="s">
        <v>133</v>
      </c>
      <c r="B1134" s="193">
        <v>45417.70833333333</v>
      </c>
      <c r="C1134" s="192">
        <v>-9.72</v>
      </c>
      <c r="D1134" s="192" t="s">
        <v>678</v>
      </c>
      <c r="E1134" s="192" t="s">
        <v>889</v>
      </c>
      <c r="F1134" s="194" t="s">
        <v>613</v>
      </c>
    </row>
    <row r="1135">
      <c r="A1135" s="192" t="s">
        <v>133</v>
      </c>
      <c r="B1135" s="193">
        <v>45447.70833333333</v>
      </c>
      <c r="C1135" s="192">
        <v>-4.06</v>
      </c>
      <c r="D1135" s="192" t="s">
        <v>692</v>
      </c>
      <c r="E1135" s="192" t="s">
        <v>892</v>
      </c>
      <c r="F1135" s="194" t="s">
        <v>613</v>
      </c>
    </row>
    <row r="1136">
      <c r="A1136" s="192" t="s">
        <v>107</v>
      </c>
      <c r="B1136" s="193">
        <v>45582.70833333333</v>
      </c>
      <c r="C1136" s="192">
        <v>-250.0</v>
      </c>
      <c r="D1136" s="192" t="s">
        <v>893</v>
      </c>
      <c r="E1136" s="192" t="s">
        <v>894</v>
      </c>
      <c r="F1136" s="194" t="s">
        <v>895</v>
      </c>
    </row>
    <row r="1137">
      <c r="A1137" s="192" t="s">
        <v>107</v>
      </c>
      <c r="B1137" s="193">
        <v>45448.70833333333</v>
      </c>
      <c r="C1137" s="192">
        <v>-127.17</v>
      </c>
      <c r="D1137" s="192" t="s">
        <v>896</v>
      </c>
      <c r="E1137" s="192" t="s">
        <v>897</v>
      </c>
      <c r="F1137" s="194" t="s">
        <v>895</v>
      </c>
    </row>
    <row r="1138">
      <c r="A1138" s="192" t="s">
        <v>107</v>
      </c>
      <c r="B1138" s="193">
        <v>45239.66666666667</v>
      </c>
      <c r="C1138" s="192">
        <v>-61.57</v>
      </c>
      <c r="D1138" s="192" t="s">
        <v>898</v>
      </c>
      <c r="E1138" s="192" t="s">
        <v>899</v>
      </c>
      <c r="F1138" s="194" t="s">
        <v>895</v>
      </c>
    </row>
    <row r="1139">
      <c r="A1139" s="192" t="s">
        <v>107</v>
      </c>
      <c r="B1139" s="193">
        <v>45582.70833333333</v>
      </c>
      <c r="C1139" s="192">
        <v>-61.2</v>
      </c>
      <c r="D1139" s="192" t="s">
        <v>900</v>
      </c>
      <c r="E1139" s="192" t="s">
        <v>901</v>
      </c>
      <c r="F1139" s="194" t="s">
        <v>895</v>
      </c>
    </row>
    <row r="1140">
      <c r="A1140" s="192" t="s">
        <v>107</v>
      </c>
      <c r="B1140" s="193">
        <v>45479.70833333333</v>
      </c>
      <c r="C1140" s="192">
        <v>-61.15</v>
      </c>
      <c r="D1140" s="192" t="s">
        <v>902</v>
      </c>
      <c r="E1140" s="192" t="s">
        <v>903</v>
      </c>
      <c r="F1140" s="194" t="s">
        <v>895</v>
      </c>
    </row>
    <row r="1141">
      <c r="A1141" s="192" t="s">
        <v>107</v>
      </c>
      <c r="B1141" s="193">
        <v>45461.70833333333</v>
      </c>
      <c r="C1141" s="192">
        <v>-48.9</v>
      </c>
      <c r="D1141" s="192" t="s">
        <v>904</v>
      </c>
      <c r="E1141" s="192" t="s">
        <v>905</v>
      </c>
      <c r="F1141" s="194" t="s">
        <v>895</v>
      </c>
    </row>
    <row r="1142">
      <c r="A1142" s="192" t="s">
        <v>107</v>
      </c>
      <c r="B1142" s="193">
        <v>45570.70833333333</v>
      </c>
      <c r="C1142" s="192">
        <v>-46.77</v>
      </c>
      <c r="D1142" s="192" t="s">
        <v>906</v>
      </c>
      <c r="E1142" s="192" t="s">
        <v>907</v>
      </c>
      <c r="F1142" s="194" t="s">
        <v>895</v>
      </c>
    </row>
    <row r="1143">
      <c r="A1143" s="192" t="s">
        <v>107</v>
      </c>
      <c r="B1143" s="193">
        <v>45560.70833333333</v>
      </c>
      <c r="C1143" s="192">
        <v>-30.82</v>
      </c>
      <c r="D1143" s="192" t="s">
        <v>908</v>
      </c>
      <c r="E1143" s="192" t="s">
        <v>909</v>
      </c>
      <c r="F1143" s="194" t="s">
        <v>895</v>
      </c>
    </row>
    <row r="1144">
      <c r="A1144" s="192" t="s">
        <v>107</v>
      </c>
      <c r="B1144" s="193">
        <v>45264.66666666667</v>
      </c>
      <c r="C1144" s="192">
        <v>-28.6</v>
      </c>
      <c r="D1144" s="192" t="s">
        <v>910</v>
      </c>
      <c r="E1144" s="192" t="s">
        <v>911</v>
      </c>
      <c r="F1144" s="194" t="s">
        <v>895</v>
      </c>
    </row>
    <row r="1145">
      <c r="A1145" s="192" t="s">
        <v>107</v>
      </c>
      <c r="B1145" s="193">
        <v>45479.70833333333</v>
      </c>
      <c r="C1145" s="192">
        <v>-25.46</v>
      </c>
      <c r="D1145" s="192" t="s">
        <v>912</v>
      </c>
      <c r="E1145" s="192" t="s">
        <v>913</v>
      </c>
      <c r="F1145" s="194" t="s">
        <v>895</v>
      </c>
    </row>
    <row r="1146">
      <c r="A1146" s="192" t="s">
        <v>107</v>
      </c>
      <c r="B1146" s="193">
        <v>45555.70833333333</v>
      </c>
      <c r="C1146" s="192">
        <v>-20.99</v>
      </c>
      <c r="D1146" s="192" t="s">
        <v>900</v>
      </c>
      <c r="E1146" s="192" t="s">
        <v>901</v>
      </c>
      <c r="F1146" s="194" t="s">
        <v>895</v>
      </c>
    </row>
    <row r="1147">
      <c r="A1147" s="192" t="s">
        <v>107</v>
      </c>
      <c r="B1147" s="193">
        <v>45409.70833333333</v>
      </c>
      <c r="C1147" s="192">
        <v>-16.0</v>
      </c>
      <c r="D1147" s="192" t="s">
        <v>914</v>
      </c>
      <c r="E1147" s="192" t="s">
        <v>915</v>
      </c>
      <c r="F1147" s="194" t="s">
        <v>895</v>
      </c>
    </row>
    <row r="1148">
      <c r="A1148" s="192" t="s">
        <v>107</v>
      </c>
      <c r="B1148" s="193">
        <v>45529.70833333333</v>
      </c>
      <c r="C1148" s="192">
        <v>-14.35</v>
      </c>
      <c r="D1148" s="192" t="s">
        <v>916</v>
      </c>
      <c r="E1148" s="192" t="s">
        <v>917</v>
      </c>
      <c r="F1148" s="194" t="s">
        <v>895</v>
      </c>
    </row>
    <row r="1149">
      <c r="A1149" s="192" t="s">
        <v>107</v>
      </c>
      <c r="B1149" s="193">
        <v>45484.70833333333</v>
      </c>
      <c r="C1149" s="192">
        <v>-12.76</v>
      </c>
      <c r="D1149" s="192" t="s">
        <v>918</v>
      </c>
      <c r="E1149" s="192" t="s">
        <v>919</v>
      </c>
      <c r="F1149" s="194" t="s">
        <v>895</v>
      </c>
    </row>
    <row r="1150">
      <c r="A1150" s="192" t="s">
        <v>107</v>
      </c>
      <c r="B1150" s="193">
        <v>45519.70833333333</v>
      </c>
      <c r="C1150" s="192">
        <v>-11.03</v>
      </c>
      <c r="D1150" s="192" t="s">
        <v>920</v>
      </c>
      <c r="E1150" s="192" t="s">
        <v>921</v>
      </c>
      <c r="F1150" s="194" t="s">
        <v>895</v>
      </c>
    </row>
    <row r="1151">
      <c r="A1151" s="192" t="s">
        <v>107</v>
      </c>
      <c r="B1151" s="193">
        <v>45360.66666666667</v>
      </c>
      <c r="C1151" s="192">
        <v>-10.0</v>
      </c>
      <c r="D1151" s="192" t="s">
        <v>914</v>
      </c>
      <c r="E1151" s="192" t="s">
        <v>915</v>
      </c>
      <c r="F1151" s="194" t="s">
        <v>895</v>
      </c>
    </row>
    <row r="1152">
      <c r="A1152" s="192" t="s">
        <v>107</v>
      </c>
      <c r="B1152" s="193">
        <v>45262.66666666667</v>
      </c>
      <c r="C1152" s="192">
        <v>-9.0</v>
      </c>
      <c r="D1152" s="192" t="s">
        <v>914</v>
      </c>
      <c r="E1152" s="192" t="s">
        <v>915</v>
      </c>
      <c r="F1152" s="194" t="s">
        <v>895</v>
      </c>
    </row>
    <row r="1153">
      <c r="A1153" s="192" t="s">
        <v>107</v>
      </c>
      <c r="B1153" s="193">
        <v>45426.70833333333</v>
      </c>
      <c r="C1153" s="192">
        <v>-7.43</v>
      </c>
      <c r="D1153" s="192" t="s">
        <v>898</v>
      </c>
      <c r="E1153" s="192" t="s">
        <v>922</v>
      </c>
      <c r="F1153" s="194" t="s">
        <v>895</v>
      </c>
    </row>
    <row r="1154">
      <c r="A1154" s="192" t="s">
        <v>107</v>
      </c>
      <c r="B1154" s="193">
        <v>45470.70833333333</v>
      </c>
      <c r="C1154" s="192">
        <v>15.56</v>
      </c>
      <c r="D1154" s="192" t="s">
        <v>896</v>
      </c>
      <c r="E1154" s="192" t="s">
        <v>897</v>
      </c>
      <c r="F1154" s="194" t="s">
        <v>895</v>
      </c>
    </row>
    <row r="1155">
      <c r="A1155" s="192" t="s">
        <v>123</v>
      </c>
      <c r="B1155" s="193">
        <v>45435.70833333333</v>
      </c>
      <c r="C1155" s="192">
        <v>-221.08</v>
      </c>
      <c r="D1155" s="192" t="s">
        <v>906</v>
      </c>
      <c r="E1155" s="192" t="s">
        <v>923</v>
      </c>
      <c r="F1155" s="194" t="s">
        <v>895</v>
      </c>
    </row>
    <row r="1156">
      <c r="A1156" s="192" t="s">
        <v>123</v>
      </c>
      <c r="B1156" s="193">
        <v>45351.66666666667</v>
      </c>
      <c r="C1156" s="192">
        <v>-177.55</v>
      </c>
      <c r="D1156" s="192" t="s">
        <v>906</v>
      </c>
      <c r="E1156" s="192" t="s">
        <v>923</v>
      </c>
      <c r="F1156" s="194" t="s">
        <v>895</v>
      </c>
    </row>
    <row r="1157">
      <c r="A1157" s="192" t="s">
        <v>123</v>
      </c>
      <c r="B1157" s="193">
        <v>45570.70833333333</v>
      </c>
      <c r="C1157" s="192">
        <v>-100.99</v>
      </c>
      <c r="D1157" s="192" t="s">
        <v>906</v>
      </c>
      <c r="E1157" s="192" t="s">
        <v>923</v>
      </c>
      <c r="F1157" s="194" t="s">
        <v>895</v>
      </c>
    </row>
    <row r="1158">
      <c r="A1158" s="192" t="s">
        <v>123</v>
      </c>
      <c r="B1158" s="193">
        <v>45457.70833333333</v>
      </c>
      <c r="C1158" s="192">
        <v>-91.22</v>
      </c>
      <c r="D1158" s="192" t="s">
        <v>924</v>
      </c>
      <c r="E1158" s="192" t="s">
        <v>925</v>
      </c>
      <c r="F1158" s="194" t="s">
        <v>895</v>
      </c>
    </row>
    <row r="1159">
      <c r="A1159" s="192" t="s">
        <v>123</v>
      </c>
      <c r="B1159" s="193">
        <v>45351.66666666667</v>
      </c>
      <c r="C1159" s="192">
        <v>-72.28</v>
      </c>
      <c r="D1159" s="192" t="s">
        <v>926</v>
      </c>
      <c r="E1159" s="192" t="s">
        <v>927</v>
      </c>
      <c r="F1159" s="194" t="s">
        <v>895</v>
      </c>
    </row>
    <row r="1160">
      <c r="A1160" s="192" t="s">
        <v>123</v>
      </c>
      <c r="B1160" s="193">
        <v>45559.70833333333</v>
      </c>
      <c r="C1160" s="192">
        <v>-70.18</v>
      </c>
      <c r="D1160" s="192" t="s">
        <v>928</v>
      </c>
      <c r="E1160" s="192" t="s">
        <v>929</v>
      </c>
      <c r="F1160" s="194" t="s">
        <v>895</v>
      </c>
    </row>
    <row r="1161">
      <c r="A1161" s="192" t="s">
        <v>123</v>
      </c>
      <c r="B1161" s="193">
        <v>45541.70833333333</v>
      </c>
      <c r="C1161" s="192">
        <v>-69.11</v>
      </c>
      <c r="D1161" s="192" t="s">
        <v>908</v>
      </c>
      <c r="E1161" s="192" t="s">
        <v>930</v>
      </c>
      <c r="F1161" s="194" t="s">
        <v>895</v>
      </c>
    </row>
    <row r="1162">
      <c r="A1162" s="192" t="s">
        <v>123</v>
      </c>
      <c r="B1162" s="193">
        <v>45274.66666666667</v>
      </c>
      <c r="C1162" s="192">
        <v>-50.51</v>
      </c>
      <c r="D1162" s="192" t="s">
        <v>931</v>
      </c>
      <c r="E1162" s="192" t="s">
        <v>932</v>
      </c>
      <c r="F1162" s="194" t="s">
        <v>895</v>
      </c>
    </row>
    <row r="1163">
      <c r="A1163" s="192" t="s">
        <v>123</v>
      </c>
      <c r="B1163" s="193">
        <v>45271.66666666667</v>
      </c>
      <c r="C1163" s="192">
        <v>-36.26</v>
      </c>
      <c r="D1163" s="192" t="s">
        <v>933</v>
      </c>
      <c r="E1163" s="192" t="s">
        <v>934</v>
      </c>
      <c r="F1163" s="194" t="s">
        <v>895</v>
      </c>
    </row>
    <row r="1164">
      <c r="A1164" s="192" t="s">
        <v>123</v>
      </c>
      <c r="B1164" s="193">
        <v>45394.70833333333</v>
      </c>
      <c r="C1164" s="192">
        <v>-26.59</v>
      </c>
      <c r="D1164" s="192" t="s">
        <v>935</v>
      </c>
      <c r="E1164" s="192" t="s">
        <v>936</v>
      </c>
      <c r="F1164" s="194" t="s">
        <v>895</v>
      </c>
    </row>
    <row r="1165">
      <c r="A1165" s="192" t="s">
        <v>123</v>
      </c>
      <c r="B1165" s="193">
        <v>45548.70833333333</v>
      </c>
      <c r="C1165" s="192">
        <v>-26.59</v>
      </c>
      <c r="D1165" s="192" t="s">
        <v>918</v>
      </c>
      <c r="E1165" s="192" t="s">
        <v>937</v>
      </c>
      <c r="F1165" s="194" t="s">
        <v>895</v>
      </c>
    </row>
    <row r="1166">
      <c r="A1166" s="192" t="s">
        <v>123</v>
      </c>
      <c r="B1166" s="193">
        <v>45271.66666666667</v>
      </c>
      <c r="C1166" s="192">
        <v>-24.45</v>
      </c>
      <c r="D1166" s="192" t="s">
        <v>933</v>
      </c>
      <c r="E1166" s="192" t="s">
        <v>934</v>
      </c>
      <c r="F1166" s="194" t="s">
        <v>895</v>
      </c>
    </row>
    <row r="1167">
      <c r="A1167" s="192" t="s">
        <v>123</v>
      </c>
      <c r="B1167" s="193">
        <v>45330.66666666667</v>
      </c>
      <c r="C1167" s="192">
        <v>-19.13</v>
      </c>
      <c r="D1167" s="192" t="s">
        <v>916</v>
      </c>
      <c r="E1167" s="192" t="s">
        <v>938</v>
      </c>
      <c r="F1167" s="194" t="s">
        <v>895</v>
      </c>
    </row>
    <row r="1168">
      <c r="A1168" s="192" t="s">
        <v>123</v>
      </c>
      <c r="B1168" s="193">
        <v>45457.70833333333</v>
      </c>
      <c r="C1168" s="192">
        <v>-15.96</v>
      </c>
      <c r="D1168" s="192" t="s">
        <v>924</v>
      </c>
      <c r="E1168" s="192" t="s">
        <v>925</v>
      </c>
      <c r="F1168" s="194" t="s">
        <v>895</v>
      </c>
    </row>
    <row r="1169">
      <c r="A1169" s="192" t="s">
        <v>123</v>
      </c>
      <c r="B1169" s="193">
        <v>45269.66666666667</v>
      </c>
      <c r="C1169" s="192">
        <v>-15.58</v>
      </c>
      <c r="D1169" s="192" t="s">
        <v>933</v>
      </c>
      <c r="E1169" s="192" t="s">
        <v>934</v>
      </c>
      <c r="F1169" s="194" t="s">
        <v>895</v>
      </c>
    </row>
    <row r="1170">
      <c r="A1170" s="192" t="s">
        <v>123</v>
      </c>
      <c r="B1170" s="193">
        <v>45585.70833333333</v>
      </c>
      <c r="C1170" s="192">
        <v>-6.41</v>
      </c>
      <c r="D1170" s="192" t="s">
        <v>939</v>
      </c>
      <c r="E1170" s="192" t="s">
        <v>940</v>
      </c>
      <c r="F1170" s="194" t="s">
        <v>895</v>
      </c>
    </row>
    <row r="1171">
      <c r="A1171" s="192" t="s">
        <v>123</v>
      </c>
      <c r="B1171" s="193">
        <v>45565.70833333333</v>
      </c>
      <c r="C1171" s="192">
        <v>-6.24</v>
      </c>
      <c r="D1171" s="192" t="s">
        <v>941</v>
      </c>
      <c r="E1171" s="192" t="s">
        <v>942</v>
      </c>
      <c r="F1171" s="194" t="s">
        <v>895</v>
      </c>
    </row>
    <row r="1172">
      <c r="A1172" s="192" t="s">
        <v>123</v>
      </c>
      <c r="B1172" s="193">
        <v>45506.70833333333</v>
      </c>
      <c r="C1172" s="192">
        <v>-5.9</v>
      </c>
      <c r="D1172" s="192" t="s">
        <v>943</v>
      </c>
      <c r="E1172" s="192" t="s">
        <v>944</v>
      </c>
      <c r="F1172" s="194" t="s">
        <v>895</v>
      </c>
    </row>
    <row r="1173">
      <c r="A1173" s="192" t="s">
        <v>123</v>
      </c>
      <c r="B1173" s="193">
        <v>45587.70833333333</v>
      </c>
      <c r="C1173" s="192">
        <v>-5.31</v>
      </c>
      <c r="D1173" s="192" t="s">
        <v>945</v>
      </c>
      <c r="E1173" s="192" t="s">
        <v>946</v>
      </c>
      <c r="F1173" s="194" t="s">
        <v>895</v>
      </c>
    </row>
    <row r="1174">
      <c r="A1174" s="192" t="s">
        <v>123</v>
      </c>
      <c r="B1174" s="193">
        <v>45394.70833333333</v>
      </c>
      <c r="C1174" s="192">
        <v>-5.29</v>
      </c>
      <c r="D1174" s="192" t="s">
        <v>941</v>
      </c>
      <c r="E1174" s="192" t="s">
        <v>942</v>
      </c>
      <c r="F1174" s="194" t="s">
        <v>895</v>
      </c>
    </row>
    <row r="1175">
      <c r="A1175" s="192" t="s">
        <v>123</v>
      </c>
      <c r="B1175" s="193">
        <v>45596.70833333333</v>
      </c>
      <c r="C1175" s="192">
        <v>31.89</v>
      </c>
      <c r="D1175" s="192" t="s">
        <v>906</v>
      </c>
      <c r="E1175" s="192" t="s">
        <v>923</v>
      </c>
      <c r="F1175" s="194" t="s">
        <v>895</v>
      </c>
    </row>
    <row r="1176">
      <c r="A1176" s="192" t="s">
        <v>123</v>
      </c>
      <c r="B1176" s="193">
        <v>45560.70833333333</v>
      </c>
      <c r="C1176" s="192">
        <v>69.11</v>
      </c>
      <c r="D1176" s="192" t="s">
        <v>908</v>
      </c>
      <c r="E1176" s="192" t="s">
        <v>930</v>
      </c>
      <c r="F1176" s="194" t="s">
        <v>895</v>
      </c>
    </row>
    <row r="1177">
      <c r="A1177" s="192" t="s">
        <v>221</v>
      </c>
      <c r="B1177" s="193">
        <v>45298.66666666667</v>
      </c>
      <c r="C1177" s="192">
        <v>-0.01</v>
      </c>
      <c r="D1177" s="192" t="s">
        <v>898</v>
      </c>
      <c r="E1177" s="192" t="s">
        <v>947</v>
      </c>
      <c r="F1177" s="194" t="s">
        <v>895</v>
      </c>
    </row>
    <row r="1178">
      <c r="A1178" s="192" t="s">
        <v>221</v>
      </c>
      <c r="B1178" s="193">
        <v>45298.66666666667</v>
      </c>
      <c r="C1178" s="192">
        <v>0.01</v>
      </c>
      <c r="D1178" s="192" t="s">
        <v>898</v>
      </c>
      <c r="E1178" s="192" t="s">
        <v>948</v>
      </c>
      <c r="F1178" s="194" t="s">
        <v>895</v>
      </c>
    </row>
    <row r="1179">
      <c r="A1179" s="192" t="s">
        <v>221</v>
      </c>
      <c r="B1179" s="193">
        <v>45308.66666666667</v>
      </c>
      <c r="C1179" s="192">
        <v>38.39</v>
      </c>
      <c r="D1179" s="192" t="s">
        <v>898</v>
      </c>
      <c r="E1179" s="192" t="s">
        <v>949</v>
      </c>
      <c r="F1179" s="194" t="s">
        <v>895</v>
      </c>
    </row>
    <row r="1180">
      <c r="A1180" s="192" t="s">
        <v>221</v>
      </c>
      <c r="B1180" s="193">
        <v>45312.66666666667</v>
      </c>
      <c r="C1180" s="192">
        <v>84.46</v>
      </c>
      <c r="D1180" s="192" t="s">
        <v>898</v>
      </c>
      <c r="E1180" s="192" t="s">
        <v>950</v>
      </c>
      <c r="F1180" s="194" t="s">
        <v>895</v>
      </c>
    </row>
    <row r="1181">
      <c r="A1181" s="192" t="s">
        <v>133</v>
      </c>
      <c r="B1181" s="193">
        <v>45310.66666666667</v>
      </c>
      <c r="C1181" s="192">
        <v>-309.47</v>
      </c>
      <c r="D1181" s="192" t="s">
        <v>908</v>
      </c>
      <c r="E1181" s="192" t="s">
        <v>951</v>
      </c>
      <c r="F1181" s="194" t="s">
        <v>895</v>
      </c>
    </row>
    <row r="1182">
      <c r="A1182" s="192" t="s">
        <v>133</v>
      </c>
      <c r="B1182" s="193">
        <v>45560.70833333333</v>
      </c>
      <c r="C1182" s="192">
        <v>-180.58</v>
      </c>
      <c r="D1182" s="192" t="s">
        <v>952</v>
      </c>
      <c r="E1182" s="192" t="s">
        <v>953</v>
      </c>
      <c r="F1182" s="194" t="s">
        <v>895</v>
      </c>
    </row>
    <row r="1183">
      <c r="A1183" s="192" t="s">
        <v>133</v>
      </c>
      <c r="B1183" s="193">
        <v>45239.66666666667</v>
      </c>
      <c r="C1183" s="192">
        <v>-63.98</v>
      </c>
      <c r="D1183" s="192" t="s">
        <v>954</v>
      </c>
      <c r="E1183" s="192" t="s">
        <v>955</v>
      </c>
      <c r="F1183" s="194" t="s">
        <v>895</v>
      </c>
    </row>
    <row r="1184">
      <c r="A1184" s="192" t="s">
        <v>133</v>
      </c>
      <c r="B1184" s="193">
        <v>45246.66666666667</v>
      </c>
      <c r="C1184" s="192">
        <v>-55.8</v>
      </c>
      <c r="D1184" s="192" t="s">
        <v>954</v>
      </c>
      <c r="E1184" s="192" t="s">
        <v>955</v>
      </c>
      <c r="F1184" s="194" t="s">
        <v>895</v>
      </c>
    </row>
    <row r="1185">
      <c r="A1185" s="192" t="s">
        <v>133</v>
      </c>
      <c r="B1185" s="193">
        <v>45329.66666666667</v>
      </c>
      <c r="C1185" s="192">
        <v>-31.89</v>
      </c>
      <c r="D1185" s="192" t="s">
        <v>956</v>
      </c>
      <c r="E1185" s="192" t="s">
        <v>957</v>
      </c>
      <c r="F1185" s="194" t="s">
        <v>895</v>
      </c>
    </row>
    <row r="1186">
      <c r="A1186" s="192" t="s">
        <v>133</v>
      </c>
      <c r="B1186" s="193">
        <v>45350.66666666667</v>
      </c>
      <c r="C1186" s="192">
        <v>-5.4</v>
      </c>
      <c r="D1186" s="192" t="s">
        <v>898</v>
      </c>
      <c r="E1186" s="192" t="s">
        <v>958</v>
      </c>
      <c r="F1186" s="194" t="s">
        <v>895</v>
      </c>
    </row>
    <row r="1187">
      <c r="A1187" s="192" t="s">
        <v>133</v>
      </c>
      <c r="B1187" s="193">
        <v>45342.66666666667</v>
      </c>
      <c r="C1187" s="192">
        <v>-0.3</v>
      </c>
      <c r="D1187" s="192" t="s">
        <v>898</v>
      </c>
      <c r="E1187" s="192" t="s">
        <v>959</v>
      </c>
      <c r="F1187" s="194" t="s">
        <v>895</v>
      </c>
    </row>
    <row r="1188">
      <c r="A1188" s="192" t="s">
        <v>107</v>
      </c>
      <c r="B1188" s="193">
        <v>45244.66666666667</v>
      </c>
      <c r="C1188" s="192">
        <v>-16.47</v>
      </c>
      <c r="D1188" s="192" t="s">
        <v>960</v>
      </c>
      <c r="E1188" s="192" t="s">
        <v>961</v>
      </c>
      <c r="F1188" s="194" t="s">
        <v>962</v>
      </c>
    </row>
    <row r="1189">
      <c r="A1189" s="192" t="s">
        <v>107</v>
      </c>
      <c r="B1189" s="193">
        <v>45274.66666666667</v>
      </c>
      <c r="C1189" s="192">
        <v>-16.47</v>
      </c>
      <c r="D1189" s="192" t="s">
        <v>960</v>
      </c>
      <c r="E1189" s="192" t="s">
        <v>961</v>
      </c>
      <c r="F1189" s="194" t="s">
        <v>962</v>
      </c>
    </row>
    <row r="1190">
      <c r="A1190" s="192" t="s">
        <v>107</v>
      </c>
      <c r="B1190" s="193">
        <v>45305.66666666667</v>
      </c>
      <c r="C1190" s="192">
        <v>-16.47</v>
      </c>
      <c r="D1190" s="192" t="s">
        <v>960</v>
      </c>
      <c r="E1190" s="192" t="s">
        <v>961</v>
      </c>
      <c r="F1190" s="194" t="s">
        <v>962</v>
      </c>
    </row>
    <row r="1191">
      <c r="A1191" s="192" t="s">
        <v>107</v>
      </c>
      <c r="B1191" s="193">
        <v>45336.66666666667</v>
      </c>
      <c r="C1191" s="192">
        <v>-16.47</v>
      </c>
      <c r="D1191" s="192" t="s">
        <v>960</v>
      </c>
      <c r="E1191" s="192" t="s">
        <v>961</v>
      </c>
      <c r="F1191" s="194" t="s">
        <v>962</v>
      </c>
    </row>
    <row r="1192">
      <c r="A1192" s="192" t="s">
        <v>107</v>
      </c>
      <c r="B1192" s="193">
        <v>45365.70833333333</v>
      </c>
      <c r="C1192" s="192">
        <v>-16.47</v>
      </c>
      <c r="D1192" s="192" t="s">
        <v>960</v>
      </c>
      <c r="E1192" s="192" t="s">
        <v>961</v>
      </c>
      <c r="F1192" s="194" t="s">
        <v>962</v>
      </c>
    </row>
    <row r="1193">
      <c r="A1193" s="192" t="s">
        <v>107</v>
      </c>
      <c r="B1193" s="193">
        <v>45396.70833333333</v>
      </c>
      <c r="C1193" s="192">
        <v>-16.47</v>
      </c>
      <c r="D1193" s="192" t="s">
        <v>960</v>
      </c>
      <c r="E1193" s="192" t="s">
        <v>961</v>
      </c>
      <c r="F1193" s="194" t="s">
        <v>962</v>
      </c>
    </row>
    <row r="1194">
      <c r="A1194" s="192" t="s">
        <v>107</v>
      </c>
      <c r="B1194" s="193">
        <v>45426.70833333333</v>
      </c>
      <c r="C1194" s="192">
        <v>-16.47</v>
      </c>
      <c r="D1194" s="192" t="s">
        <v>960</v>
      </c>
      <c r="E1194" s="192" t="s">
        <v>961</v>
      </c>
      <c r="F1194" s="194" t="s">
        <v>962</v>
      </c>
    </row>
    <row r="1195">
      <c r="A1195" s="192" t="s">
        <v>107</v>
      </c>
      <c r="B1195" s="193">
        <v>45457.70833333333</v>
      </c>
      <c r="C1195" s="192">
        <v>-16.47</v>
      </c>
      <c r="D1195" s="192" t="s">
        <v>960</v>
      </c>
      <c r="E1195" s="192" t="s">
        <v>961</v>
      </c>
      <c r="F1195" s="194" t="s">
        <v>962</v>
      </c>
    </row>
    <row r="1196">
      <c r="A1196" s="192" t="s">
        <v>107</v>
      </c>
      <c r="B1196" s="193">
        <v>45487.70833333333</v>
      </c>
      <c r="C1196" s="192">
        <v>-16.47</v>
      </c>
      <c r="D1196" s="192" t="s">
        <v>960</v>
      </c>
      <c r="E1196" s="192" t="s">
        <v>961</v>
      </c>
      <c r="F1196" s="194" t="s">
        <v>962</v>
      </c>
    </row>
    <row r="1197">
      <c r="A1197" s="192" t="s">
        <v>107</v>
      </c>
      <c r="B1197" s="193">
        <v>45518.70833333333</v>
      </c>
      <c r="C1197" s="192">
        <v>-16.47</v>
      </c>
      <c r="D1197" s="192" t="s">
        <v>960</v>
      </c>
      <c r="E1197" s="192" t="s">
        <v>961</v>
      </c>
      <c r="F1197" s="194" t="s">
        <v>962</v>
      </c>
    </row>
    <row r="1198">
      <c r="A1198" s="192" t="s">
        <v>107</v>
      </c>
      <c r="B1198" s="193">
        <v>45549.70833333333</v>
      </c>
      <c r="C1198" s="192">
        <v>-16.47</v>
      </c>
      <c r="D1198" s="192" t="s">
        <v>960</v>
      </c>
      <c r="E1198" s="192" t="s">
        <v>961</v>
      </c>
      <c r="F1198" s="194" t="s">
        <v>962</v>
      </c>
    </row>
    <row r="1199">
      <c r="A1199" s="192" t="s">
        <v>107</v>
      </c>
      <c r="B1199" s="193">
        <v>45579.70833333333</v>
      </c>
      <c r="C1199" s="192">
        <v>-16.47</v>
      </c>
      <c r="D1199" s="192" t="s">
        <v>960</v>
      </c>
      <c r="E1199" s="192" t="s">
        <v>961</v>
      </c>
      <c r="F1199" s="194" t="s">
        <v>962</v>
      </c>
    </row>
    <row r="1200">
      <c r="A1200" s="192" t="s">
        <v>107</v>
      </c>
      <c r="B1200" s="193">
        <v>45580.70833333333</v>
      </c>
      <c r="C1200" s="192">
        <v>-15.94</v>
      </c>
      <c r="D1200" s="192" t="s">
        <v>963</v>
      </c>
      <c r="E1200" s="192" t="s">
        <v>964</v>
      </c>
      <c r="F1200" s="194" t="s">
        <v>962</v>
      </c>
    </row>
    <row r="1201">
      <c r="A1201" s="192" t="s">
        <v>107</v>
      </c>
      <c r="B1201" s="193">
        <v>45578.70833333333</v>
      </c>
      <c r="C1201" s="192">
        <v>-6.37</v>
      </c>
      <c r="D1201" s="192" t="s">
        <v>965</v>
      </c>
      <c r="E1201" s="192" t="s">
        <v>966</v>
      </c>
      <c r="F1201" s="194" t="s">
        <v>962</v>
      </c>
    </row>
    <row r="1202">
      <c r="A1202" s="192" t="s">
        <v>133</v>
      </c>
      <c r="B1202" s="193">
        <v>45319.66666666667</v>
      </c>
      <c r="C1202" s="192">
        <v>-14.99</v>
      </c>
      <c r="D1202" s="192" t="s">
        <v>967</v>
      </c>
      <c r="E1202" s="192" t="s">
        <v>968</v>
      </c>
      <c r="F1202" s="194" t="s">
        <v>962</v>
      </c>
    </row>
    <row r="1203">
      <c r="A1203" s="192" t="s">
        <v>133</v>
      </c>
      <c r="B1203" s="193">
        <v>45335.66666666667</v>
      </c>
      <c r="C1203" s="192">
        <v>6.9</v>
      </c>
      <c r="D1203" s="192" t="s">
        <v>967</v>
      </c>
      <c r="E1203" s="192" t="s">
        <v>969</v>
      </c>
      <c r="F1203" s="194" t="s">
        <v>962</v>
      </c>
    </row>
    <row r="1204">
      <c r="A1204" s="192" t="s">
        <v>158</v>
      </c>
      <c r="B1204" s="193">
        <v>45376.70833333333</v>
      </c>
      <c r="C1204" s="192">
        <v>-4935.0</v>
      </c>
      <c r="D1204" s="192" t="s">
        <v>970</v>
      </c>
      <c r="E1204" s="192" t="s">
        <v>971</v>
      </c>
      <c r="F1204" s="194" t="s">
        <v>76</v>
      </c>
    </row>
    <row r="1205">
      <c r="A1205" s="192" t="s">
        <v>158</v>
      </c>
      <c r="B1205" s="193">
        <v>45382.70833333333</v>
      </c>
      <c r="C1205" s="192">
        <v>968.0</v>
      </c>
      <c r="D1205" s="192" t="s">
        <v>972</v>
      </c>
      <c r="E1205" s="192" t="s">
        <v>973</v>
      </c>
      <c r="F1205" s="194" t="s">
        <v>76</v>
      </c>
    </row>
    <row r="1206">
      <c r="A1206" s="192" t="s">
        <v>123</v>
      </c>
      <c r="B1206" s="193">
        <v>45422.70833333333</v>
      </c>
      <c r="C1206" s="192">
        <v>-23.52</v>
      </c>
      <c r="D1206" s="192" t="s">
        <v>974</v>
      </c>
      <c r="E1206" s="192" t="s">
        <v>975</v>
      </c>
      <c r="F1206" s="194" t="s">
        <v>976</v>
      </c>
    </row>
    <row r="1207">
      <c r="A1207" s="192" t="s">
        <v>123</v>
      </c>
      <c r="B1207" s="193">
        <v>45587.70833333333</v>
      </c>
      <c r="C1207" s="192">
        <v>-12.4</v>
      </c>
      <c r="D1207" s="192" t="s">
        <v>977</v>
      </c>
      <c r="E1207" s="192" t="s">
        <v>978</v>
      </c>
      <c r="F1207" s="194" t="s">
        <v>976</v>
      </c>
    </row>
    <row r="1208">
      <c r="A1208" s="192" t="s">
        <v>123</v>
      </c>
      <c r="B1208" s="193">
        <v>45587.70833333333</v>
      </c>
      <c r="C1208" s="192">
        <v>-8.74</v>
      </c>
      <c r="D1208" s="192" t="s">
        <v>977</v>
      </c>
      <c r="E1208" s="192" t="s">
        <v>978</v>
      </c>
      <c r="F1208" s="194" t="s">
        <v>976</v>
      </c>
    </row>
    <row r="1209">
      <c r="A1209" s="192" t="s">
        <v>123</v>
      </c>
      <c r="B1209" s="193">
        <v>45585.70833333333</v>
      </c>
      <c r="C1209" s="192">
        <v>-8.59</v>
      </c>
      <c r="D1209" s="192" t="s">
        <v>977</v>
      </c>
      <c r="E1209" s="192" t="s">
        <v>978</v>
      </c>
      <c r="F1209" s="194" t="s">
        <v>976</v>
      </c>
    </row>
    <row r="1210">
      <c r="A1210" s="192" t="s">
        <v>123</v>
      </c>
      <c r="B1210" s="193">
        <v>45586.70833333333</v>
      </c>
      <c r="C1210" s="192">
        <v>-7.57</v>
      </c>
      <c r="D1210" s="192" t="s">
        <v>977</v>
      </c>
      <c r="E1210" s="192" t="s">
        <v>978</v>
      </c>
      <c r="F1210" s="194" t="s">
        <v>976</v>
      </c>
    </row>
    <row r="1211">
      <c r="A1211" s="192" t="s">
        <v>123</v>
      </c>
      <c r="B1211" s="193">
        <v>45585.70833333333</v>
      </c>
      <c r="C1211" s="192">
        <v>-7.34</v>
      </c>
      <c r="D1211" s="192" t="s">
        <v>977</v>
      </c>
      <c r="E1211" s="192" t="s">
        <v>978</v>
      </c>
      <c r="F1211" s="194" t="s">
        <v>976</v>
      </c>
    </row>
    <row r="1212">
      <c r="A1212" s="192" t="s">
        <v>123</v>
      </c>
      <c r="B1212" s="193">
        <v>45585.70833333333</v>
      </c>
      <c r="C1212" s="192">
        <v>-7.24</v>
      </c>
      <c r="D1212" s="192" t="s">
        <v>977</v>
      </c>
      <c r="E1212" s="192" t="s">
        <v>978</v>
      </c>
      <c r="F1212" s="194" t="s">
        <v>976</v>
      </c>
    </row>
    <row r="1213">
      <c r="A1213" s="192" t="s">
        <v>123</v>
      </c>
      <c r="B1213" s="193">
        <v>45586.70833333333</v>
      </c>
      <c r="C1213" s="192">
        <v>-7.07</v>
      </c>
      <c r="D1213" s="192" t="s">
        <v>977</v>
      </c>
      <c r="E1213" s="192" t="s">
        <v>978</v>
      </c>
      <c r="F1213" s="194" t="s">
        <v>976</v>
      </c>
    </row>
    <row r="1214">
      <c r="A1214" s="192" t="s">
        <v>123</v>
      </c>
      <c r="B1214" s="193">
        <v>45585.70833333333</v>
      </c>
      <c r="C1214" s="192">
        <v>-6.98</v>
      </c>
      <c r="D1214" s="192" t="s">
        <v>977</v>
      </c>
      <c r="E1214" s="192" t="s">
        <v>978</v>
      </c>
      <c r="F1214" s="194" t="s">
        <v>976</v>
      </c>
    </row>
    <row r="1215">
      <c r="A1215" s="192" t="s">
        <v>123</v>
      </c>
      <c r="B1215" s="193">
        <v>45588.70833333333</v>
      </c>
      <c r="C1215" s="192">
        <v>-6.77</v>
      </c>
      <c r="D1215" s="192" t="s">
        <v>977</v>
      </c>
      <c r="E1215" s="192" t="s">
        <v>978</v>
      </c>
      <c r="F1215" s="194" t="s">
        <v>976</v>
      </c>
    </row>
    <row r="1216">
      <c r="A1216" s="192" t="s">
        <v>123</v>
      </c>
      <c r="B1216" s="193">
        <v>45585.70833333333</v>
      </c>
      <c r="C1216" s="192">
        <v>-1.09</v>
      </c>
      <c r="D1216" s="192" t="s">
        <v>977</v>
      </c>
      <c r="E1216" s="192" t="s">
        <v>978</v>
      </c>
      <c r="F1216" s="194" t="s">
        <v>976</v>
      </c>
    </row>
    <row r="1217">
      <c r="A1217" s="192" t="s">
        <v>123</v>
      </c>
      <c r="B1217" s="193">
        <v>45585.70833333333</v>
      </c>
      <c r="C1217" s="192">
        <v>-1.09</v>
      </c>
      <c r="D1217" s="192" t="s">
        <v>977</v>
      </c>
      <c r="E1217" s="192" t="s">
        <v>978</v>
      </c>
      <c r="F1217" s="194" t="s">
        <v>976</v>
      </c>
    </row>
    <row r="1218">
      <c r="A1218" s="192" t="s">
        <v>123</v>
      </c>
      <c r="B1218" s="193">
        <v>45587.70833333333</v>
      </c>
      <c r="C1218" s="192">
        <v>-1.08</v>
      </c>
      <c r="D1218" s="192" t="s">
        <v>977</v>
      </c>
      <c r="E1218" s="192" t="s">
        <v>978</v>
      </c>
      <c r="F1218" s="194" t="s">
        <v>976</v>
      </c>
    </row>
    <row r="1219">
      <c r="A1219" s="192" t="s">
        <v>158</v>
      </c>
      <c r="B1219" s="193">
        <v>45581.70833333333</v>
      </c>
      <c r="C1219" s="192">
        <v>-105.35</v>
      </c>
      <c r="D1219" s="192" t="s">
        <v>979</v>
      </c>
      <c r="E1219" s="192" t="s">
        <v>980</v>
      </c>
      <c r="F1219" s="194" t="s">
        <v>976</v>
      </c>
    </row>
    <row r="1220">
      <c r="A1220" s="192" t="s">
        <v>158</v>
      </c>
      <c r="B1220" s="193">
        <v>45312.66666666667</v>
      </c>
      <c r="C1220" s="192">
        <v>-100.23</v>
      </c>
      <c r="D1220" s="192" t="s">
        <v>979</v>
      </c>
      <c r="E1220" s="192" t="s">
        <v>980</v>
      </c>
      <c r="F1220" s="194" t="s">
        <v>976</v>
      </c>
    </row>
    <row r="1221">
      <c r="A1221" s="192" t="s">
        <v>158</v>
      </c>
      <c r="B1221" s="193">
        <v>45399.70833333333</v>
      </c>
      <c r="C1221" s="192">
        <v>-92.65</v>
      </c>
      <c r="D1221" s="192" t="s">
        <v>979</v>
      </c>
      <c r="E1221" s="192" t="s">
        <v>980</v>
      </c>
      <c r="F1221" s="194" t="s">
        <v>976</v>
      </c>
    </row>
    <row r="1222">
      <c r="A1222" s="192" t="s">
        <v>158</v>
      </c>
      <c r="B1222" s="193">
        <v>45494.70833333333</v>
      </c>
      <c r="C1222" s="192">
        <v>-92.65</v>
      </c>
      <c r="D1222" s="192" t="s">
        <v>979</v>
      </c>
      <c r="E1222" s="192" t="s">
        <v>980</v>
      </c>
      <c r="F1222" s="194" t="s">
        <v>976</v>
      </c>
    </row>
    <row r="1223">
      <c r="A1223" s="192" t="s">
        <v>173</v>
      </c>
      <c r="B1223" s="193">
        <v>45245.66666666667</v>
      </c>
      <c r="C1223" s="192">
        <v>-150.0</v>
      </c>
      <c r="E1223" s="192" t="s">
        <v>981</v>
      </c>
      <c r="F1223" s="194" t="s">
        <v>982</v>
      </c>
    </row>
    <row r="1224">
      <c r="A1224" s="192" t="s">
        <v>173</v>
      </c>
      <c r="B1224" s="193">
        <v>45277.66666666667</v>
      </c>
      <c r="C1224" s="192">
        <v>-150.0</v>
      </c>
      <c r="E1224" s="192" t="s">
        <v>983</v>
      </c>
      <c r="F1224" s="194" t="s">
        <v>982</v>
      </c>
    </row>
    <row r="1225">
      <c r="A1225" s="192" t="s">
        <v>173</v>
      </c>
      <c r="B1225" s="193">
        <v>45307.66666666667</v>
      </c>
      <c r="C1225" s="192">
        <v>-150.0</v>
      </c>
      <c r="E1225" s="192" t="s">
        <v>984</v>
      </c>
      <c r="F1225" s="194" t="s">
        <v>982</v>
      </c>
    </row>
    <row r="1226">
      <c r="A1226" s="192" t="s">
        <v>173</v>
      </c>
      <c r="B1226" s="193">
        <v>45336.66666666667</v>
      </c>
      <c r="C1226" s="192">
        <v>-150.0</v>
      </c>
      <c r="E1226" s="192" t="s">
        <v>985</v>
      </c>
      <c r="F1226" s="194" t="s">
        <v>982</v>
      </c>
    </row>
    <row r="1227">
      <c r="A1227" s="192" t="s">
        <v>173</v>
      </c>
      <c r="B1227" s="193">
        <v>45368.70833333333</v>
      </c>
      <c r="C1227" s="192">
        <v>-150.0</v>
      </c>
      <c r="E1227" s="192" t="s">
        <v>986</v>
      </c>
      <c r="F1227" s="194" t="s">
        <v>982</v>
      </c>
    </row>
    <row r="1228">
      <c r="A1228" s="192" t="s">
        <v>173</v>
      </c>
      <c r="B1228" s="193">
        <v>45398.70833333333</v>
      </c>
      <c r="C1228" s="192">
        <v>-150.0</v>
      </c>
      <c r="E1228" s="192" t="s">
        <v>987</v>
      </c>
      <c r="F1228" s="194" t="s">
        <v>982</v>
      </c>
    </row>
    <row r="1229">
      <c r="A1229" s="192" t="s">
        <v>173</v>
      </c>
      <c r="B1229" s="193">
        <v>45427.70833333333</v>
      </c>
      <c r="C1229" s="192">
        <v>-150.0</v>
      </c>
      <c r="E1229" s="192" t="s">
        <v>988</v>
      </c>
      <c r="F1229" s="194" t="s">
        <v>982</v>
      </c>
    </row>
    <row r="1230">
      <c r="A1230" s="192" t="s">
        <v>173</v>
      </c>
      <c r="B1230" s="193">
        <v>45459.70833333333</v>
      </c>
      <c r="C1230" s="192">
        <v>-150.0</v>
      </c>
      <c r="E1230" s="192" t="s">
        <v>989</v>
      </c>
      <c r="F1230" s="194" t="s">
        <v>982</v>
      </c>
    </row>
    <row r="1231">
      <c r="A1231" s="192" t="s">
        <v>173</v>
      </c>
      <c r="B1231" s="193">
        <v>45489.70833333333</v>
      </c>
      <c r="C1231" s="192">
        <v>-150.0</v>
      </c>
      <c r="E1231" s="192" t="s">
        <v>990</v>
      </c>
      <c r="F1231" s="194" t="s">
        <v>982</v>
      </c>
    </row>
    <row r="1232">
      <c r="A1232" s="192" t="s">
        <v>173</v>
      </c>
      <c r="B1232" s="193">
        <v>45519.70833333333</v>
      </c>
      <c r="C1232" s="192">
        <v>-150.0</v>
      </c>
      <c r="E1232" s="192" t="s">
        <v>991</v>
      </c>
      <c r="F1232" s="194" t="s">
        <v>982</v>
      </c>
    </row>
    <row r="1233">
      <c r="A1233" s="192" t="s">
        <v>173</v>
      </c>
      <c r="B1233" s="193">
        <v>45552.70833333333</v>
      </c>
      <c r="C1233" s="192">
        <v>-150.0</v>
      </c>
      <c r="E1233" s="192" t="s">
        <v>992</v>
      </c>
      <c r="F1233" s="194" t="s">
        <v>982</v>
      </c>
    </row>
    <row r="1234">
      <c r="A1234" s="192" t="s">
        <v>173</v>
      </c>
      <c r="B1234" s="193">
        <v>45580.70833333333</v>
      </c>
      <c r="C1234" s="192">
        <v>-150.0</v>
      </c>
      <c r="E1234" s="192" t="s">
        <v>993</v>
      </c>
      <c r="F1234" s="194" t="s">
        <v>982</v>
      </c>
    </row>
    <row r="1235">
      <c r="A1235" s="192" t="s">
        <v>173</v>
      </c>
      <c r="B1235" s="193">
        <v>45250.66666666667</v>
      </c>
      <c r="C1235" s="192">
        <v>-75.0</v>
      </c>
      <c r="D1235" s="192" t="s">
        <v>994</v>
      </c>
      <c r="E1235" s="192" t="s">
        <v>995</v>
      </c>
      <c r="F1235" s="194" t="s">
        <v>982</v>
      </c>
    </row>
    <row r="1236">
      <c r="A1236" s="192" t="s">
        <v>173</v>
      </c>
      <c r="B1236" s="193">
        <v>45280.66666666667</v>
      </c>
      <c r="C1236" s="192">
        <v>-75.0</v>
      </c>
      <c r="D1236" s="192" t="s">
        <v>994</v>
      </c>
      <c r="E1236" s="192" t="s">
        <v>995</v>
      </c>
      <c r="F1236" s="194" t="s">
        <v>982</v>
      </c>
    </row>
    <row r="1237">
      <c r="A1237" s="192" t="s">
        <v>173</v>
      </c>
      <c r="B1237" s="193">
        <v>45312.66666666667</v>
      </c>
      <c r="C1237" s="192">
        <v>-75.0</v>
      </c>
      <c r="D1237" s="192" t="s">
        <v>994</v>
      </c>
      <c r="E1237" s="192" t="s">
        <v>995</v>
      </c>
      <c r="F1237" s="194" t="s">
        <v>982</v>
      </c>
    </row>
    <row r="1238">
      <c r="A1238" s="192" t="s">
        <v>173</v>
      </c>
      <c r="B1238" s="193">
        <v>45350.66666666667</v>
      </c>
      <c r="C1238" s="192">
        <v>-58.0</v>
      </c>
      <c r="E1238" s="192" t="s">
        <v>996</v>
      </c>
      <c r="F1238" s="194" t="s">
        <v>982</v>
      </c>
    </row>
    <row r="1239">
      <c r="A1239" s="192" t="s">
        <v>173</v>
      </c>
      <c r="B1239" s="193">
        <v>45442.70833333333</v>
      </c>
      <c r="C1239" s="192">
        <v>-52.0</v>
      </c>
      <c r="E1239" s="192" t="s">
        <v>997</v>
      </c>
      <c r="F1239" s="194" t="s">
        <v>982</v>
      </c>
    </row>
    <row r="1240">
      <c r="A1240" s="192" t="s">
        <v>173</v>
      </c>
      <c r="B1240" s="193">
        <v>45477.70833333333</v>
      </c>
      <c r="C1240" s="192">
        <v>-50.0</v>
      </c>
      <c r="E1240" s="192" t="s">
        <v>998</v>
      </c>
      <c r="F1240" s="194" t="s">
        <v>982</v>
      </c>
    </row>
    <row r="1241">
      <c r="A1241" s="192" t="s">
        <v>173</v>
      </c>
      <c r="B1241" s="193">
        <v>45263.66666666667</v>
      </c>
      <c r="C1241" s="192">
        <v>-40.0</v>
      </c>
      <c r="E1241" s="192" t="s">
        <v>999</v>
      </c>
      <c r="F1241" s="194" t="s">
        <v>982</v>
      </c>
    </row>
    <row r="1242">
      <c r="A1242" s="192" t="s">
        <v>173</v>
      </c>
      <c r="B1242" s="193">
        <v>45467.70833333333</v>
      </c>
      <c r="C1242" s="192">
        <v>-39.0</v>
      </c>
      <c r="E1242" s="192" t="s">
        <v>1000</v>
      </c>
      <c r="F1242" s="194" t="s">
        <v>982</v>
      </c>
    </row>
    <row r="1243">
      <c r="A1243" s="192" t="s">
        <v>173</v>
      </c>
      <c r="B1243" s="193">
        <v>45403.70833333333</v>
      </c>
      <c r="C1243" s="192">
        <v>-30.0</v>
      </c>
      <c r="E1243" s="192" t="s">
        <v>1001</v>
      </c>
      <c r="F1243" s="194" t="s">
        <v>982</v>
      </c>
    </row>
    <row r="1244">
      <c r="A1244" s="192" t="s">
        <v>173</v>
      </c>
      <c r="B1244" s="193">
        <v>45244.66666666667</v>
      </c>
      <c r="C1244" s="192">
        <v>63.0</v>
      </c>
      <c r="E1244" s="192" t="s">
        <v>1002</v>
      </c>
      <c r="F1244" s="194" t="s">
        <v>982</v>
      </c>
    </row>
    <row r="1245">
      <c r="A1245" s="192" t="s">
        <v>173</v>
      </c>
      <c r="B1245" s="193">
        <v>45420.70833333333</v>
      </c>
      <c r="C1245" s="192">
        <v>98.0</v>
      </c>
      <c r="E1245" s="192" t="s">
        <v>1003</v>
      </c>
      <c r="F1245" s="194" t="s">
        <v>982</v>
      </c>
    </row>
    <row r="1246">
      <c r="A1246" s="192" t="s">
        <v>173</v>
      </c>
      <c r="B1246" s="193">
        <v>45256.66666666667</v>
      </c>
      <c r="C1246" s="192">
        <v>120.0</v>
      </c>
      <c r="E1246" s="192" t="s">
        <v>1004</v>
      </c>
      <c r="F1246" s="194" t="s">
        <v>982</v>
      </c>
    </row>
    <row r="1247">
      <c r="A1247" s="192" t="s">
        <v>173</v>
      </c>
      <c r="B1247" s="193">
        <v>45596.70833333333</v>
      </c>
      <c r="C1247" s="192">
        <v>375.0</v>
      </c>
      <c r="E1247" s="192" t="s">
        <v>1005</v>
      </c>
      <c r="F1247" s="194" t="s">
        <v>982</v>
      </c>
    </row>
    <row r="1248">
      <c r="A1248" s="192" t="s">
        <v>173</v>
      </c>
      <c r="B1248" s="193">
        <v>45260.66666666667</v>
      </c>
      <c r="C1248" s="192">
        <v>400.0</v>
      </c>
      <c r="E1248" s="192" t="s">
        <v>1006</v>
      </c>
      <c r="F1248" s="194" t="s">
        <v>982</v>
      </c>
    </row>
    <row r="1249">
      <c r="A1249" s="192" t="s">
        <v>173</v>
      </c>
      <c r="B1249" s="193">
        <v>45293.66666666667</v>
      </c>
      <c r="C1249" s="192">
        <v>400.0</v>
      </c>
      <c r="E1249" s="192" t="s">
        <v>1007</v>
      </c>
      <c r="F1249" s="194" t="s">
        <v>982</v>
      </c>
    </row>
    <row r="1250">
      <c r="A1250" s="192" t="s">
        <v>173</v>
      </c>
      <c r="B1250" s="193">
        <v>45323.66666666667</v>
      </c>
      <c r="C1250" s="192">
        <v>400.0</v>
      </c>
      <c r="E1250" s="192" t="s">
        <v>1008</v>
      </c>
      <c r="F1250" s="194" t="s">
        <v>982</v>
      </c>
    </row>
    <row r="1251">
      <c r="A1251" s="192" t="s">
        <v>173</v>
      </c>
      <c r="B1251" s="193">
        <v>45351.66666666667</v>
      </c>
      <c r="C1251" s="192">
        <v>400.0</v>
      </c>
      <c r="E1251" s="192" t="s">
        <v>1009</v>
      </c>
      <c r="F1251" s="194" t="s">
        <v>982</v>
      </c>
    </row>
    <row r="1252">
      <c r="A1252" s="192" t="s">
        <v>173</v>
      </c>
      <c r="B1252" s="193">
        <v>45384.70833333333</v>
      </c>
      <c r="C1252" s="192">
        <v>400.0</v>
      </c>
      <c r="E1252" s="192" t="s">
        <v>1010</v>
      </c>
      <c r="F1252" s="194" t="s">
        <v>982</v>
      </c>
    </row>
    <row r="1253">
      <c r="A1253" s="192" t="s">
        <v>173</v>
      </c>
      <c r="B1253" s="193">
        <v>45414.70833333333</v>
      </c>
      <c r="C1253" s="192">
        <v>400.0</v>
      </c>
      <c r="E1253" s="192" t="s">
        <v>1011</v>
      </c>
      <c r="F1253" s="194" t="s">
        <v>982</v>
      </c>
    </row>
    <row r="1254">
      <c r="A1254" s="192" t="s">
        <v>173</v>
      </c>
      <c r="B1254" s="193">
        <v>45445.70833333333</v>
      </c>
      <c r="C1254" s="192">
        <v>400.0</v>
      </c>
      <c r="E1254" s="192" t="s">
        <v>1012</v>
      </c>
      <c r="F1254" s="194" t="s">
        <v>982</v>
      </c>
    </row>
    <row r="1255">
      <c r="A1255" s="192" t="s">
        <v>173</v>
      </c>
      <c r="B1255" s="193">
        <v>45475.70833333333</v>
      </c>
      <c r="C1255" s="192">
        <v>400.0</v>
      </c>
      <c r="E1255" s="192" t="s">
        <v>1013</v>
      </c>
      <c r="F1255" s="194" t="s">
        <v>982</v>
      </c>
    </row>
    <row r="1256">
      <c r="A1256" s="192" t="s">
        <v>173</v>
      </c>
      <c r="B1256" s="193">
        <v>45505.70833333333</v>
      </c>
      <c r="C1256" s="192">
        <v>400.0</v>
      </c>
      <c r="E1256" s="192" t="s">
        <v>1014</v>
      </c>
      <c r="F1256" s="194" t="s">
        <v>982</v>
      </c>
    </row>
    <row r="1257">
      <c r="A1257" s="192" t="s">
        <v>173</v>
      </c>
      <c r="B1257" s="193">
        <v>45537.70833333333</v>
      </c>
      <c r="C1257" s="192">
        <v>400.0</v>
      </c>
      <c r="E1257" s="192" t="s">
        <v>1015</v>
      </c>
      <c r="F1257" s="194" t="s">
        <v>982</v>
      </c>
    </row>
    <row r="1258">
      <c r="A1258" s="192" t="s">
        <v>173</v>
      </c>
      <c r="B1258" s="193">
        <v>45567.70833333333</v>
      </c>
      <c r="C1258" s="192">
        <v>400.0</v>
      </c>
      <c r="E1258" s="192" t="s">
        <v>1016</v>
      </c>
      <c r="F1258" s="194" t="s">
        <v>982</v>
      </c>
    </row>
    <row r="1259">
      <c r="A1259" s="192" t="s">
        <v>173</v>
      </c>
      <c r="B1259" s="193">
        <v>45596.70833333333</v>
      </c>
      <c r="C1259" s="192">
        <v>400.0</v>
      </c>
      <c r="E1259" s="192" t="s">
        <v>1017</v>
      </c>
      <c r="F1259" s="194" t="s">
        <v>982</v>
      </c>
    </row>
    <row r="1260">
      <c r="A1260" s="192" t="s">
        <v>173</v>
      </c>
      <c r="B1260" s="193">
        <v>45554.70833333333</v>
      </c>
      <c r="C1260" s="192">
        <v>472.0</v>
      </c>
      <c r="E1260" s="192" t="s">
        <v>1018</v>
      </c>
      <c r="F1260" s="194" t="s">
        <v>982</v>
      </c>
    </row>
    <row r="1261">
      <c r="A1261" s="192" t="s">
        <v>173</v>
      </c>
      <c r="B1261" s="193">
        <v>45298.66666666667</v>
      </c>
      <c r="C1261" s="192">
        <v>522.0</v>
      </c>
      <c r="E1261" s="192" t="s">
        <v>1019</v>
      </c>
      <c r="F1261" s="194" t="s">
        <v>982</v>
      </c>
    </row>
    <row r="1262">
      <c r="A1262" s="192" t="s">
        <v>173</v>
      </c>
      <c r="B1262" s="193">
        <v>45557.70833333333</v>
      </c>
      <c r="C1262" s="192">
        <v>600.0</v>
      </c>
      <c r="D1262" s="192" t="s">
        <v>1020</v>
      </c>
      <c r="E1262" s="192" t="s">
        <v>1021</v>
      </c>
      <c r="F1262" s="194" t="s">
        <v>982</v>
      </c>
    </row>
    <row r="1263">
      <c r="A1263" s="192" t="s">
        <v>173</v>
      </c>
      <c r="B1263" s="193">
        <v>45596.70833333333</v>
      </c>
      <c r="C1263" s="192">
        <v>1448.0</v>
      </c>
      <c r="E1263" s="192" t="s">
        <v>1022</v>
      </c>
      <c r="F1263" s="194" t="s">
        <v>982</v>
      </c>
    </row>
    <row r="1264">
      <c r="A1264" s="192" t="s">
        <v>173</v>
      </c>
      <c r="B1264" s="193">
        <v>45263.66666666667</v>
      </c>
      <c r="C1264" s="192">
        <v>1824.0</v>
      </c>
      <c r="E1264" s="192" t="s">
        <v>1023</v>
      </c>
      <c r="F1264" s="194" t="s">
        <v>982</v>
      </c>
    </row>
    <row r="1265">
      <c r="A1265" s="192" t="s">
        <v>158</v>
      </c>
      <c r="B1265" s="193">
        <v>45349.66666666667</v>
      </c>
      <c r="C1265" s="192">
        <v>-6318.0</v>
      </c>
      <c r="E1265" s="192" t="s">
        <v>1024</v>
      </c>
      <c r="F1265" s="194" t="s">
        <v>982</v>
      </c>
    </row>
    <row r="1266">
      <c r="A1266" s="192" t="s">
        <v>158</v>
      </c>
      <c r="B1266" s="193">
        <v>45407.70833333333</v>
      </c>
      <c r="C1266" s="192">
        <v>-5000.0</v>
      </c>
      <c r="D1266" s="192" t="s">
        <v>994</v>
      </c>
      <c r="E1266" s="192" t="s">
        <v>1025</v>
      </c>
      <c r="F1266" s="194" t="s">
        <v>982</v>
      </c>
    </row>
    <row r="1267">
      <c r="A1267" s="192" t="s">
        <v>158</v>
      </c>
      <c r="B1267" s="193">
        <v>45264.66666666667</v>
      </c>
      <c r="C1267" s="192">
        <v>-4999.54</v>
      </c>
      <c r="D1267" s="192" t="s">
        <v>994</v>
      </c>
      <c r="E1267" s="192" t="s">
        <v>1025</v>
      </c>
      <c r="F1267" s="194" t="s">
        <v>982</v>
      </c>
    </row>
    <row r="1268">
      <c r="A1268" s="192" t="s">
        <v>158</v>
      </c>
      <c r="B1268" s="193">
        <v>45348.66666666667</v>
      </c>
      <c r="C1268" s="192">
        <v>-3000.0</v>
      </c>
      <c r="E1268" s="192" t="s">
        <v>1026</v>
      </c>
      <c r="F1268" s="194" t="s">
        <v>982</v>
      </c>
    </row>
    <row r="1269">
      <c r="A1269" s="192" t="s">
        <v>158</v>
      </c>
      <c r="B1269" s="193">
        <v>45333.66666666667</v>
      </c>
      <c r="C1269" s="192">
        <v>-2012.25</v>
      </c>
      <c r="E1269" s="192" t="s">
        <v>1027</v>
      </c>
      <c r="F1269" s="194" t="s">
        <v>982</v>
      </c>
    </row>
    <row r="1270">
      <c r="A1270" s="192" t="s">
        <v>158</v>
      </c>
      <c r="B1270" s="193">
        <v>45299.66666666667</v>
      </c>
      <c r="C1270" s="192">
        <v>-2000.0</v>
      </c>
      <c r="D1270" s="192" t="s">
        <v>994</v>
      </c>
      <c r="E1270" s="192" t="s">
        <v>1025</v>
      </c>
      <c r="F1270" s="194" t="s">
        <v>982</v>
      </c>
    </row>
    <row r="1271">
      <c r="A1271" s="192" t="s">
        <v>158</v>
      </c>
      <c r="B1271" s="193">
        <v>45355.66666666667</v>
      </c>
      <c r="C1271" s="192">
        <v>-1943.0</v>
      </c>
      <c r="E1271" s="192" t="s">
        <v>1028</v>
      </c>
      <c r="F1271" s="194" t="s">
        <v>982</v>
      </c>
    </row>
    <row r="1272">
      <c r="A1272" s="192" t="s">
        <v>158</v>
      </c>
      <c r="B1272" s="193">
        <v>45263.66666666667</v>
      </c>
      <c r="C1272" s="192">
        <v>-1824.0</v>
      </c>
      <c r="E1272" s="192" t="s">
        <v>1029</v>
      </c>
      <c r="F1272" s="194" t="s">
        <v>982</v>
      </c>
    </row>
    <row r="1273">
      <c r="A1273" s="192" t="s">
        <v>158</v>
      </c>
      <c r="B1273" s="193">
        <v>45263.66666666667</v>
      </c>
      <c r="C1273" s="192">
        <v>-1500.0</v>
      </c>
      <c r="E1273" s="192" t="s">
        <v>1030</v>
      </c>
      <c r="F1273" s="194" t="s">
        <v>982</v>
      </c>
    </row>
    <row r="1274">
      <c r="A1274" s="192" t="s">
        <v>158</v>
      </c>
      <c r="B1274" s="193">
        <v>45596.70833333333</v>
      </c>
      <c r="C1274" s="192">
        <v>-1448.0</v>
      </c>
      <c r="E1274" s="192" t="s">
        <v>1031</v>
      </c>
      <c r="F1274" s="194" t="s">
        <v>982</v>
      </c>
    </row>
    <row r="1275">
      <c r="A1275" s="192" t="s">
        <v>158</v>
      </c>
      <c r="B1275" s="193">
        <v>45445.70833333333</v>
      </c>
      <c r="C1275" s="192">
        <v>-1300.0</v>
      </c>
      <c r="D1275" s="192" t="s">
        <v>994</v>
      </c>
      <c r="E1275" s="192" t="s">
        <v>1025</v>
      </c>
      <c r="F1275" s="194" t="s">
        <v>982</v>
      </c>
    </row>
    <row r="1276">
      <c r="A1276" s="192" t="s">
        <v>158</v>
      </c>
      <c r="B1276" s="193">
        <v>45509.70833333333</v>
      </c>
      <c r="C1276" s="192">
        <v>-1085.0</v>
      </c>
      <c r="D1276" s="192" t="s">
        <v>994</v>
      </c>
      <c r="E1276" s="192" t="s">
        <v>1025</v>
      </c>
      <c r="F1276" s="194" t="s">
        <v>982</v>
      </c>
    </row>
    <row r="1277">
      <c r="A1277" s="192" t="s">
        <v>158</v>
      </c>
      <c r="B1277" s="193">
        <v>45406.70833333333</v>
      </c>
      <c r="C1277" s="192">
        <v>-1000.0</v>
      </c>
      <c r="E1277" s="192" t="s">
        <v>1032</v>
      </c>
      <c r="F1277" s="194" t="s">
        <v>982</v>
      </c>
    </row>
    <row r="1278">
      <c r="A1278" s="192" t="s">
        <v>158</v>
      </c>
      <c r="B1278" s="193">
        <v>45516.70833333333</v>
      </c>
      <c r="C1278" s="192">
        <v>-800.0</v>
      </c>
      <c r="D1278" s="192" t="s">
        <v>994</v>
      </c>
      <c r="E1278" s="192" t="s">
        <v>995</v>
      </c>
      <c r="F1278" s="194" t="s">
        <v>982</v>
      </c>
    </row>
    <row r="1279">
      <c r="A1279" s="192" t="s">
        <v>158</v>
      </c>
      <c r="B1279" s="193">
        <v>45547.70833333333</v>
      </c>
      <c r="C1279" s="192">
        <v>-800.0</v>
      </c>
      <c r="D1279" s="192" t="s">
        <v>994</v>
      </c>
      <c r="E1279" s="192" t="s">
        <v>995</v>
      </c>
      <c r="F1279" s="194" t="s">
        <v>982</v>
      </c>
    </row>
    <row r="1280">
      <c r="A1280" s="192" t="s">
        <v>158</v>
      </c>
      <c r="B1280" s="193">
        <v>45579.70833333333</v>
      </c>
      <c r="C1280" s="192">
        <v>-800.0</v>
      </c>
      <c r="D1280" s="192" t="s">
        <v>994</v>
      </c>
      <c r="E1280" s="192" t="s">
        <v>995</v>
      </c>
      <c r="F1280" s="194" t="s">
        <v>982</v>
      </c>
    </row>
    <row r="1281">
      <c r="A1281" s="192" t="s">
        <v>158</v>
      </c>
      <c r="B1281" s="193">
        <v>45298.66666666667</v>
      </c>
      <c r="C1281" s="192">
        <v>-522.0</v>
      </c>
      <c r="E1281" s="192" t="s">
        <v>1033</v>
      </c>
      <c r="F1281" s="194" t="s">
        <v>982</v>
      </c>
    </row>
    <row r="1282">
      <c r="A1282" s="192" t="s">
        <v>158</v>
      </c>
      <c r="B1282" s="193">
        <v>45264.66666666667</v>
      </c>
      <c r="C1282" s="192">
        <v>-500.0</v>
      </c>
      <c r="D1282" s="192" t="s">
        <v>1034</v>
      </c>
      <c r="E1282" s="192" t="s">
        <v>1035</v>
      </c>
      <c r="F1282" s="194" t="s">
        <v>982</v>
      </c>
    </row>
    <row r="1283">
      <c r="A1283" s="192" t="s">
        <v>158</v>
      </c>
      <c r="B1283" s="193">
        <v>45295.66666666667</v>
      </c>
      <c r="C1283" s="192">
        <v>-500.0</v>
      </c>
      <c r="D1283" s="192" t="s">
        <v>1034</v>
      </c>
      <c r="E1283" s="192" t="s">
        <v>1035</v>
      </c>
      <c r="F1283" s="194" t="s">
        <v>982</v>
      </c>
    </row>
    <row r="1284">
      <c r="A1284" s="192" t="s">
        <v>158</v>
      </c>
      <c r="B1284" s="193">
        <v>45298.66666666667</v>
      </c>
      <c r="C1284" s="192">
        <v>-500.0</v>
      </c>
      <c r="E1284" s="192" t="s">
        <v>1036</v>
      </c>
      <c r="F1284" s="194" t="s">
        <v>982</v>
      </c>
    </row>
    <row r="1285">
      <c r="A1285" s="192" t="s">
        <v>158</v>
      </c>
      <c r="B1285" s="193">
        <v>45326.66666666667</v>
      </c>
      <c r="C1285" s="192">
        <v>-500.0</v>
      </c>
      <c r="D1285" s="192" t="s">
        <v>1034</v>
      </c>
      <c r="E1285" s="192" t="s">
        <v>1035</v>
      </c>
      <c r="F1285" s="194" t="s">
        <v>982</v>
      </c>
    </row>
    <row r="1286">
      <c r="A1286" s="192" t="s">
        <v>158</v>
      </c>
      <c r="B1286" s="193">
        <v>45327.66666666667</v>
      </c>
      <c r="C1286" s="192">
        <v>-500.0</v>
      </c>
      <c r="D1286" s="192" t="s">
        <v>994</v>
      </c>
      <c r="E1286" s="192" t="s">
        <v>1025</v>
      </c>
      <c r="F1286" s="194" t="s">
        <v>982</v>
      </c>
    </row>
    <row r="1287">
      <c r="A1287" s="192" t="s">
        <v>158</v>
      </c>
      <c r="B1287" s="193">
        <v>45355.66666666667</v>
      </c>
      <c r="C1287" s="192">
        <v>-500.0</v>
      </c>
      <c r="D1287" s="192" t="s">
        <v>1034</v>
      </c>
      <c r="E1287" s="192" t="s">
        <v>1035</v>
      </c>
      <c r="F1287" s="194" t="s">
        <v>982</v>
      </c>
    </row>
    <row r="1288">
      <c r="A1288" s="192" t="s">
        <v>158</v>
      </c>
      <c r="B1288" s="193">
        <v>45386.70833333333</v>
      </c>
      <c r="C1288" s="192">
        <v>-500.0</v>
      </c>
      <c r="D1288" s="192" t="s">
        <v>1034</v>
      </c>
      <c r="E1288" s="192" t="s">
        <v>1035</v>
      </c>
      <c r="F1288" s="194" t="s">
        <v>982</v>
      </c>
    </row>
    <row r="1289">
      <c r="A1289" s="192" t="s">
        <v>158</v>
      </c>
      <c r="B1289" s="193">
        <v>45417.70833333333</v>
      </c>
      <c r="C1289" s="192">
        <v>-500.0</v>
      </c>
      <c r="D1289" s="192" t="s">
        <v>1034</v>
      </c>
      <c r="E1289" s="192" t="s">
        <v>1035</v>
      </c>
      <c r="F1289" s="194" t="s">
        <v>982</v>
      </c>
    </row>
    <row r="1290">
      <c r="A1290" s="192" t="s">
        <v>158</v>
      </c>
      <c r="B1290" s="193">
        <v>45447.70833333333</v>
      </c>
      <c r="C1290" s="192">
        <v>-500.0</v>
      </c>
      <c r="D1290" s="192" t="s">
        <v>1034</v>
      </c>
      <c r="E1290" s="192" t="s">
        <v>1035</v>
      </c>
      <c r="F1290" s="194" t="s">
        <v>982</v>
      </c>
    </row>
    <row r="1291">
      <c r="A1291" s="192" t="s">
        <v>158</v>
      </c>
      <c r="B1291" s="193">
        <v>45477.70833333333</v>
      </c>
      <c r="C1291" s="192">
        <v>-500.0</v>
      </c>
      <c r="D1291" s="192" t="s">
        <v>1034</v>
      </c>
      <c r="E1291" s="192" t="s">
        <v>1035</v>
      </c>
      <c r="F1291" s="194" t="s">
        <v>982</v>
      </c>
    </row>
    <row r="1292">
      <c r="A1292" s="192" t="s">
        <v>158</v>
      </c>
      <c r="B1292" s="193">
        <v>45508.70833333333</v>
      </c>
      <c r="C1292" s="192">
        <v>-500.0</v>
      </c>
      <c r="D1292" s="192" t="s">
        <v>1034</v>
      </c>
      <c r="E1292" s="192" t="s">
        <v>1035</v>
      </c>
      <c r="F1292" s="194" t="s">
        <v>982</v>
      </c>
    </row>
    <row r="1293">
      <c r="A1293" s="192" t="s">
        <v>158</v>
      </c>
      <c r="B1293" s="193">
        <v>45539.70833333333</v>
      </c>
      <c r="C1293" s="192">
        <v>-500.0</v>
      </c>
      <c r="D1293" s="192" t="s">
        <v>1034</v>
      </c>
      <c r="E1293" s="192" t="s">
        <v>1035</v>
      </c>
      <c r="F1293" s="194" t="s">
        <v>982</v>
      </c>
    </row>
    <row r="1294">
      <c r="A1294" s="192" t="s">
        <v>158</v>
      </c>
      <c r="B1294" s="193">
        <v>45571.70833333333</v>
      </c>
      <c r="C1294" s="192">
        <v>-500.0</v>
      </c>
      <c r="D1294" s="192" t="s">
        <v>1034</v>
      </c>
      <c r="E1294" s="192" t="s">
        <v>1035</v>
      </c>
      <c r="F1294" s="194" t="s">
        <v>982</v>
      </c>
    </row>
    <row r="1295">
      <c r="A1295" s="192" t="s">
        <v>158</v>
      </c>
      <c r="B1295" s="193">
        <v>45596.70833333333</v>
      </c>
      <c r="C1295" s="192">
        <v>-500.0</v>
      </c>
      <c r="D1295" s="192" t="s">
        <v>1034</v>
      </c>
      <c r="E1295" s="192" t="s">
        <v>1035</v>
      </c>
      <c r="F1295" s="194" t="s">
        <v>982</v>
      </c>
    </row>
    <row r="1296">
      <c r="A1296" s="192" t="s">
        <v>158</v>
      </c>
      <c r="B1296" s="193">
        <v>45554.70833333333</v>
      </c>
      <c r="C1296" s="192">
        <v>-472.0</v>
      </c>
      <c r="E1296" s="192" t="s">
        <v>1037</v>
      </c>
      <c r="F1296" s="194" t="s">
        <v>982</v>
      </c>
    </row>
    <row r="1297">
      <c r="A1297" s="192" t="s">
        <v>158</v>
      </c>
      <c r="B1297" s="193">
        <v>45260.66666666667</v>
      </c>
      <c r="C1297" s="192">
        <v>-400.0</v>
      </c>
      <c r="E1297" s="192" t="s">
        <v>1038</v>
      </c>
      <c r="F1297" s="194" t="s">
        <v>982</v>
      </c>
    </row>
    <row r="1298">
      <c r="A1298" s="192" t="s">
        <v>158</v>
      </c>
      <c r="B1298" s="193">
        <v>45260.66666666667</v>
      </c>
      <c r="C1298" s="192">
        <v>-400.0</v>
      </c>
      <c r="E1298" s="192" t="s">
        <v>1039</v>
      </c>
      <c r="F1298" s="194" t="s">
        <v>982</v>
      </c>
    </row>
    <row r="1299">
      <c r="A1299" s="192" t="s">
        <v>158</v>
      </c>
      <c r="B1299" s="193">
        <v>45288.66666666667</v>
      </c>
      <c r="C1299" s="192">
        <v>-400.0</v>
      </c>
      <c r="E1299" s="192" t="s">
        <v>1040</v>
      </c>
      <c r="F1299" s="194" t="s">
        <v>982</v>
      </c>
    </row>
    <row r="1300">
      <c r="A1300" s="192" t="s">
        <v>158</v>
      </c>
      <c r="B1300" s="193">
        <v>45293.66666666667</v>
      </c>
      <c r="C1300" s="192">
        <v>-400.0</v>
      </c>
      <c r="E1300" s="192" t="s">
        <v>1041</v>
      </c>
      <c r="F1300" s="194" t="s">
        <v>982</v>
      </c>
    </row>
    <row r="1301">
      <c r="A1301" s="192" t="s">
        <v>158</v>
      </c>
      <c r="B1301" s="193">
        <v>45322.66666666667</v>
      </c>
      <c r="C1301" s="192">
        <v>-400.0</v>
      </c>
      <c r="E1301" s="192" t="s">
        <v>1042</v>
      </c>
      <c r="F1301" s="194" t="s">
        <v>982</v>
      </c>
    </row>
    <row r="1302">
      <c r="A1302" s="192" t="s">
        <v>158</v>
      </c>
      <c r="B1302" s="193">
        <v>45323.66666666667</v>
      </c>
      <c r="C1302" s="192">
        <v>-400.0</v>
      </c>
      <c r="E1302" s="192" t="s">
        <v>1043</v>
      </c>
      <c r="F1302" s="194" t="s">
        <v>982</v>
      </c>
    </row>
    <row r="1303">
      <c r="A1303" s="192" t="s">
        <v>158</v>
      </c>
      <c r="B1303" s="193">
        <v>45326.66666666667</v>
      </c>
      <c r="C1303" s="192">
        <v>-400.0</v>
      </c>
      <c r="E1303" s="192" t="s">
        <v>1044</v>
      </c>
      <c r="F1303" s="194" t="s">
        <v>982</v>
      </c>
    </row>
    <row r="1304">
      <c r="A1304" s="192" t="s">
        <v>158</v>
      </c>
      <c r="B1304" s="193">
        <v>45351.66666666667</v>
      </c>
      <c r="C1304" s="192">
        <v>-400.0</v>
      </c>
      <c r="E1304" s="192" t="s">
        <v>1045</v>
      </c>
      <c r="F1304" s="194" t="s">
        <v>982</v>
      </c>
    </row>
    <row r="1305">
      <c r="A1305" s="192" t="s">
        <v>158</v>
      </c>
      <c r="B1305" s="193">
        <v>45351.66666666667</v>
      </c>
      <c r="C1305" s="192">
        <v>-400.0</v>
      </c>
      <c r="E1305" s="192" t="s">
        <v>1046</v>
      </c>
      <c r="F1305" s="194" t="s">
        <v>982</v>
      </c>
    </row>
    <row r="1306">
      <c r="A1306" s="192" t="s">
        <v>158</v>
      </c>
      <c r="B1306" s="193">
        <v>45382.70833333333</v>
      </c>
      <c r="C1306" s="192">
        <v>-400.0</v>
      </c>
      <c r="E1306" s="192" t="s">
        <v>1047</v>
      </c>
      <c r="F1306" s="194" t="s">
        <v>982</v>
      </c>
    </row>
    <row r="1307">
      <c r="A1307" s="192" t="s">
        <v>158</v>
      </c>
      <c r="B1307" s="193">
        <v>45384.70833333333</v>
      </c>
      <c r="C1307" s="192">
        <v>-400.0</v>
      </c>
      <c r="E1307" s="192" t="s">
        <v>1048</v>
      </c>
      <c r="F1307" s="194" t="s">
        <v>982</v>
      </c>
    </row>
    <row r="1308">
      <c r="A1308" s="192" t="s">
        <v>158</v>
      </c>
      <c r="B1308" s="193">
        <v>45412.70833333333</v>
      </c>
      <c r="C1308" s="192">
        <v>-400.0</v>
      </c>
      <c r="E1308" s="192" t="s">
        <v>1049</v>
      </c>
      <c r="F1308" s="194" t="s">
        <v>982</v>
      </c>
    </row>
    <row r="1309">
      <c r="A1309" s="192" t="s">
        <v>158</v>
      </c>
      <c r="B1309" s="193">
        <v>45414.70833333333</v>
      </c>
      <c r="C1309" s="192">
        <v>-400.0</v>
      </c>
      <c r="E1309" s="192" t="s">
        <v>1050</v>
      </c>
      <c r="F1309" s="194" t="s">
        <v>982</v>
      </c>
    </row>
    <row r="1310">
      <c r="A1310" s="192" t="s">
        <v>158</v>
      </c>
      <c r="B1310" s="193">
        <v>45442.70833333333</v>
      </c>
      <c r="C1310" s="192">
        <v>-400.0</v>
      </c>
      <c r="E1310" s="192" t="s">
        <v>1051</v>
      </c>
      <c r="F1310" s="194" t="s">
        <v>982</v>
      </c>
    </row>
    <row r="1311">
      <c r="A1311" s="192" t="s">
        <v>158</v>
      </c>
      <c r="B1311" s="193">
        <v>45445.70833333333</v>
      </c>
      <c r="C1311" s="192">
        <v>-400.0</v>
      </c>
      <c r="E1311" s="192" t="s">
        <v>1052</v>
      </c>
      <c r="F1311" s="194" t="s">
        <v>982</v>
      </c>
    </row>
    <row r="1312">
      <c r="A1312" s="192" t="s">
        <v>158</v>
      </c>
      <c r="B1312" s="193">
        <v>45473.70833333333</v>
      </c>
      <c r="C1312" s="192">
        <v>-400.0</v>
      </c>
      <c r="E1312" s="192" t="s">
        <v>1053</v>
      </c>
      <c r="F1312" s="194" t="s">
        <v>982</v>
      </c>
    </row>
    <row r="1313">
      <c r="A1313" s="192" t="s">
        <v>158</v>
      </c>
      <c r="B1313" s="193">
        <v>45475.70833333333</v>
      </c>
      <c r="C1313" s="192">
        <v>-400.0</v>
      </c>
      <c r="E1313" s="192" t="s">
        <v>1054</v>
      </c>
      <c r="F1313" s="194" t="s">
        <v>982</v>
      </c>
    </row>
    <row r="1314">
      <c r="A1314" s="192" t="s">
        <v>158</v>
      </c>
      <c r="B1314" s="193">
        <v>45504.70833333333</v>
      </c>
      <c r="C1314" s="192">
        <v>-400.0</v>
      </c>
      <c r="E1314" s="192" t="s">
        <v>1055</v>
      </c>
      <c r="F1314" s="194" t="s">
        <v>982</v>
      </c>
    </row>
    <row r="1315">
      <c r="A1315" s="192" t="s">
        <v>158</v>
      </c>
      <c r="B1315" s="193">
        <v>45505.70833333333</v>
      </c>
      <c r="C1315" s="192">
        <v>-400.0</v>
      </c>
      <c r="E1315" s="192" t="s">
        <v>1056</v>
      </c>
      <c r="F1315" s="194" t="s">
        <v>982</v>
      </c>
    </row>
    <row r="1316">
      <c r="A1316" s="192" t="s">
        <v>158</v>
      </c>
      <c r="B1316" s="193">
        <v>45533.70833333333</v>
      </c>
      <c r="C1316" s="192">
        <v>-400.0</v>
      </c>
      <c r="E1316" s="192" t="s">
        <v>1057</v>
      </c>
      <c r="F1316" s="194" t="s">
        <v>982</v>
      </c>
    </row>
    <row r="1317">
      <c r="A1317" s="192" t="s">
        <v>158</v>
      </c>
      <c r="B1317" s="193">
        <v>45537.70833333333</v>
      </c>
      <c r="C1317" s="192">
        <v>-400.0</v>
      </c>
      <c r="E1317" s="192" t="s">
        <v>1058</v>
      </c>
      <c r="F1317" s="194" t="s">
        <v>982</v>
      </c>
    </row>
    <row r="1318">
      <c r="A1318" s="192" t="s">
        <v>158</v>
      </c>
      <c r="B1318" s="193">
        <v>45565.70833333333</v>
      </c>
      <c r="C1318" s="192">
        <v>-400.0</v>
      </c>
      <c r="E1318" s="192" t="s">
        <v>1059</v>
      </c>
      <c r="F1318" s="194" t="s">
        <v>982</v>
      </c>
    </row>
    <row r="1319">
      <c r="A1319" s="192" t="s">
        <v>158</v>
      </c>
      <c r="B1319" s="193">
        <v>45567.70833333333</v>
      </c>
      <c r="C1319" s="192">
        <v>-400.0</v>
      </c>
      <c r="E1319" s="192" t="s">
        <v>1060</v>
      </c>
      <c r="F1319" s="194" t="s">
        <v>982</v>
      </c>
    </row>
    <row r="1320">
      <c r="A1320" s="192" t="s">
        <v>158</v>
      </c>
      <c r="B1320" s="193">
        <v>45596.70833333333</v>
      </c>
      <c r="C1320" s="192">
        <v>-400.0</v>
      </c>
      <c r="E1320" s="192" t="s">
        <v>1061</v>
      </c>
      <c r="F1320" s="194" t="s">
        <v>982</v>
      </c>
    </row>
    <row r="1321">
      <c r="A1321" s="192" t="s">
        <v>158</v>
      </c>
      <c r="B1321" s="193">
        <v>45596.70833333333</v>
      </c>
      <c r="C1321" s="192">
        <v>-400.0</v>
      </c>
      <c r="E1321" s="192" t="s">
        <v>1062</v>
      </c>
      <c r="F1321" s="194" t="s">
        <v>982</v>
      </c>
    </row>
    <row r="1322">
      <c r="A1322" s="192" t="s">
        <v>158</v>
      </c>
      <c r="B1322" s="193">
        <v>45551.70833333333</v>
      </c>
      <c r="C1322" s="192">
        <v>-399.24</v>
      </c>
      <c r="E1322" s="192" t="s">
        <v>1063</v>
      </c>
      <c r="F1322" s="194" t="s">
        <v>982</v>
      </c>
    </row>
    <row r="1323">
      <c r="A1323" s="192" t="s">
        <v>158</v>
      </c>
      <c r="B1323" s="193">
        <v>45596.70833333333</v>
      </c>
      <c r="C1323" s="192">
        <v>-375.0</v>
      </c>
      <c r="E1323" s="192" t="s">
        <v>1064</v>
      </c>
      <c r="F1323" s="194" t="s">
        <v>982</v>
      </c>
    </row>
    <row r="1324">
      <c r="A1324" s="192" t="s">
        <v>158</v>
      </c>
      <c r="B1324" s="193">
        <v>45242.66666666667</v>
      </c>
      <c r="C1324" s="192">
        <v>-350.0</v>
      </c>
      <c r="E1324" s="192" t="s">
        <v>1065</v>
      </c>
      <c r="F1324" s="194" t="s">
        <v>982</v>
      </c>
    </row>
    <row r="1325">
      <c r="A1325" s="192" t="s">
        <v>158</v>
      </c>
      <c r="B1325" s="193">
        <v>45272.66666666667</v>
      </c>
      <c r="C1325" s="192">
        <v>-350.0</v>
      </c>
      <c r="E1325" s="192" t="s">
        <v>1066</v>
      </c>
      <c r="F1325" s="194" t="s">
        <v>982</v>
      </c>
    </row>
    <row r="1326">
      <c r="A1326" s="192" t="s">
        <v>158</v>
      </c>
      <c r="B1326" s="193">
        <v>45300.66666666667</v>
      </c>
      <c r="C1326" s="192">
        <v>-350.0</v>
      </c>
      <c r="E1326" s="192" t="s">
        <v>1067</v>
      </c>
      <c r="F1326" s="194" t="s">
        <v>982</v>
      </c>
    </row>
    <row r="1327">
      <c r="A1327" s="192" t="s">
        <v>158</v>
      </c>
      <c r="B1327" s="193">
        <v>45298.66666666667</v>
      </c>
      <c r="C1327" s="192">
        <v>-331.0</v>
      </c>
      <c r="E1327" s="192" t="s">
        <v>1068</v>
      </c>
      <c r="F1327" s="194" t="s">
        <v>982</v>
      </c>
    </row>
    <row r="1328">
      <c r="A1328" s="192" t="s">
        <v>158</v>
      </c>
      <c r="B1328" s="193">
        <v>45420.70833333333</v>
      </c>
      <c r="C1328" s="192">
        <v>-318.0</v>
      </c>
      <c r="E1328" s="192" t="s">
        <v>1069</v>
      </c>
      <c r="F1328" s="194" t="s">
        <v>982</v>
      </c>
    </row>
    <row r="1329">
      <c r="A1329" s="192" t="s">
        <v>158</v>
      </c>
      <c r="B1329" s="193">
        <v>45335.66666666667</v>
      </c>
      <c r="C1329" s="192">
        <v>-300.0</v>
      </c>
      <c r="E1329" s="192" t="s">
        <v>1070</v>
      </c>
      <c r="F1329" s="194" t="s">
        <v>982</v>
      </c>
    </row>
    <row r="1330">
      <c r="A1330" s="192" t="s">
        <v>158</v>
      </c>
      <c r="B1330" s="193">
        <v>45363.70833333333</v>
      </c>
      <c r="C1330" s="192">
        <v>-300.0</v>
      </c>
      <c r="E1330" s="192" t="s">
        <v>1071</v>
      </c>
      <c r="F1330" s="194" t="s">
        <v>982</v>
      </c>
    </row>
    <row r="1331">
      <c r="A1331" s="192" t="s">
        <v>158</v>
      </c>
      <c r="B1331" s="193">
        <v>45392.70833333333</v>
      </c>
      <c r="C1331" s="192">
        <v>-300.0</v>
      </c>
      <c r="E1331" s="192" t="s">
        <v>1072</v>
      </c>
      <c r="F1331" s="194" t="s">
        <v>982</v>
      </c>
    </row>
    <row r="1332">
      <c r="A1332" s="192" t="s">
        <v>158</v>
      </c>
      <c r="B1332" s="193">
        <v>45424.70833333333</v>
      </c>
      <c r="C1332" s="192">
        <v>-300.0</v>
      </c>
      <c r="E1332" s="192" t="s">
        <v>1073</v>
      </c>
      <c r="F1332" s="194" t="s">
        <v>982</v>
      </c>
    </row>
    <row r="1333">
      <c r="A1333" s="192" t="s">
        <v>158</v>
      </c>
      <c r="B1333" s="193">
        <v>45454.70833333333</v>
      </c>
      <c r="C1333" s="192">
        <v>-300.0</v>
      </c>
      <c r="E1333" s="192" t="s">
        <v>1074</v>
      </c>
      <c r="F1333" s="194" t="s">
        <v>982</v>
      </c>
    </row>
    <row r="1334">
      <c r="A1334" s="192" t="s">
        <v>158</v>
      </c>
      <c r="B1334" s="193">
        <v>45483.70833333333</v>
      </c>
      <c r="C1334" s="192">
        <v>-300.0</v>
      </c>
      <c r="E1334" s="192" t="s">
        <v>1075</v>
      </c>
      <c r="F1334" s="194" t="s">
        <v>982</v>
      </c>
    </row>
    <row r="1335">
      <c r="A1335" s="192" t="s">
        <v>158</v>
      </c>
      <c r="B1335" s="193">
        <v>45516.70833333333</v>
      </c>
      <c r="C1335" s="192">
        <v>-300.0</v>
      </c>
      <c r="E1335" s="192" t="s">
        <v>1076</v>
      </c>
      <c r="F1335" s="194" t="s">
        <v>982</v>
      </c>
    </row>
    <row r="1336">
      <c r="A1336" s="192" t="s">
        <v>158</v>
      </c>
      <c r="B1336" s="193">
        <v>45545.70833333333</v>
      </c>
      <c r="C1336" s="192">
        <v>-300.0</v>
      </c>
      <c r="E1336" s="192" t="s">
        <v>1077</v>
      </c>
      <c r="F1336" s="194" t="s">
        <v>982</v>
      </c>
    </row>
    <row r="1337">
      <c r="A1337" s="192" t="s">
        <v>158</v>
      </c>
      <c r="B1337" s="193">
        <v>45574.70833333333</v>
      </c>
      <c r="C1337" s="192">
        <v>-300.0</v>
      </c>
      <c r="E1337" s="192" t="s">
        <v>1078</v>
      </c>
      <c r="F1337" s="194" t="s">
        <v>982</v>
      </c>
    </row>
    <row r="1338">
      <c r="A1338" s="192" t="s">
        <v>158</v>
      </c>
      <c r="B1338" s="193">
        <v>45334.66666666667</v>
      </c>
      <c r="C1338" s="192">
        <v>-250.0</v>
      </c>
      <c r="D1338" s="192" t="s">
        <v>994</v>
      </c>
      <c r="E1338" s="192" t="s">
        <v>995</v>
      </c>
      <c r="F1338" s="194" t="s">
        <v>982</v>
      </c>
    </row>
    <row r="1339">
      <c r="A1339" s="192" t="s">
        <v>158</v>
      </c>
      <c r="B1339" s="193">
        <v>45363.70833333333</v>
      </c>
      <c r="C1339" s="192">
        <v>-250.0</v>
      </c>
      <c r="D1339" s="192" t="s">
        <v>994</v>
      </c>
      <c r="E1339" s="192" t="s">
        <v>995</v>
      </c>
      <c r="F1339" s="194" t="s">
        <v>982</v>
      </c>
    </row>
    <row r="1340">
      <c r="A1340" s="192" t="s">
        <v>158</v>
      </c>
      <c r="B1340" s="193">
        <v>45396.70833333333</v>
      </c>
      <c r="C1340" s="192">
        <v>-250.0</v>
      </c>
      <c r="D1340" s="192" t="s">
        <v>994</v>
      </c>
      <c r="E1340" s="192" t="s">
        <v>995</v>
      </c>
      <c r="F1340" s="194" t="s">
        <v>982</v>
      </c>
    </row>
    <row r="1341">
      <c r="A1341" s="192" t="s">
        <v>158</v>
      </c>
      <c r="B1341" s="193">
        <v>45424.70833333333</v>
      </c>
      <c r="C1341" s="192">
        <v>-250.0</v>
      </c>
      <c r="D1341" s="192" t="s">
        <v>994</v>
      </c>
      <c r="E1341" s="192" t="s">
        <v>995</v>
      </c>
      <c r="F1341" s="194" t="s">
        <v>982</v>
      </c>
    </row>
    <row r="1342">
      <c r="A1342" s="192" t="s">
        <v>158</v>
      </c>
      <c r="B1342" s="193">
        <v>45455.70833333333</v>
      </c>
      <c r="C1342" s="192">
        <v>-250.0</v>
      </c>
      <c r="D1342" s="192" t="s">
        <v>994</v>
      </c>
      <c r="E1342" s="192" t="s">
        <v>995</v>
      </c>
      <c r="F1342" s="194" t="s">
        <v>982</v>
      </c>
    </row>
    <row r="1343">
      <c r="A1343" s="192" t="s">
        <v>158</v>
      </c>
      <c r="B1343" s="193">
        <v>45487.70833333333</v>
      </c>
      <c r="C1343" s="192">
        <v>-250.0</v>
      </c>
      <c r="D1343" s="192" t="s">
        <v>994</v>
      </c>
      <c r="E1343" s="192" t="s">
        <v>995</v>
      </c>
      <c r="F1343" s="194" t="s">
        <v>982</v>
      </c>
    </row>
    <row r="1344">
      <c r="A1344" s="192" t="s">
        <v>158</v>
      </c>
      <c r="B1344" s="193">
        <v>45452.70833333333</v>
      </c>
      <c r="C1344" s="192">
        <v>-220.0</v>
      </c>
      <c r="E1344" s="192" t="s">
        <v>1079</v>
      </c>
      <c r="F1344" s="194" t="s">
        <v>982</v>
      </c>
    </row>
    <row r="1345">
      <c r="A1345" s="192" t="s">
        <v>158</v>
      </c>
      <c r="B1345" s="193">
        <v>45420.70833333333</v>
      </c>
      <c r="C1345" s="192">
        <v>-98.0</v>
      </c>
      <c r="E1345" s="192" t="s">
        <v>1080</v>
      </c>
      <c r="F1345" s="194" t="s">
        <v>982</v>
      </c>
    </row>
    <row r="1346">
      <c r="A1346" s="192" t="s">
        <v>158</v>
      </c>
      <c r="B1346" s="193">
        <v>45522.70833333333</v>
      </c>
      <c r="C1346" s="192">
        <v>-79.58</v>
      </c>
      <c r="E1346" s="192" t="s">
        <v>1081</v>
      </c>
      <c r="F1346" s="194" t="s">
        <v>982</v>
      </c>
    </row>
    <row r="1347">
      <c r="A1347" s="192" t="s">
        <v>158</v>
      </c>
      <c r="B1347" s="193">
        <v>45333.66666666667</v>
      </c>
      <c r="C1347" s="192">
        <v>-63.22</v>
      </c>
      <c r="E1347" s="192" t="s">
        <v>1082</v>
      </c>
      <c r="F1347" s="194" t="s">
        <v>982</v>
      </c>
    </row>
    <row r="1348">
      <c r="A1348" s="192" t="s">
        <v>158</v>
      </c>
      <c r="B1348" s="193">
        <v>45244.66666666667</v>
      </c>
      <c r="C1348" s="192">
        <v>-63.0</v>
      </c>
      <c r="E1348" s="192" t="s">
        <v>1083</v>
      </c>
      <c r="F1348" s="194" t="s">
        <v>982</v>
      </c>
    </row>
    <row r="1349">
      <c r="A1349" s="192" t="s">
        <v>158</v>
      </c>
      <c r="B1349" s="193">
        <v>45572.70833333333</v>
      </c>
      <c r="C1349" s="192">
        <v>-54.82</v>
      </c>
      <c r="E1349" s="192" t="s">
        <v>1084</v>
      </c>
      <c r="F1349" s="194" t="s">
        <v>982</v>
      </c>
    </row>
    <row r="1350">
      <c r="A1350" s="192" t="s">
        <v>158</v>
      </c>
      <c r="B1350" s="193">
        <v>45258.66666666667</v>
      </c>
      <c r="C1350" s="192">
        <v>-17.0</v>
      </c>
      <c r="E1350" s="192" t="s">
        <v>1085</v>
      </c>
      <c r="F1350" s="194" t="s">
        <v>982</v>
      </c>
    </row>
    <row r="1351">
      <c r="A1351" s="192" t="s">
        <v>158</v>
      </c>
      <c r="B1351" s="193">
        <v>45292.66666666667</v>
      </c>
      <c r="C1351" s="192">
        <v>-6.99</v>
      </c>
      <c r="E1351" s="192" t="s">
        <v>1086</v>
      </c>
      <c r="F1351" s="194" t="s">
        <v>982</v>
      </c>
    </row>
    <row r="1352">
      <c r="A1352" s="192" t="s">
        <v>158</v>
      </c>
      <c r="B1352" s="193">
        <v>45508.70833333333</v>
      </c>
      <c r="C1352" s="192">
        <v>11.0</v>
      </c>
      <c r="E1352" s="192" t="s">
        <v>1087</v>
      </c>
      <c r="F1352" s="194" t="s">
        <v>982</v>
      </c>
    </row>
    <row r="1353">
      <c r="A1353" s="192" t="s">
        <v>158</v>
      </c>
      <c r="B1353" s="193">
        <v>45403.70833333333</v>
      </c>
      <c r="C1353" s="192">
        <v>30.0</v>
      </c>
      <c r="E1353" s="192" t="s">
        <v>1088</v>
      </c>
      <c r="F1353" s="194" t="s">
        <v>982</v>
      </c>
    </row>
    <row r="1354">
      <c r="A1354" s="192" t="s">
        <v>158</v>
      </c>
      <c r="B1354" s="193">
        <v>45561.70833333333</v>
      </c>
      <c r="C1354" s="192">
        <v>32.0</v>
      </c>
      <c r="E1354" s="192" t="s">
        <v>1089</v>
      </c>
      <c r="F1354" s="194" t="s">
        <v>982</v>
      </c>
    </row>
    <row r="1355">
      <c r="A1355" s="192" t="s">
        <v>158</v>
      </c>
      <c r="B1355" s="193">
        <v>45308.66666666667</v>
      </c>
      <c r="C1355" s="192">
        <v>34.2</v>
      </c>
      <c r="E1355" s="192" t="s">
        <v>1090</v>
      </c>
      <c r="F1355" s="194" t="s">
        <v>982</v>
      </c>
    </row>
    <row r="1356">
      <c r="A1356" s="192" t="s">
        <v>158</v>
      </c>
      <c r="B1356" s="193">
        <v>45467.70833333333</v>
      </c>
      <c r="C1356" s="192">
        <v>39.0</v>
      </c>
      <c r="E1356" s="192" t="s">
        <v>1091</v>
      </c>
      <c r="F1356" s="194" t="s">
        <v>982</v>
      </c>
    </row>
    <row r="1357">
      <c r="A1357" s="192" t="s">
        <v>158</v>
      </c>
      <c r="B1357" s="193">
        <v>45263.66666666667</v>
      </c>
      <c r="C1357" s="192">
        <v>40.0</v>
      </c>
      <c r="E1357" s="192" t="s">
        <v>1092</v>
      </c>
      <c r="F1357" s="194" t="s">
        <v>982</v>
      </c>
    </row>
    <row r="1358">
      <c r="A1358" s="192" t="s">
        <v>158</v>
      </c>
      <c r="B1358" s="193">
        <v>45467.70833333333</v>
      </c>
      <c r="C1358" s="192">
        <v>40.0</v>
      </c>
      <c r="E1358" s="192" t="s">
        <v>1093</v>
      </c>
      <c r="F1358" s="194" t="s">
        <v>982</v>
      </c>
    </row>
    <row r="1359">
      <c r="A1359" s="192" t="s">
        <v>158</v>
      </c>
      <c r="B1359" s="193">
        <v>45477.70833333333</v>
      </c>
      <c r="C1359" s="192">
        <v>42.0</v>
      </c>
      <c r="E1359" s="192" t="s">
        <v>1094</v>
      </c>
      <c r="F1359" s="194" t="s">
        <v>982</v>
      </c>
    </row>
    <row r="1360">
      <c r="A1360" s="192" t="s">
        <v>158</v>
      </c>
      <c r="B1360" s="193">
        <v>45477.70833333333</v>
      </c>
      <c r="C1360" s="192">
        <v>50.0</v>
      </c>
      <c r="E1360" s="192" t="s">
        <v>1095</v>
      </c>
      <c r="F1360" s="194" t="s">
        <v>982</v>
      </c>
    </row>
    <row r="1361">
      <c r="A1361" s="192" t="s">
        <v>158</v>
      </c>
      <c r="B1361" s="193">
        <v>45484.70833333333</v>
      </c>
      <c r="C1361" s="192">
        <v>50.0</v>
      </c>
      <c r="E1361" s="192" t="s">
        <v>1096</v>
      </c>
      <c r="F1361" s="194" t="s">
        <v>982</v>
      </c>
    </row>
    <row r="1362">
      <c r="A1362" s="192" t="s">
        <v>158</v>
      </c>
      <c r="B1362" s="193">
        <v>45529.70833333333</v>
      </c>
      <c r="C1362" s="192">
        <v>51.0</v>
      </c>
      <c r="E1362" s="192" t="s">
        <v>1097</v>
      </c>
      <c r="F1362" s="194" t="s">
        <v>982</v>
      </c>
    </row>
    <row r="1363">
      <c r="A1363" s="192" t="s">
        <v>158</v>
      </c>
      <c r="B1363" s="193">
        <v>45442.70833333333</v>
      </c>
      <c r="C1363" s="192">
        <v>52.0</v>
      </c>
      <c r="E1363" s="192" t="s">
        <v>1098</v>
      </c>
      <c r="F1363" s="194" t="s">
        <v>982</v>
      </c>
    </row>
    <row r="1364">
      <c r="A1364" s="192" t="s">
        <v>158</v>
      </c>
      <c r="B1364" s="193">
        <v>45350.66666666667</v>
      </c>
      <c r="C1364" s="192">
        <v>58.0</v>
      </c>
      <c r="E1364" s="192" t="s">
        <v>1099</v>
      </c>
      <c r="F1364" s="194" t="s">
        <v>982</v>
      </c>
    </row>
    <row r="1365">
      <c r="A1365" s="192" t="s">
        <v>158</v>
      </c>
      <c r="B1365" s="193">
        <v>45431.70833333333</v>
      </c>
      <c r="C1365" s="192">
        <v>76.0</v>
      </c>
      <c r="E1365" s="192" t="s">
        <v>1100</v>
      </c>
      <c r="F1365" s="194" t="s">
        <v>982</v>
      </c>
    </row>
    <row r="1366">
      <c r="A1366" s="192" t="s">
        <v>158</v>
      </c>
      <c r="B1366" s="193">
        <v>45277.66666666667</v>
      </c>
      <c r="C1366" s="192">
        <v>100.0</v>
      </c>
      <c r="E1366" s="192" t="s">
        <v>1101</v>
      </c>
      <c r="F1366" s="194" t="s">
        <v>982</v>
      </c>
    </row>
    <row r="1367">
      <c r="A1367" s="192" t="s">
        <v>158</v>
      </c>
      <c r="B1367" s="193">
        <v>45309.66666666667</v>
      </c>
      <c r="C1367" s="192">
        <v>100.0</v>
      </c>
      <c r="E1367" s="192" t="s">
        <v>1102</v>
      </c>
      <c r="F1367" s="194" t="s">
        <v>982</v>
      </c>
    </row>
    <row r="1368">
      <c r="A1368" s="192" t="s">
        <v>158</v>
      </c>
      <c r="B1368" s="193">
        <v>45579.70833333333</v>
      </c>
      <c r="C1368" s="192">
        <v>278.0</v>
      </c>
      <c r="E1368" s="192" t="s">
        <v>1103</v>
      </c>
      <c r="F1368" s="194" t="s">
        <v>982</v>
      </c>
    </row>
    <row r="1369">
      <c r="A1369" s="192" t="s">
        <v>158</v>
      </c>
      <c r="B1369" s="193">
        <v>45351.66666666667</v>
      </c>
      <c r="C1369" s="192">
        <v>320.0</v>
      </c>
      <c r="D1369" s="192" t="s">
        <v>1020</v>
      </c>
      <c r="E1369" s="192" t="s">
        <v>1021</v>
      </c>
      <c r="F1369" s="194" t="s">
        <v>982</v>
      </c>
    </row>
    <row r="1370">
      <c r="A1370" s="192" t="s">
        <v>158</v>
      </c>
      <c r="B1370" s="193">
        <v>45362.70833333333</v>
      </c>
      <c r="C1370" s="192">
        <v>489.0</v>
      </c>
      <c r="D1370" s="192" t="s">
        <v>1020</v>
      </c>
      <c r="E1370" s="192" t="s">
        <v>1021</v>
      </c>
      <c r="F1370" s="194" t="s">
        <v>982</v>
      </c>
    </row>
    <row r="1371">
      <c r="A1371" s="192" t="s">
        <v>158</v>
      </c>
      <c r="B1371" s="193">
        <v>45433.70833333333</v>
      </c>
      <c r="C1371" s="192">
        <v>544.0</v>
      </c>
      <c r="D1371" s="192" t="s">
        <v>1020</v>
      </c>
      <c r="E1371" s="192" t="s">
        <v>1021</v>
      </c>
      <c r="F1371" s="194" t="s">
        <v>982</v>
      </c>
    </row>
    <row r="1372">
      <c r="A1372" s="192" t="s">
        <v>158</v>
      </c>
      <c r="B1372" s="193">
        <v>45351.66666666667</v>
      </c>
      <c r="C1372" s="192">
        <v>569.95</v>
      </c>
      <c r="D1372" s="192" t="s">
        <v>1020</v>
      </c>
      <c r="E1372" s="192" t="s">
        <v>1021</v>
      </c>
      <c r="F1372" s="194" t="s">
        <v>982</v>
      </c>
    </row>
    <row r="1373">
      <c r="A1373" s="192" t="s">
        <v>158</v>
      </c>
      <c r="B1373" s="193">
        <v>45538.70833333333</v>
      </c>
      <c r="C1373" s="192">
        <v>1559.0</v>
      </c>
      <c r="D1373" s="192" t="s">
        <v>1020</v>
      </c>
      <c r="E1373" s="192" t="s">
        <v>1021</v>
      </c>
      <c r="F1373" s="194" t="s">
        <v>982</v>
      </c>
    </row>
    <row r="1374">
      <c r="A1374" s="192" t="s">
        <v>158</v>
      </c>
      <c r="B1374" s="193">
        <v>45480.70833333333</v>
      </c>
      <c r="C1374" s="192">
        <v>2362.0</v>
      </c>
      <c r="D1374" s="192" t="s">
        <v>1020</v>
      </c>
      <c r="E1374" s="192" t="s">
        <v>1021</v>
      </c>
      <c r="F1374" s="194" t="s">
        <v>982</v>
      </c>
    </row>
    <row r="1375">
      <c r="A1375" s="192" t="s">
        <v>221</v>
      </c>
      <c r="B1375" s="193">
        <v>45354.66666666667</v>
      </c>
      <c r="C1375" s="192">
        <v>-4318.0</v>
      </c>
      <c r="D1375" s="192" t="s">
        <v>994</v>
      </c>
      <c r="E1375" s="192" t="s">
        <v>1104</v>
      </c>
      <c r="F1375" s="194" t="s">
        <v>982</v>
      </c>
    </row>
    <row r="1376">
      <c r="A1376" s="192" t="s">
        <v>221</v>
      </c>
      <c r="B1376" s="193">
        <v>45263.66666666667</v>
      </c>
      <c r="C1376" s="192">
        <v>-350.0</v>
      </c>
      <c r="D1376" s="192" t="s">
        <v>994</v>
      </c>
      <c r="E1376" s="192" t="s">
        <v>995</v>
      </c>
      <c r="F1376" s="194" t="s">
        <v>982</v>
      </c>
    </row>
    <row r="1377">
      <c r="A1377" s="192" t="s">
        <v>221</v>
      </c>
      <c r="B1377" s="193">
        <v>45292.66666666667</v>
      </c>
      <c r="C1377" s="192">
        <v>-350.0</v>
      </c>
      <c r="D1377" s="192" t="s">
        <v>994</v>
      </c>
      <c r="E1377" s="192" t="s">
        <v>995</v>
      </c>
      <c r="F1377" s="194" t="s">
        <v>982</v>
      </c>
    </row>
    <row r="1378">
      <c r="A1378" s="192" t="s">
        <v>221</v>
      </c>
      <c r="B1378" s="193">
        <v>45323.66666666667</v>
      </c>
      <c r="C1378" s="192">
        <v>-350.0</v>
      </c>
      <c r="D1378" s="192" t="s">
        <v>994</v>
      </c>
      <c r="E1378" s="192" t="s">
        <v>995</v>
      </c>
      <c r="F1378" s="194" t="s">
        <v>982</v>
      </c>
    </row>
    <row r="1379">
      <c r="A1379" s="192" t="s">
        <v>221</v>
      </c>
      <c r="B1379" s="193">
        <v>45354.66666666667</v>
      </c>
      <c r="C1379" s="192">
        <v>-350.0</v>
      </c>
      <c r="D1379" s="192" t="s">
        <v>994</v>
      </c>
      <c r="E1379" s="192" t="s">
        <v>995</v>
      </c>
      <c r="F1379" s="194" t="s">
        <v>982</v>
      </c>
    </row>
    <row r="1380">
      <c r="A1380" s="192" t="s">
        <v>221</v>
      </c>
      <c r="B1380" s="193">
        <v>45383.70833333333</v>
      </c>
      <c r="C1380" s="192">
        <v>-350.0</v>
      </c>
      <c r="D1380" s="192" t="s">
        <v>994</v>
      </c>
      <c r="E1380" s="192" t="s">
        <v>995</v>
      </c>
      <c r="F1380" s="194" t="s">
        <v>982</v>
      </c>
    </row>
    <row r="1381">
      <c r="A1381" s="192" t="s">
        <v>221</v>
      </c>
      <c r="B1381" s="193">
        <v>45413.70833333333</v>
      </c>
      <c r="C1381" s="192">
        <v>-350.0</v>
      </c>
      <c r="D1381" s="192" t="s">
        <v>994</v>
      </c>
      <c r="E1381" s="192" t="s">
        <v>995</v>
      </c>
      <c r="F1381" s="194" t="s">
        <v>982</v>
      </c>
    </row>
    <row r="1382">
      <c r="A1382" s="192" t="s">
        <v>221</v>
      </c>
      <c r="B1382" s="193">
        <v>45445.70833333333</v>
      </c>
      <c r="C1382" s="192">
        <v>-350.0</v>
      </c>
      <c r="D1382" s="192" t="s">
        <v>994</v>
      </c>
      <c r="E1382" s="192" t="s">
        <v>995</v>
      </c>
      <c r="F1382" s="194" t="s">
        <v>982</v>
      </c>
    </row>
    <row r="1383">
      <c r="A1383" s="192" t="s">
        <v>221</v>
      </c>
      <c r="B1383" s="193">
        <v>45474.70833333333</v>
      </c>
      <c r="C1383" s="192">
        <v>-350.0</v>
      </c>
      <c r="D1383" s="192" t="s">
        <v>994</v>
      </c>
      <c r="E1383" s="192" t="s">
        <v>995</v>
      </c>
      <c r="F1383" s="194" t="s">
        <v>982</v>
      </c>
    </row>
    <row r="1384">
      <c r="A1384" s="192" t="s">
        <v>221</v>
      </c>
      <c r="B1384" s="193">
        <v>45505.70833333333</v>
      </c>
      <c r="C1384" s="192">
        <v>-350.0</v>
      </c>
      <c r="D1384" s="192" t="s">
        <v>994</v>
      </c>
      <c r="E1384" s="192" t="s">
        <v>995</v>
      </c>
      <c r="F1384" s="194" t="s">
        <v>982</v>
      </c>
    </row>
    <row r="1385">
      <c r="A1385" s="192" t="s">
        <v>221</v>
      </c>
      <c r="B1385" s="193">
        <v>45537.70833333333</v>
      </c>
      <c r="C1385" s="192">
        <v>-350.0</v>
      </c>
      <c r="D1385" s="192" t="s">
        <v>994</v>
      </c>
      <c r="E1385" s="192" t="s">
        <v>995</v>
      </c>
      <c r="F1385" s="194" t="s">
        <v>982</v>
      </c>
    </row>
    <row r="1386">
      <c r="A1386" s="192" t="s">
        <v>221</v>
      </c>
      <c r="B1386" s="193">
        <v>45566.70833333333</v>
      </c>
      <c r="C1386" s="192">
        <v>-350.0</v>
      </c>
      <c r="D1386" s="192" t="s">
        <v>994</v>
      </c>
      <c r="E1386" s="192" t="s">
        <v>995</v>
      </c>
      <c r="F1386" s="194" t="s">
        <v>982</v>
      </c>
    </row>
    <row r="1387">
      <c r="A1387" s="192" t="s">
        <v>221</v>
      </c>
      <c r="B1387" s="193">
        <v>45596.70833333333</v>
      </c>
      <c r="C1387" s="192">
        <v>-350.0</v>
      </c>
      <c r="D1387" s="192" t="s">
        <v>994</v>
      </c>
      <c r="E1387" s="192" t="s">
        <v>995</v>
      </c>
      <c r="F1387" s="194" t="s">
        <v>982</v>
      </c>
    </row>
    <row r="1388">
      <c r="A1388" s="192" t="s">
        <v>221</v>
      </c>
      <c r="B1388" s="193">
        <v>45579.70833333333</v>
      </c>
      <c r="C1388" s="192">
        <v>-278.0</v>
      </c>
      <c r="E1388" s="192" t="s">
        <v>1105</v>
      </c>
      <c r="F1388" s="194" t="s">
        <v>982</v>
      </c>
    </row>
    <row r="1389">
      <c r="A1389" s="192" t="s">
        <v>221</v>
      </c>
      <c r="B1389" s="193">
        <v>45277.66666666667</v>
      </c>
      <c r="C1389" s="192">
        <v>-100.0</v>
      </c>
      <c r="E1389" s="192" t="s">
        <v>1106</v>
      </c>
      <c r="F1389" s="194" t="s">
        <v>982</v>
      </c>
    </row>
    <row r="1390">
      <c r="A1390" s="192" t="s">
        <v>221</v>
      </c>
      <c r="B1390" s="193">
        <v>45309.66666666667</v>
      </c>
      <c r="C1390" s="192">
        <v>-100.0</v>
      </c>
      <c r="E1390" s="192" t="s">
        <v>1107</v>
      </c>
      <c r="F1390" s="194" t="s">
        <v>982</v>
      </c>
    </row>
    <row r="1391">
      <c r="A1391" s="192" t="s">
        <v>221</v>
      </c>
      <c r="B1391" s="193">
        <v>45431.70833333333</v>
      </c>
      <c r="C1391" s="192">
        <v>-76.0</v>
      </c>
      <c r="E1391" s="192" t="s">
        <v>1108</v>
      </c>
      <c r="F1391" s="194" t="s">
        <v>982</v>
      </c>
    </row>
    <row r="1392">
      <c r="A1392" s="192" t="s">
        <v>221</v>
      </c>
      <c r="B1392" s="193">
        <v>45529.70833333333</v>
      </c>
      <c r="C1392" s="192">
        <v>-51.0</v>
      </c>
      <c r="E1392" s="192" t="s">
        <v>1109</v>
      </c>
      <c r="F1392" s="194" t="s">
        <v>982</v>
      </c>
    </row>
    <row r="1393">
      <c r="A1393" s="192" t="s">
        <v>221</v>
      </c>
      <c r="B1393" s="193">
        <v>45477.70833333333</v>
      </c>
      <c r="C1393" s="192">
        <v>-42.0</v>
      </c>
      <c r="E1393" s="192" t="s">
        <v>1110</v>
      </c>
      <c r="F1393" s="194" t="s">
        <v>982</v>
      </c>
    </row>
    <row r="1394">
      <c r="A1394" s="192" t="s">
        <v>221</v>
      </c>
      <c r="B1394" s="193">
        <v>45467.70833333333</v>
      </c>
      <c r="C1394" s="192">
        <v>-40.0</v>
      </c>
      <c r="E1394" s="192" t="s">
        <v>1111</v>
      </c>
      <c r="F1394" s="194" t="s">
        <v>982</v>
      </c>
    </row>
    <row r="1395">
      <c r="A1395" s="192" t="s">
        <v>221</v>
      </c>
      <c r="B1395" s="193">
        <v>45308.66666666667</v>
      </c>
      <c r="C1395" s="192">
        <v>-34.2</v>
      </c>
      <c r="E1395" s="192" t="s">
        <v>1112</v>
      </c>
      <c r="F1395" s="194" t="s">
        <v>982</v>
      </c>
    </row>
    <row r="1396">
      <c r="A1396" s="192" t="s">
        <v>221</v>
      </c>
      <c r="B1396" s="193">
        <v>45561.70833333333</v>
      </c>
      <c r="C1396" s="192">
        <v>-32.0</v>
      </c>
      <c r="E1396" s="192" t="s">
        <v>1113</v>
      </c>
      <c r="F1396" s="194" t="s">
        <v>982</v>
      </c>
    </row>
    <row r="1397">
      <c r="A1397" s="192" t="s">
        <v>221</v>
      </c>
      <c r="B1397" s="193">
        <v>45508.70833333333</v>
      </c>
      <c r="C1397" s="192">
        <v>-11.0</v>
      </c>
      <c r="E1397" s="192" t="s">
        <v>1114</v>
      </c>
      <c r="F1397" s="194" t="s">
        <v>982</v>
      </c>
    </row>
    <row r="1398">
      <c r="A1398" s="192" t="s">
        <v>221</v>
      </c>
      <c r="B1398" s="193">
        <v>45292.66666666667</v>
      </c>
      <c r="C1398" s="192">
        <v>6.99</v>
      </c>
      <c r="E1398" s="192" t="s">
        <v>1115</v>
      </c>
      <c r="F1398" s="194" t="s">
        <v>982</v>
      </c>
    </row>
    <row r="1399">
      <c r="A1399" s="192" t="s">
        <v>221</v>
      </c>
      <c r="B1399" s="193">
        <v>45258.66666666667</v>
      </c>
      <c r="C1399" s="192">
        <v>17.0</v>
      </c>
      <c r="E1399" s="192" t="s">
        <v>1116</v>
      </c>
      <c r="F1399" s="194" t="s">
        <v>982</v>
      </c>
    </row>
    <row r="1400">
      <c r="A1400" s="192" t="s">
        <v>221</v>
      </c>
      <c r="B1400" s="193">
        <v>45572.70833333333</v>
      </c>
      <c r="C1400" s="192">
        <v>54.82</v>
      </c>
      <c r="E1400" s="192" t="s">
        <v>1117</v>
      </c>
      <c r="F1400" s="194" t="s">
        <v>982</v>
      </c>
    </row>
    <row r="1401">
      <c r="A1401" s="192" t="s">
        <v>221</v>
      </c>
      <c r="B1401" s="193">
        <v>45333.66666666667</v>
      </c>
      <c r="C1401" s="192">
        <v>63.22</v>
      </c>
      <c r="E1401" s="192" t="s">
        <v>1118</v>
      </c>
      <c r="F1401" s="194" t="s">
        <v>982</v>
      </c>
    </row>
    <row r="1402">
      <c r="A1402" s="192" t="s">
        <v>221</v>
      </c>
      <c r="B1402" s="193">
        <v>45522.70833333333</v>
      </c>
      <c r="C1402" s="192">
        <v>79.58</v>
      </c>
      <c r="E1402" s="192" t="s">
        <v>1119</v>
      </c>
      <c r="F1402" s="194" t="s">
        <v>982</v>
      </c>
    </row>
    <row r="1403">
      <c r="A1403" s="192" t="s">
        <v>221</v>
      </c>
      <c r="B1403" s="193">
        <v>45259.66666666667</v>
      </c>
      <c r="C1403" s="192">
        <v>140.0</v>
      </c>
      <c r="E1403" s="192" t="s">
        <v>1120</v>
      </c>
      <c r="F1403" s="194" t="s">
        <v>982</v>
      </c>
    </row>
    <row r="1404">
      <c r="A1404" s="192" t="s">
        <v>221</v>
      </c>
      <c r="B1404" s="193">
        <v>45452.70833333333</v>
      </c>
      <c r="C1404" s="192">
        <v>220.0</v>
      </c>
      <c r="E1404" s="192" t="s">
        <v>1121</v>
      </c>
      <c r="F1404" s="194" t="s">
        <v>982</v>
      </c>
    </row>
    <row r="1405">
      <c r="A1405" s="192" t="s">
        <v>221</v>
      </c>
      <c r="B1405" s="193">
        <v>45420.70833333333</v>
      </c>
      <c r="C1405" s="192">
        <v>318.0</v>
      </c>
      <c r="E1405" s="192" t="s">
        <v>1122</v>
      </c>
      <c r="F1405" s="194" t="s">
        <v>982</v>
      </c>
    </row>
    <row r="1406">
      <c r="A1406" s="192" t="s">
        <v>221</v>
      </c>
      <c r="B1406" s="193">
        <v>45551.70833333333</v>
      </c>
      <c r="C1406" s="192">
        <v>399.24</v>
      </c>
      <c r="E1406" s="192" t="s">
        <v>1123</v>
      </c>
      <c r="F1406" s="194" t="s">
        <v>982</v>
      </c>
    </row>
    <row r="1407">
      <c r="A1407" s="192" t="s">
        <v>221</v>
      </c>
      <c r="B1407" s="193">
        <v>45260.66666666667</v>
      </c>
      <c r="C1407" s="192">
        <v>400.0</v>
      </c>
      <c r="E1407" s="192" t="s">
        <v>1124</v>
      </c>
      <c r="F1407" s="194" t="s">
        <v>982</v>
      </c>
    </row>
    <row r="1408">
      <c r="A1408" s="192" t="s">
        <v>221</v>
      </c>
      <c r="B1408" s="193">
        <v>45288.66666666667</v>
      </c>
      <c r="C1408" s="192">
        <v>400.0</v>
      </c>
      <c r="E1408" s="192" t="s">
        <v>1125</v>
      </c>
      <c r="F1408" s="194" t="s">
        <v>982</v>
      </c>
    </row>
    <row r="1409">
      <c r="A1409" s="192" t="s">
        <v>221</v>
      </c>
      <c r="B1409" s="193">
        <v>45322.66666666667</v>
      </c>
      <c r="C1409" s="192">
        <v>400.0</v>
      </c>
      <c r="E1409" s="192" t="s">
        <v>1126</v>
      </c>
      <c r="F1409" s="194" t="s">
        <v>982</v>
      </c>
    </row>
    <row r="1410">
      <c r="A1410" s="192" t="s">
        <v>221</v>
      </c>
      <c r="B1410" s="193">
        <v>45351.66666666667</v>
      </c>
      <c r="C1410" s="192">
        <v>400.0</v>
      </c>
      <c r="E1410" s="192" t="s">
        <v>1127</v>
      </c>
      <c r="F1410" s="194" t="s">
        <v>982</v>
      </c>
    </row>
    <row r="1411">
      <c r="A1411" s="192" t="s">
        <v>221</v>
      </c>
      <c r="B1411" s="193">
        <v>45382.70833333333</v>
      </c>
      <c r="C1411" s="192">
        <v>400.0</v>
      </c>
      <c r="E1411" s="192" t="s">
        <v>1128</v>
      </c>
      <c r="F1411" s="194" t="s">
        <v>982</v>
      </c>
    </row>
    <row r="1412">
      <c r="A1412" s="192" t="s">
        <v>221</v>
      </c>
      <c r="B1412" s="193">
        <v>45412.70833333333</v>
      </c>
      <c r="C1412" s="192">
        <v>400.0</v>
      </c>
      <c r="E1412" s="192" t="s">
        <v>1129</v>
      </c>
      <c r="F1412" s="194" t="s">
        <v>982</v>
      </c>
    </row>
    <row r="1413">
      <c r="A1413" s="192" t="s">
        <v>221</v>
      </c>
      <c r="B1413" s="193">
        <v>45442.70833333333</v>
      </c>
      <c r="C1413" s="192">
        <v>400.0</v>
      </c>
      <c r="E1413" s="192" t="s">
        <v>1130</v>
      </c>
      <c r="F1413" s="194" t="s">
        <v>982</v>
      </c>
    </row>
    <row r="1414">
      <c r="A1414" s="192" t="s">
        <v>221</v>
      </c>
      <c r="B1414" s="193">
        <v>45473.70833333333</v>
      </c>
      <c r="C1414" s="192">
        <v>400.0</v>
      </c>
      <c r="E1414" s="192" t="s">
        <v>1131</v>
      </c>
      <c r="F1414" s="194" t="s">
        <v>982</v>
      </c>
    </row>
    <row r="1415">
      <c r="A1415" s="192" t="s">
        <v>221</v>
      </c>
      <c r="B1415" s="193">
        <v>45504.70833333333</v>
      </c>
      <c r="C1415" s="192">
        <v>400.0</v>
      </c>
      <c r="E1415" s="192" t="s">
        <v>1132</v>
      </c>
      <c r="F1415" s="194" t="s">
        <v>982</v>
      </c>
    </row>
    <row r="1416">
      <c r="A1416" s="192" t="s">
        <v>221</v>
      </c>
      <c r="B1416" s="193">
        <v>45533.70833333333</v>
      </c>
      <c r="C1416" s="192">
        <v>400.0</v>
      </c>
      <c r="E1416" s="192" t="s">
        <v>1133</v>
      </c>
      <c r="F1416" s="194" t="s">
        <v>982</v>
      </c>
    </row>
    <row r="1417">
      <c r="A1417" s="192" t="s">
        <v>221</v>
      </c>
      <c r="B1417" s="193">
        <v>45565.70833333333</v>
      </c>
      <c r="C1417" s="192">
        <v>400.0</v>
      </c>
      <c r="E1417" s="192" t="s">
        <v>1134</v>
      </c>
      <c r="F1417" s="194" t="s">
        <v>982</v>
      </c>
    </row>
    <row r="1418">
      <c r="A1418" s="192" t="s">
        <v>221</v>
      </c>
      <c r="B1418" s="193">
        <v>45596.70833333333</v>
      </c>
      <c r="C1418" s="192">
        <v>400.0</v>
      </c>
      <c r="E1418" s="192" t="s">
        <v>1135</v>
      </c>
      <c r="F1418" s="194" t="s">
        <v>982</v>
      </c>
    </row>
    <row r="1419">
      <c r="A1419" s="192" t="s">
        <v>221</v>
      </c>
      <c r="B1419" s="193">
        <v>45298.66666666667</v>
      </c>
      <c r="C1419" s="192">
        <v>500.0</v>
      </c>
      <c r="E1419" s="192" t="s">
        <v>1136</v>
      </c>
      <c r="F1419" s="194" t="s">
        <v>982</v>
      </c>
    </row>
    <row r="1420">
      <c r="A1420" s="192" t="s">
        <v>221</v>
      </c>
      <c r="B1420" s="193">
        <v>45260.66666666667</v>
      </c>
      <c r="C1420" s="192">
        <v>650.0</v>
      </c>
      <c r="D1420" s="192" t="s">
        <v>1020</v>
      </c>
      <c r="E1420" s="192" t="s">
        <v>1137</v>
      </c>
      <c r="F1420" s="194" t="s">
        <v>982</v>
      </c>
    </row>
    <row r="1421">
      <c r="A1421" s="192" t="s">
        <v>221</v>
      </c>
      <c r="B1421" s="193">
        <v>45336.66666666667</v>
      </c>
      <c r="C1421" s="192">
        <v>1000.0</v>
      </c>
      <c r="E1421" s="192" t="s">
        <v>1138</v>
      </c>
      <c r="F1421" s="194" t="s">
        <v>982</v>
      </c>
    </row>
    <row r="1422">
      <c r="A1422" s="192" t="s">
        <v>221</v>
      </c>
      <c r="B1422" s="193">
        <v>45260.66666666667</v>
      </c>
      <c r="C1422" s="192">
        <v>1500.0</v>
      </c>
      <c r="D1422" s="192" t="s">
        <v>1020</v>
      </c>
      <c r="E1422" s="192" t="s">
        <v>1137</v>
      </c>
      <c r="F1422" s="194" t="s">
        <v>982</v>
      </c>
    </row>
    <row r="1423">
      <c r="A1423" s="192" t="s">
        <v>221</v>
      </c>
      <c r="B1423" s="193">
        <v>45300.66666666667</v>
      </c>
      <c r="C1423" s="192">
        <v>1500.0</v>
      </c>
      <c r="D1423" s="192" t="s">
        <v>1020</v>
      </c>
      <c r="E1423" s="192" t="s">
        <v>1137</v>
      </c>
      <c r="F1423" s="194" t="s">
        <v>982</v>
      </c>
    </row>
    <row r="1424">
      <c r="A1424" s="192" t="s">
        <v>221</v>
      </c>
      <c r="B1424" s="193">
        <v>45355.66666666667</v>
      </c>
      <c r="C1424" s="192">
        <v>1943.0</v>
      </c>
      <c r="E1424" s="192" t="s">
        <v>1139</v>
      </c>
      <c r="F1424" s="194" t="s">
        <v>982</v>
      </c>
    </row>
    <row r="1425">
      <c r="A1425" s="192" t="s">
        <v>221</v>
      </c>
      <c r="B1425" s="193">
        <v>45333.66666666667</v>
      </c>
      <c r="C1425" s="192">
        <v>2012.25</v>
      </c>
      <c r="E1425" s="192" t="s">
        <v>1140</v>
      </c>
      <c r="F1425" s="194" t="s">
        <v>982</v>
      </c>
    </row>
    <row r="1426">
      <c r="A1426" s="192" t="s">
        <v>221</v>
      </c>
      <c r="B1426" s="193">
        <v>45348.66666666667</v>
      </c>
      <c r="C1426" s="192">
        <v>3000.0</v>
      </c>
      <c r="E1426" s="192" t="s">
        <v>1141</v>
      </c>
      <c r="F1426" s="194" t="s">
        <v>982</v>
      </c>
    </row>
    <row r="1427">
      <c r="A1427" s="192" t="s">
        <v>221</v>
      </c>
      <c r="B1427" s="193">
        <v>45350.66666666667</v>
      </c>
      <c r="C1427" s="192">
        <v>4318.0</v>
      </c>
      <c r="E1427" s="192" t="s">
        <v>1142</v>
      </c>
      <c r="F1427" s="194" t="s">
        <v>982</v>
      </c>
    </row>
    <row r="1428">
      <c r="A1428" s="192" t="s">
        <v>221</v>
      </c>
      <c r="B1428" s="193">
        <v>45481.70833333333</v>
      </c>
      <c r="C1428" s="192">
        <v>5000.0</v>
      </c>
      <c r="D1428" s="192" t="s">
        <v>1020</v>
      </c>
      <c r="E1428" s="192" t="s">
        <v>1137</v>
      </c>
      <c r="F1428" s="194" t="s">
        <v>982</v>
      </c>
    </row>
    <row r="1429">
      <c r="A1429" s="192" t="s">
        <v>173</v>
      </c>
      <c r="B1429" s="193">
        <v>45385.70833333333</v>
      </c>
      <c r="C1429" s="192">
        <v>-160.0</v>
      </c>
      <c r="D1429" s="192" t="s">
        <v>1143</v>
      </c>
      <c r="E1429" s="192" t="s">
        <v>1144</v>
      </c>
      <c r="F1429" s="194" t="s">
        <v>1145</v>
      </c>
    </row>
    <row r="1430">
      <c r="A1430" s="192" t="s">
        <v>158</v>
      </c>
      <c r="B1430" s="193">
        <v>45502.70833333333</v>
      </c>
      <c r="C1430" s="192">
        <v>-1350.0</v>
      </c>
      <c r="D1430" s="192" t="s">
        <v>1146</v>
      </c>
      <c r="E1430" s="192" t="s">
        <v>1147</v>
      </c>
      <c r="F1430" s="194" t="s">
        <v>1145</v>
      </c>
    </row>
    <row r="1431">
      <c r="A1431" s="192" t="s">
        <v>158</v>
      </c>
      <c r="B1431" s="193">
        <v>45263.66666666667</v>
      </c>
      <c r="C1431" s="192">
        <v>-1340.0</v>
      </c>
      <c r="D1431" s="192" t="s">
        <v>1146</v>
      </c>
      <c r="E1431" s="192" t="s">
        <v>1148</v>
      </c>
      <c r="F1431" s="194" t="s">
        <v>1145</v>
      </c>
    </row>
    <row r="1432">
      <c r="A1432" s="192" t="s">
        <v>158</v>
      </c>
      <c r="B1432" s="193">
        <v>45292.66666666667</v>
      </c>
      <c r="C1432" s="192">
        <v>-1340.0</v>
      </c>
      <c r="D1432" s="192" t="s">
        <v>1146</v>
      </c>
      <c r="E1432" s="192" t="s">
        <v>1149</v>
      </c>
      <c r="F1432" s="194" t="s">
        <v>1145</v>
      </c>
    </row>
    <row r="1433">
      <c r="A1433" s="192" t="s">
        <v>158</v>
      </c>
      <c r="B1433" s="193">
        <v>45323.66666666667</v>
      </c>
      <c r="C1433" s="192">
        <v>-1340.0</v>
      </c>
      <c r="D1433" s="192" t="s">
        <v>1146</v>
      </c>
      <c r="E1433" s="192" t="s">
        <v>1150</v>
      </c>
      <c r="F1433" s="194" t="s">
        <v>1145</v>
      </c>
    </row>
    <row r="1434">
      <c r="A1434" s="192" t="s">
        <v>158</v>
      </c>
      <c r="B1434" s="193">
        <v>45354.66666666667</v>
      </c>
      <c r="C1434" s="192">
        <v>-1340.0</v>
      </c>
      <c r="D1434" s="192" t="s">
        <v>1146</v>
      </c>
      <c r="E1434" s="192" t="s">
        <v>1151</v>
      </c>
      <c r="F1434" s="194" t="s">
        <v>1145</v>
      </c>
    </row>
    <row r="1435">
      <c r="A1435" s="192" t="s">
        <v>158</v>
      </c>
      <c r="B1435" s="193">
        <v>45383.70833333333</v>
      </c>
      <c r="C1435" s="192">
        <v>-1340.0</v>
      </c>
      <c r="D1435" s="192" t="s">
        <v>1146</v>
      </c>
      <c r="E1435" s="192" t="s">
        <v>1152</v>
      </c>
      <c r="F1435" s="194" t="s">
        <v>1145</v>
      </c>
    </row>
    <row r="1436">
      <c r="A1436" s="192" t="s">
        <v>158</v>
      </c>
      <c r="B1436" s="193">
        <v>45413.70833333333</v>
      </c>
      <c r="C1436" s="192">
        <v>-1340.0</v>
      </c>
      <c r="D1436" s="192" t="s">
        <v>1146</v>
      </c>
      <c r="E1436" s="192" t="s">
        <v>1153</v>
      </c>
      <c r="F1436" s="194" t="s">
        <v>1145</v>
      </c>
    </row>
    <row r="1437">
      <c r="A1437" s="192" t="s">
        <v>158</v>
      </c>
      <c r="B1437" s="193">
        <v>45445.70833333333</v>
      </c>
      <c r="C1437" s="192">
        <v>-1340.0</v>
      </c>
      <c r="D1437" s="192" t="s">
        <v>1146</v>
      </c>
      <c r="E1437" s="192" t="s">
        <v>1154</v>
      </c>
      <c r="F1437" s="194" t="s">
        <v>1145</v>
      </c>
    </row>
    <row r="1438">
      <c r="A1438" s="192" t="s">
        <v>158</v>
      </c>
      <c r="B1438" s="193">
        <v>45474.70833333333</v>
      </c>
      <c r="C1438" s="192">
        <v>-1340.0</v>
      </c>
      <c r="D1438" s="192" t="s">
        <v>1146</v>
      </c>
      <c r="E1438" s="192" t="s">
        <v>1155</v>
      </c>
      <c r="F1438" s="194" t="s">
        <v>1145</v>
      </c>
    </row>
    <row r="1439">
      <c r="A1439" s="192" t="s">
        <v>158</v>
      </c>
      <c r="B1439" s="193">
        <v>45390.70833333333</v>
      </c>
      <c r="C1439" s="192">
        <v>-514.99</v>
      </c>
      <c r="D1439" s="192" t="s">
        <v>1156</v>
      </c>
      <c r="E1439" s="192" t="s">
        <v>1157</v>
      </c>
      <c r="F1439" s="194" t="s">
        <v>1145</v>
      </c>
    </row>
    <row r="1440">
      <c r="A1440" s="192" t="s">
        <v>158</v>
      </c>
      <c r="B1440" s="193">
        <v>45494.70833333333</v>
      </c>
      <c r="C1440" s="192">
        <v>-200.0</v>
      </c>
      <c r="D1440" s="192" t="s">
        <v>1146</v>
      </c>
      <c r="E1440" s="192" t="s">
        <v>1158</v>
      </c>
      <c r="F1440" s="194" t="s">
        <v>1145</v>
      </c>
    </row>
    <row r="1441">
      <c r="A1441" s="192" t="s">
        <v>158</v>
      </c>
      <c r="B1441" s="193">
        <v>45515.70833333333</v>
      </c>
      <c r="C1441" s="192">
        <v>-190.0</v>
      </c>
      <c r="D1441" s="192" t="s">
        <v>1143</v>
      </c>
      <c r="E1441" s="192" t="s">
        <v>1159</v>
      </c>
      <c r="F1441" s="194" t="s">
        <v>1145</v>
      </c>
    </row>
    <row r="1442">
      <c r="A1442" s="192" t="s">
        <v>158</v>
      </c>
      <c r="B1442" s="193">
        <v>45237.66666666667</v>
      </c>
      <c r="C1442" s="192">
        <v>-160.0</v>
      </c>
      <c r="D1442" s="192" t="s">
        <v>1143</v>
      </c>
      <c r="E1442" s="192" t="s">
        <v>1160</v>
      </c>
      <c r="F1442" s="194" t="s">
        <v>1145</v>
      </c>
    </row>
    <row r="1443">
      <c r="A1443" s="192" t="s">
        <v>158</v>
      </c>
      <c r="B1443" s="193">
        <v>45251.66666666667</v>
      </c>
      <c r="C1443" s="192">
        <v>-160.0</v>
      </c>
      <c r="D1443" s="192" t="s">
        <v>1143</v>
      </c>
      <c r="E1443" s="192" t="s">
        <v>1161</v>
      </c>
      <c r="F1443" s="194" t="s">
        <v>1145</v>
      </c>
    </row>
    <row r="1444">
      <c r="A1444" s="192" t="s">
        <v>158</v>
      </c>
      <c r="B1444" s="193">
        <v>45266.66666666667</v>
      </c>
      <c r="C1444" s="192">
        <v>-160.0</v>
      </c>
      <c r="D1444" s="192" t="s">
        <v>1143</v>
      </c>
      <c r="E1444" s="192" t="s">
        <v>1162</v>
      </c>
      <c r="F1444" s="194" t="s">
        <v>1145</v>
      </c>
    </row>
    <row r="1445">
      <c r="A1445" s="192" t="s">
        <v>158</v>
      </c>
      <c r="B1445" s="193">
        <v>45295.66666666667</v>
      </c>
      <c r="C1445" s="192">
        <v>-160.0</v>
      </c>
      <c r="D1445" s="192" t="s">
        <v>1143</v>
      </c>
      <c r="E1445" s="192" t="s">
        <v>1163</v>
      </c>
      <c r="F1445" s="194" t="s">
        <v>1145</v>
      </c>
    </row>
    <row r="1446">
      <c r="A1446" s="192" t="s">
        <v>158</v>
      </c>
      <c r="B1446" s="193">
        <v>45319.66666666667</v>
      </c>
      <c r="C1446" s="192">
        <v>-160.0</v>
      </c>
      <c r="D1446" s="192" t="s">
        <v>1143</v>
      </c>
      <c r="E1446" s="192" t="s">
        <v>1164</v>
      </c>
      <c r="F1446" s="194" t="s">
        <v>1145</v>
      </c>
    </row>
    <row r="1447">
      <c r="A1447" s="192" t="s">
        <v>158</v>
      </c>
      <c r="B1447" s="193">
        <v>45321.66666666667</v>
      </c>
      <c r="C1447" s="192">
        <v>-160.0</v>
      </c>
      <c r="D1447" s="192" t="s">
        <v>1143</v>
      </c>
      <c r="E1447" s="192" t="s">
        <v>1165</v>
      </c>
      <c r="F1447" s="194" t="s">
        <v>1145</v>
      </c>
    </row>
    <row r="1448">
      <c r="A1448" s="192" t="s">
        <v>158</v>
      </c>
      <c r="B1448" s="193">
        <v>45341.66666666667</v>
      </c>
      <c r="C1448" s="192">
        <v>-160.0</v>
      </c>
      <c r="D1448" s="192" t="s">
        <v>1143</v>
      </c>
      <c r="E1448" s="192" t="s">
        <v>1166</v>
      </c>
      <c r="F1448" s="194" t="s">
        <v>1145</v>
      </c>
    </row>
    <row r="1449">
      <c r="A1449" s="192" t="s">
        <v>158</v>
      </c>
      <c r="B1449" s="193">
        <v>45349.66666666667</v>
      </c>
      <c r="C1449" s="192">
        <v>-160.0</v>
      </c>
      <c r="D1449" s="192" t="s">
        <v>1143</v>
      </c>
      <c r="E1449" s="192" t="s">
        <v>1167</v>
      </c>
      <c r="F1449" s="194" t="s">
        <v>1145</v>
      </c>
    </row>
    <row r="1450">
      <c r="A1450" s="192" t="s">
        <v>158</v>
      </c>
      <c r="B1450" s="193">
        <v>45363.70833333333</v>
      </c>
      <c r="C1450" s="192">
        <v>-160.0</v>
      </c>
      <c r="D1450" s="192" t="s">
        <v>1143</v>
      </c>
      <c r="E1450" s="192" t="s">
        <v>1168</v>
      </c>
      <c r="F1450" s="194" t="s">
        <v>1145</v>
      </c>
    </row>
    <row r="1451">
      <c r="A1451" s="192" t="s">
        <v>158</v>
      </c>
      <c r="B1451" s="193">
        <v>45391.70833333333</v>
      </c>
      <c r="C1451" s="192">
        <v>-160.0</v>
      </c>
      <c r="D1451" s="192" t="s">
        <v>1143</v>
      </c>
      <c r="E1451" s="192" t="s">
        <v>1169</v>
      </c>
      <c r="F1451" s="194" t="s">
        <v>1145</v>
      </c>
    </row>
    <row r="1452">
      <c r="A1452" s="192" t="s">
        <v>158</v>
      </c>
      <c r="B1452" s="193">
        <v>45592.70833333333</v>
      </c>
      <c r="C1452" s="192">
        <v>-160.0</v>
      </c>
      <c r="D1452" s="192" t="s">
        <v>1146</v>
      </c>
      <c r="E1452" s="192" t="s">
        <v>1170</v>
      </c>
      <c r="F1452" s="194" t="s">
        <v>1145</v>
      </c>
    </row>
    <row r="1453">
      <c r="A1453" s="192" t="s">
        <v>158</v>
      </c>
      <c r="B1453" s="193">
        <v>45405.70833333333</v>
      </c>
      <c r="C1453" s="192">
        <v>-160.0</v>
      </c>
      <c r="D1453" s="192" t="s">
        <v>1143</v>
      </c>
      <c r="E1453" s="192" t="s">
        <v>1171</v>
      </c>
      <c r="F1453" s="194" t="s">
        <v>1145</v>
      </c>
    </row>
    <row r="1454">
      <c r="A1454" s="192" t="s">
        <v>158</v>
      </c>
      <c r="B1454" s="193">
        <v>45419.70833333333</v>
      </c>
      <c r="C1454" s="192">
        <v>-160.0</v>
      </c>
      <c r="D1454" s="192" t="s">
        <v>1143</v>
      </c>
      <c r="E1454" s="192" t="s">
        <v>1172</v>
      </c>
      <c r="F1454" s="194" t="s">
        <v>1145</v>
      </c>
    </row>
    <row r="1455">
      <c r="A1455" s="192" t="s">
        <v>158</v>
      </c>
      <c r="B1455" s="193">
        <v>45433.70833333333</v>
      </c>
      <c r="C1455" s="192">
        <v>-160.0</v>
      </c>
      <c r="D1455" s="192" t="s">
        <v>1143</v>
      </c>
      <c r="E1455" s="192" t="s">
        <v>1173</v>
      </c>
      <c r="F1455" s="194" t="s">
        <v>1145</v>
      </c>
    </row>
    <row r="1456">
      <c r="A1456" s="192" t="s">
        <v>158</v>
      </c>
      <c r="B1456" s="193">
        <v>45454.70833333333</v>
      </c>
      <c r="C1456" s="192">
        <v>-160.0</v>
      </c>
      <c r="D1456" s="192" t="s">
        <v>1143</v>
      </c>
      <c r="E1456" s="192" t="s">
        <v>1174</v>
      </c>
      <c r="F1456" s="194" t="s">
        <v>1145</v>
      </c>
    </row>
    <row r="1457">
      <c r="A1457" s="192" t="s">
        <v>158</v>
      </c>
      <c r="B1457" s="193">
        <v>45460.70833333333</v>
      </c>
      <c r="C1457" s="192">
        <v>-160.0</v>
      </c>
      <c r="D1457" s="192" t="s">
        <v>1143</v>
      </c>
      <c r="E1457" s="192" t="s">
        <v>1175</v>
      </c>
      <c r="F1457" s="194" t="s">
        <v>1145</v>
      </c>
    </row>
    <row r="1458">
      <c r="A1458" s="192" t="s">
        <v>158</v>
      </c>
      <c r="B1458" s="193">
        <v>45475.70833333333</v>
      </c>
      <c r="C1458" s="192">
        <v>-160.0</v>
      </c>
      <c r="D1458" s="192" t="s">
        <v>1143</v>
      </c>
      <c r="E1458" s="192" t="s">
        <v>1176</v>
      </c>
      <c r="F1458" s="194" t="s">
        <v>1145</v>
      </c>
    </row>
    <row r="1459">
      <c r="A1459" s="192" t="s">
        <v>158</v>
      </c>
      <c r="B1459" s="193">
        <v>45494.70833333333</v>
      </c>
      <c r="C1459" s="192">
        <v>-160.0</v>
      </c>
      <c r="D1459" s="192" t="s">
        <v>1143</v>
      </c>
      <c r="E1459" s="192" t="s">
        <v>1177</v>
      </c>
      <c r="F1459" s="194" t="s">
        <v>1145</v>
      </c>
    </row>
    <row r="1460">
      <c r="A1460" s="192" t="s">
        <v>158</v>
      </c>
      <c r="B1460" s="193">
        <v>45524.70833333333</v>
      </c>
      <c r="C1460" s="192">
        <v>-160.0</v>
      </c>
      <c r="D1460" s="192" t="s">
        <v>1143</v>
      </c>
      <c r="E1460" s="192" t="s">
        <v>1178</v>
      </c>
      <c r="F1460" s="194" t="s">
        <v>1145</v>
      </c>
    </row>
    <row r="1461">
      <c r="A1461" s="192" t="s">
        <v>158</v>
      </c>
      <c r="B1461" s="193">
        <v>45543.70833333333</v>
      </c>
      <c r="C1461" s="192">
        <v>-160.0</v>
      </c>
      <c r="D1461" s="192" t="s">
        <v>1143</v>
      </c>
      <c r="E1461" s="192" t="s">
        <v>1179</v>
      </c>
      <c r="F1461" s="194" t="s">
        <v>1145</v>
      </c>
    </row>
    <row r="1462">
      <c r="A1462" s="192" t="s">
        <v>158</v>
      </c>
      <c r="B1462" s="193">
        <v>45554.70833333333</v>
      </c>
      <c r="C1462" s="192">
        <v>-160.0</v>
      </c>
      <c r="D1462" s="192" t="s">
        <v>1143</v>
      </c>
      <c r="E1462" s="192" t="s">
        <v>1180</v>
      </c>
      <c r="F1462" s="194" t="s">
        <v>1145</v>
      </c>
    </row>
    <row r="1463">
      <c r="A1463" s="192" t="s">
        <v>158</v>
      </c>
      <c r="B1463" s="193">
        <v>45573.70833333333</v>
      </c>
      <c r="C1463" s="192">
        <v>-160.0</v>
      </c>
      <c r="D1463" s="192" t="s">
        <v>1143</v>
      </c>
      <c r="E1463" s="192" t="s">
        <v>1181</v>
      </c>
      <c r="F1463" s="194" t="s">
        <v>1145</v>
      </c>
    </row>
    <row r="1464">
      <c r="A1464" s="192" t="s">
        <v>158</v>
      </c>
      <c r="B1464" s="193">
        <v>45596.70833333333</v>
      </c>
      <c r="C1464" s="192">
        <v>-160.0</v>
      </c>
      <c r="D1464" s="192" t="s">
        <v>1143</v>
      </c>
      <c r="E1464" s="192" t="s">
        <v>1182</v>
      </c>
      <c r="F1464" s="194" t="s">
        <v>1145</v>
      </c>
    </row>
    <row r="1465">
      <c r="A1465" s="192" t="s">
        <v>158</v>
      </c>
      <c r="B1465" s="193">
        <v>45585.70833333333</v>
      </c>
      <c r="C1465" s="192">
        <v>-140.0</v>
      </c>
      <c r="D1465" s="192" t="s">
        <v>1146</v>
      </c>
      <c r="E1465" s="192" t="s">
        <v>1183</v>
      </c>
      <c r="F1465" s="194" t="s">
        <v>1145</v>
      </c>
    </row>
    <row r="1466">
      <c r="A1466" s="192" t="s">
        <v>158</v>
      </c>
      <c r="B1466" s="193">
        <v>45419.70833333333</v>
      </c>
      <c r="C1466" s="192">
        <v>-100.0</v>
      </c>
      <c r="D1466" s="192" t="s">
        <v>1146</v>
      </c>
      <c r="E1466" s="192" t="s">
        <v>1184</v>
      </c>
      <c r="F1466" s="194" t="s">
        <v>1145</v>
      </c>
    </row>
    <row r="1467">
      <c r="A1467" s="192" t="s">
        <v>158</v>
      </c>
      <c r="B1467" s="193">
        <v>45459.70833333333</v>
      </c>
      <c r="C1467" s="192">
        <v>-96.0</v>
      </c>
      <c r="D1467" s="192" t="s">
        <v>1146</v>
      </c>
      <c r="E1467" s="192" t="s">
        <v>1185</v>
      </c>
      <c r="F1467" s="194" t="s">
        <v>1145</v>
      </c>
    </row>
    <row r="1468">
      <c r="A1468" s="192" t="s">
        <v>158</v>
      </c>
      <c r="B1468" s="193">
        <v>45466.70833333333</v>
      </c>
      <c r="C1468" s="192">
        <v>-75.0</v>
      </c>
      <c r="D1468" s="192" t="s">
        <v>1146</v>
      </c>
      <c r="E1468" s="192" t="s">
        <v>1186</v>
      </c>
      <c r="F1468" s="194" t="s">
        <v>1145</v>
      </c>
    </row>
    <row r="1469">
      <c r="A1469" s="192" t="s">
        <v>158</v>
      </c>
      <c r="B1469" s="193">
        <v>45440.70833333333</v>
      </c>
      <c r="C1469" s="192">
        <v>-50.0</v>
      </c>
      <c r="D1469" s="192" t="s">
        <v>1146</v>
      </c>
      <c r="E1469" s="192" t="s">
        <v>1187</v>
      </c>
      <c r="F1469" s="194" t="s">
        <v>1145</v>
      </c>
    </row>
    <row r="1470">
      <c r="A1470" s="192" t="s">
        <v>158</v>
      </c>
      <c r="B1470" s="193">
        <v>45494.70833333333</v>
      </c>
      <c r="C1470" s="192">
        <v>-30.0</v>
      </c>
      <c r="D1470" s="192" t="s">
        <v>1143</v>
      </c>
      <c r="E1470" s="192" t="s">
        <v>1188</v>
      </c>
      <c r="F1470" s="194" t="s">
        <v>1145</v>
      </c>
    </row>
    <row r="1471">
      <c r="A1471" s="192" t="s">
        <v>158</v>
      </c>
      <c r="B1471" s="193">
        <v>45503.70833333333</v>
      </c>
      <c r="C1471" s="192">
        <v>-30.0</v>
      </c>
      <c r="D1471" s="192" t="s">
        <v>1143</v>
      </c>
      <c r="E1471" s="192" t="s">
        <v>1189</v>
      </c>
      <c r="F1471" s="194" t="s">
        <v>1145</v>
      </c>
    </row>
    <row r="1472">
      <c r="A1472" s="192" t="s">
        <v>158</v>
      </c>
      <c r="B1472" s="193">
        <v>45574.70833333333</v>
      </c>
      <c r="C1472" s="192">
        <v>-28.0</v>
      </c>
      <c r="D1472" s="192" t="s">
        <v>1146</v>
      </c>
      <c r="E1472" s="192" t="s">
        <v>1190</v>
      </c>
      <c r="F1472" s="194" t="s">
        <v>1145</v>
      </c>
    </row>
    <row r="1473">
      <c r="A1473" s="192" t="s">
        <v>158</v>
      </c>
      <c r="B1473" s="193">
        <v>45410.70833333333</v>
      </c>
      <c r="C1473" s="192">
        <v>-25.0</v>
      </c>
      <c r="D1473" s="192" t="s">
        <v>1146</v>
      </c>
      <c r="E1473" s="192" t="s">
        <v>1191</v>
      </c>
      <c r="F1473" s="194" t="s">
        <v>1145</v>
      </c>
    </row>
    <row r="1474">
      <c r="A1474" s="192" t="s">
        <v>158</v>
      </c>
      <c r="B1474" s="193">
        <v>45501.70833333333</v>
      </c>
      <c r="C1474" s="192">
        <v>-23.0</v>
      </c>
      <c r="D1474" s="192" t="s">
        <v>1146</v>
      </c>
      <c r="E1474" s="192" t="s">
        <v>1192</v>
      </c>
      <c r="F1474" s="194" t="s">
        <v>1145</v>
      </c>
    </row>
    <row r="1475">
      <c r="A1475" s="192" t="s">
        <v>158</v>
      </c>
      <c r="B1475" s="193">
        <v>45292.66666666667</v>
      </c>
      <c r="C1475" s="192">
        <v>-20.0</v>
      </c>
      <c r="D1475" s="192" t="s">
        <v>1146</v>
      </c>
      <c r="E1475" s="192" t="s">
        <v>1193</v>
      </c>
      <c r="F1475" s="194" t="s">
        <v>1145</v>
      </c>
    </row>
    <row r="1476">
      <c r="A1476" s="192" t="s">
        <v>158</v>
      </c>
      <c r="B1476" s="193">
        <v>45529.70833333333</v>
      </c>
      <c r="C1476" s="192">
        <v>-20.0</v>
      </c>
      <c r="D1476" s="192" t="s">
        <v>1146</v>
      </c>
      <c r="E1476" s="192" t="s">
        <v>1194</v>
      </c>
      <c r="F1476" s="194" t="s">
        <v>1145</v>
      </c>
    </row>
    <row r="1477">
      <c r="A1477" s="192" t="s">
        <v>158</v>
      </c>
      <c r="B1477" s="193">
        <v>45539.70833333333</v>
      </c>
      <c r="C1477" s="192">
        <v>-20.0</v>
      </c>
      <c r="D1477" s="192" t="s">
        <v>1146</v>
      </c>
      <c r="E1477" s="192" t="s">
        <v>1195</v>
      </c>
      <c r="F1477" s="194" t="s">
        <v>1145</v>
      </c>
    </row>
    <row r="1478">
      <c r="A1478" s="192" t="s">
        <v>158</v>
      </c>
      <c r="B1478" s="193">
        <v>45501.70833333333</v>
      </c>
      <c r="C1478" s="192">
        <v>-14.5</v>
      </c>
      <c r="D1478" s="192" t="s">
        <v>1146</v>
      </c>
      <c r="E1478" s="192" t="s">
        <v>1196</v>
      </c>
      <c r="F1478" s="194" t="s">
        <v>1145</v>
      </c>
    </row>
    <row r="1479">
      <c r="A1479" s="192" t="s">
        <v>158</v>
      </c>
      <c r="B1479" s="193">
        <v>45406.70833333333</v>
      </c>
      <c r="C1479" s="192">
        <v>-10.0</v>
      </c>
      <c r="D1479" s="192" t="s">
        <v>1146</v>
      </c>
      <c r="E1479" s="192" t="s">
        <v>1197</v>
      </c>
      <c r="F1479" s="194" t="s">
        <v>1145</v>
      </c>
    </row>
    <row r="1480">
      <c r="A1480" s="192" t="s">
        <v>158</v>
      </c>
      <c r="B1480" s="193">
        <v>45354.66666666667</v>
      </c>
      <c r="C1480" s="192">
        <v>21.0</v>
      </c>
      <c r="D1480" s="192" t="s">
        <v>1146</v>
      </c>
      <c r="E1480" s="192" t="s">
        <v>1198</v>
      </c>
      <c r="F1480" s="194" t="s">
        <v>1145</v>
      </c>
    </row>
    <row r="1481">
      <c r="A1481" s="192" t="s">
        <v>158</v>
      </c>
      <c r="B1481" s="193">
        <v>45264.66666666667</v>
      </c>
      <c r="C1481" s="192">
        <v>200.0</v>
      </c>
      <c r="D1481" s="192" t="s">
        <v>1146</v>
      </c>
      <c r="E1481" s="192" t="s">
        <v>1198</v>
      </c>
      <c r="F1481" s="194" t="s">
        <v>1145</v>
      </c>
    </row>
    <row r="1482">
      <c r="A1482" s="192" t="s">
        <v>158</v>
      </c>
      <c r="B1482" s="193">
        <v>45512.70833333333</v>
      </c>
      <c r="C1482" s="192">
        <v>338.0</v>
      </c>
      <c r="D1482" s="192" t="s">
        <v>1146</v>
      </c>
      <c r="E1482" s="192" t="s">
        <v>1198</v>
      </c>
      <c r="F1482" s="194" t="s">
        <v>1145</v>
      </c>
    </row>
    <row r="1483">
      <c r="A1483" s="192" t="s">
        <v>158</v>
      </c>
      <c r="B1483" s="193">
        <v>45544.70833333333</v>
      </c>
      <c r="C1483" s="192">
        <v>492.0</v>
      </c>
      <c r="D1483" s="192" t="s">
        <v>1146</v>
      </c>
      <c r="E1483" s="192" t="s">
        <v>1198</v>
      </c>
      <c r="F1483" s="194" t="s">
        <v>1145</v>
      </c>
    </row>
    <row r="1484">
      <c r="A1484" s="192" t="s">
        <v>158</v>
      </c>
      <c r="B1484" s="193">
        <v>45477.70833333333</v>
      </c>
      <c r="C1484" s="192">
        <v>1500.0</v>
      </c>
      <c r="D1484" s="192" t="s">
        <v>1146</v>
      </c>
      <c r="E1484" s="192" t="s">
        <v>1198</v>
      </c>
      <c r="F1484" s="194" t="s">
        <v>1145</v>
      </c>
    </row>
    <row r="1485">
      <c r="A1485" s="192" t="s">
        <v>221</v>
      </c>
      <c r="B1485" s="193">
        <v>45482.70833333333</v>
      </c>
      <c r="C1485" s="192">
        <v>-5000.0</v>
      </c>
      <c r="D1485" s="192" t="s">
        <v>1199</v>
      </c>
      <c r="E1485" s="192" t="s">
        <v>1200</v>
      </c>
      <c r="F1485" s="194" t="s">
        <v>1145</v>
      </c>
    </row>
    <row r="1486">
      <c r="A1486" s="192" t="s">
        <v>133</v>
      </c>
      <c r="B1486" s="193">
        <v>45263.66666666667</v>
      </c>
      <c r="C1486" s="192">
        <v>-658.08</v>
      </c>
      <c r="D1486" s="192" t="s">
        <v>1201</v>
      </c>
      <c r="E1486" s="192" t="s">
        <v>1202</v>
      </c>
      <c r="F1486" s="194" t="s">
        <v>1145</v>
      </c>
    </row>
    <row r="1487">
      <c r="A1487" s="192" t="s">
        <v>133</v>
      </c>
      <c r="B1487" s="193">
        <v>45459.70833333333</v>
      </c>
      <c r="C1487" s="192">
        <v>-24.0</v>
      </c>
      <c r="D1487" s="192" t="s">
        <v>1203</v>
      </c>
      <c r="E1487" s="192" t="s">
        <v>1204</v>
      </c>
      <c r="F1487" s="194" t="s">
        <v>1145</v>
      </c>
    </row>
    <row r="1488">
      <c r="B1488" s="193"/>
    </row>
    <row r="1489">
      <c r="B1489" s="193"/>
    </row>
    <row r="1490">
      <c r="B1490" s="193"/>
    </row>
    <row r="1491">
      <c r="B1491" s="193"/>
    </row>
    <row r="1492">
      <c r="B1492" s="193"/>
    </row>
    <row r="1493">
      <c r="B1493" s="193"/>
    </row>
    <row r="1494">
      <c r="B1494" s="193"/>
    </row>
    <row r="1495">
      <c r="B1495" s="193"/>
    </row>
    <row r="1496">
      <c r="B1496" s="193"/>
    </row>
    <row r="1497">
      <c r="B1497" s="193"/>
    </row>
    <row r="1498">
      <c r="B1498" s="193"/>
    </row>
    <row r="1499">
      <c r="B1499" s="193"/>
    </row>
    <row r="1500">
      <c r="B1500" s="193"/>
    </row>
    <row r="1501">
      <c r="B1501" s="193"/>
    </row>
    <row r="1502">
      <c r="B1502" s="193"/>
    </row>
    <row r="1503">
      <c r="B1503" s="193"/>
    </row>
    <row r="1504">
      <c r="B1504" s="193"/>
    </row>
    <row r="1505">
      <c r="B1505" s="193"/>
    </row>
    <row r="1506">
      <c r="B1506" s="193"/>
    </row>
    <row r="1507">
      <c r="B1507" s="193"/>
    </row>
    <row r="1508">
      <c r="B1508" s="193"/>
    </row>
    <row r="1509">
      <c r="B1509" s="193"/>
    </row>
    <row r="1510">
      <c r="B1510" s="193"/>
    </row>
    <row r="1511">
      <c r="B1511" s="193"/>
    </row>
    <row r="1512">
      <c r="B1512" s="193"/>
    </row>
    <row r="1513">
      <c r="B1513" s="193"/>
    </row>
    <row r="1514">
      <c r="B1514" s="193"/>
    </row>
    <row r="1515">
      <c r="B1515" s="193"/>
    </row>
    <row r="1516">
      <c r="B1516" s="193"/>
    </row>
    <row r="1517">
      <c r="B1517" s="193"/>
    </row>
    <row r="1518">
      <c r="B1518" s="193"/>
    </row>
    <row r="1519">
      <c r="B1519" s="193"/>
    </row>
    <row r="1520">
      <c r="B1520" s="193"/>
    </row>
    <row r="1521">
      <c r="B1521" s="193"/>
    </row>
    <row r="1522">
      <c r="B1522" s="193"/>
    </row>
    <row r="1523">
      <c r="B1523" s="193"/>
    </row>
    <row r="1524">
      <c r="B1524" s="193"/>
    </row>
    <row r="1525">
      <c r="B1525" s="193"/>
    </row>
    <row r="1526">
      <c r="B1526" s="193"/>
    </row>
    <row r="1527">
      <c r="B1527" s="193"/>
    </row>
    <row r="1528">
      <c r="B1528" s="193"/>
    </row>
    <row r="1529">
      <c r="B1529" s="193"/>
    </row>
    <row r="1530">
      <c r="B1530" s="193"/>
    </row>
    <row r="1531">
      <c r="B1531" s="193"/>
    </row>
    <row r="1532">
      <c r="B1532" s="193"/>
    </row>
    <row r="1533">
      <c r="B1533" s="193"/>
    </row>
    <row r="1534">
      <c r="B1534" s="193"/>
    </row>
    <row r="1535">
      <c r="B1535" s="193"/>
    </row>
    <row r="1536">
      <c r="B1536" s="193"/>
    </row>
    <row r="1537">
      <c r="B1537" s="193"/>
    </row>
    <row r="1538">
      <c r="B1538" s="193"/>
    </row>
    <row r="1539">
      <c r="B1539" s="193"/>
    </row>
    <row r="1540">
      <c r="B1540" s="193"/>
    </row>
    <row r="1541">
      <c r="B1541" s="193"/>
    </row>
    <row r="1542">
      <c r="B1542" s="193"/>
    </row>
    <row r="1543">
      <c r="B1543" s="193"/>
    </row>
    <row r="1544">
      <c r="B1544" s="193"/>
    </row>
    <row r="1545">
      <c r="B1545" s="193"/>
    </row>
    <row r="1546">
      <c r="B1546" s="193"/>
    </row>
    <row r="1547">
      <c r="B1547" s="193"/>
    </row>
    <row r="1548">
      <c r="B1548" s="193"/>
    </row>
    <row r="1549">
      <c r="B1549" s="193"/>
    </row>
    <row r="1550">
      <c r="B1550" s="193"/>
    </row>
    <row r="1551">
      <c r="B1551" s="193"/>
    </row>
    <row r="1552">
      <c r="B1552" s="193"/>
    </row>
    <row r="1553">
      <c r="B1553" s="193"/>
    </row>
    <row r="1554">
      <c r="B1554" s="193"/>
    </row>
    <row r="1555">
      <c r="B1555" s="193"/>
    </row>
    <row r="1556">
      <c r="B1556" s="193"/>
    </row>
    <row r="1557">
      <c r="B1557" s="193"/>
    </row>
    <row r="1558">
      <c r="B1558" s="193"/>
    </row>
    <row r="1559">
      <c r="B1559" s="193"/>
    </row>
    <row r="1560">
      <c r="B1560" s="193"/>
    </row>
    <row r="1561">
      <c r="B1561" s="193"/>
    </row>
    <row r="1562">
      <c r="B1562" s="193"/>
    </row>
    <row r="1563">
      <c r="B1563" s="193"/>
    </row>
    <row r="1564">
      <c r="B1564" s="193"/>
    </row>
    <row r="1565">
      <c r="B1565" s="193"/>
    </row>
    <row r="1566">
      <c r="B1566" s="193"/>
    </row>
    <row r="1567">
      <c r="B1567" s="193"/>
    </row>
    <row r="1568">
      <c r="B1568" s="193"/>
    </row>
    <row r="1569">
      <c r="B1569" s="193"/>
    </row>
    <row r="1570">
      <c r="B1570" s="193"/>
    </row>
    <row r="1571">
      <c r="B1571" s="193"/>
    </row>
    <row r="1572">
      <c r="B1572" s="193"/>
    </row>
    <row r="1573">
      <c r="B1573" s="193"/>
    </row>
    <row r="1574">
      <c r="B1574" s="193"/>
    </row>
    <row r="1575">
      <c r="B1575" s="193"/>
    </row>
    <row r="1576">
      <c r="B1576" s="193"/>
    </row>
    <row r="1577">
      <c r="B1577" s="193"/>
    </row>
    <row r="1578">
      <c r="B1578" s="193"/>
    </row>
    <row r="1579">
      <c r="B1579" s="193"/>
    </row>
    <row r="1580">
      <c r="B1580" s="193"/>
    </row>
    <row r="1581">
      <c r="B1581" s="193"/>
    </row>
    <row r="1582">
      <c r="B1582" s="193"/>
    </row>
    <row r="1583">
      <c r="B1583" s="193"/>
    </row>
    <row r="1584">
      <c r="B1584" s="193"/>
    </row>
    <row r="1585">
      <c r="B1585" s="193"/>
    </row>
    <row r="1586">
      <c r="B1586" s="193"/>
    </row>
    <row r="1587">
      <c r="B1587" s="193"/>
    </row>
    <row r="1588">
      <c r="B1588" s="193"/>
    </row>
    <row r="1589">
      <c r="B1589" s="193"/>
    </row>
    <row r="1590">
      <c r="B1590" s="193"/>
    </row>
    <row r="1591">
      <c r="B1591" s="193"/>
    </row>
    <row r="1592">
      <c r="B1592" s="193"/>
    </row>
    <row r="1593">
      <c r="B1593" s="193"/>
    </row>
    <row r="1594">
      <c r="B1594" s="193"/>
    </row>
    <row r="1595">
      <c r="B1595" s="193"/>
    </row>
    <row r="1596">
      <c r="B1596" s="193"/>
    </row>
    <row r="1597">
      <c r="B1597" s="193"/>
    </row>
    <row r="1598">
      <c r="B1598" s="193"/>
    </row>
    <row r="1599">
      <c r="B1599" s="193"/>
    </row>
    <row r="1600">
      <c r="B1600" s="193"/>
    </row>
    <row r="1601">
      <c r="B1601" s="193"/>
    </row>
    <row r="1602">
      <c r="B1602" s="193"/>
    </row>
    <row r="1603">
      <c r="B1603" s="193"/>
    </row>
    <row r="1604">
      <c r="B1604" s="193"/>
    </row>
    <row r="1605">
      <c r="B1605" s="193"/>
    </row>
    <row r="1606">
      <c r="B1606" s="193"/>
    </row>
    <row r="1607">
      <c r="B1607" s="193"/>
    </row>
    <row r="1608">
      <c r="B1608" s="193"/>
    </row>
    <row r="1609">
      <c r="B1609" s="193"/>
    </row>
    <row r="1610">
      <c r="B1610" s="193"/>
    </row>
    <row r="1611">
      <c r="B1611" s="193"/>
    </row>
    <row r="1612">
      <c r="B1612" s="193"/>
    </row>
    <row r="1613">
      <c r="B1613" s="193"/>
    </row>
    <row r="1614">
      <c r="B1614" s="193"/>
    </row>
    <row r="1615">
      <c r="B1615" s="193"/>
    </row>
    <row r="1616">
      <c r="B1616" s="193"/>
    </row>
    <row r="1617">
      <c r="B1617" s="193"/>
    </row>
    <row r="1618">
      <c r="B1618" s="193"/>
    </row>
    <row r="1619">
      <c r="B1619" s="193"/>
    </row>
    <row r="1620">
      <c r="B1620" s="193"/>
    </row>
    <row r="1621">
      <c r="B1621" s="193"/>
    </row>
    <row r="1622">
      <c r="B1622" s="193"/>
    </row>
    <row r="1623">
      <c r="B1623" s="193"/>
    </row>
    <row r="1624">
      <c r="B1624" s="193"/>
    </row>
    <row r="1625">
      <c r="B1625" s="193"/>
    </row>
    <row r="1626">
      <c r="B1626" s="193"/>
    </row>
    <row r="1627">
      <c r="B1627" s="193"/>
    </row>
    <row r="1628">
      <c r="B1628" s="193"/>
    </row>
    <row r="1629">
      <c r="B1629" s="193"/>
    </row>
    <row r="1630">
      <c r="B1630" s="193"/>
    </row>
    <row r="1631">
      <c r="B1631" s="193"/>
    </row>
    <row r="1632">
      <c r="B1632" s="193"/>
    </row>
    <row r="1633">
      <c r="B1633" s="193"/>
    </row>
    <row r="1634">
      <c r="B1634" s="193"/>
    </row>
    <row r="1635">
      <c r="B1635" s="193"/>
    </row>
    <row r="1636">
      <c r="B1636" s="193"/>
    </row>
    <row r="1637">
      <c r="B1637" s="193"/>
    </row>
    <row r="1638">
      <c r="B1638" s="193"/>
    </row>
    <row r="1639">
      <c r="B1639" s="193"/>
    </row>
    <row r="1640">
      <c r="B1640" s="193"/>
    </row>
    <row r="1641">
      <c r="B1641" s="193"/>
    </row>
    <row r="1642">
      <c r="B1642" s="193"/>
    </row>
    <row r="1643">
      <c r="B1643" s="193"/>
    </row>
    <row r="1644">
      <c r="B1644" s="193"/>
    </row>
    <row r="1645">
      <c r="B1645" s="193"/>
    </row>
    <row r="1646">
      <c r="B1646" s="193"/>
    </row>
    <row r="1647">
      <c r="B1647" s="193"/>
    </row>
    <row r="1648">
      <c r="B1648" s="193"/>
    </row>
    <row r="1649">
      <c r="B1649" s="193"/>
    </row>
    <row r="1650">
      <c r="B1650" s="193"/>
    </row>
    <row r="1651">
      <c r="B1651" s="193"/>
    </row>
    <row r="1652">
      <c r="B1652" s="193"/>
    </row>
    <row r="1653">
      <c r="B1653" s="193"/>
    </row>
    <row r="1654">
      <c r="B1654" s="193"/>
    </row>
    <row r="1655">
      <c r="B1655" s="193"/>
    </row>
    <row r="1656">
      <c r="B1656" s="193"/>
    </row>
    <row r="1657">
      <c r="B1657" s="193"/>
    </row>
    <row r="1658">
      <c r="B1658" s="193"/>
    </row>
    <row r="1659">
      <c r="B1659" s="193"/>
    </row>
    <row r="1660">
      <c r="B1660" s="193"/>
    </row>
    <row r="1661">
      <c r="B1661" s="193"/>
    </row>
    <row r="1662">
      <c r="B1662" s="193"/>
    </row>
    <row r="1663">
      <c r="B1663" s="193"/>
    </row>
    <row r="1664">
      <c r="B1664" s="193"/>
    </row>
    <row r="1665">
      <c r="B1665" s="193"/>
    </row>
    <row r="1666">
      <c r="B1666" s="193"/>
    </row>
    <row r="1667">
      <c r="B1667" s="193"/>
    </row>
    <row r="1668">
      <c r="B1668" s="193"/>
    </row>
    <row r="1669">
      <c r="B1669" s="193"/>
    </row>
    <row r="1670">
      <c r="B1670" s="193"/>
    </row>
    <row r="1671">
      <c r="B1671" s="193"/>
    </row>
    <row r="1672">
      <c r="B1672" s="193"/>
    </row>
    <row r="1673">
      <c r="B1673" s="193"/>
    </row>
    <row r="1674">
      <c r="B1674" s="193"/>
    </row>
    <row r="1675">
      <c r="B1675" s="193"/>
    </row>
    <row r="1676">
      <c r="B1676" s="193"/>
    </row>
    <row r="1677">
      <c r="B1677" s="193"/>
    </row>
    <row r="1678">
      <c r="B1678" s="193"/>
    </row>
    <row r="1679">
      <c r="B1679" s="193"/>
    </row>
    <row r="1680">
      <c r="B1680" s="193"/>
    </row>
    <row r="1681">
      <c r="B1681" s="193"/>
    </row>
    <row r="1682">
      <c r="B1682" s="193"/>
    </row>
    <row r="1683">
      <c r="B1683" s="193"/>
    </row>
    <row r="1684">
      <c r="B1684" s="196"/>
    </row>
    <row r="1685">
      <c r="B1685" s="196"/>
    </row>
    <row r="1686">
      <c r="B1686" s="196"/>
    </row>
    <row r="1687">
      <c r="B1687" s="196"/>
    </row>
    <row r="1688">
      <c r="B1688" s="196"/>
    </row>
    <row r="1689">
      <c r="B1689" s="196"/>
    </row>
    <row r="1690">
      <c r="B1690" s="196"/>
    </row>
    <row r="1691">
      <c r="B1691" s="196"/>
    </row>
    <row r="1692">
      <c r="B1692" s="196"/>
    </row>
    <row r="1693">
      <c r="B1693" s="196"/>
    </row>
    <row r="1694">
      <c r="B1694" s="196"/>
    </row>
    <row r="1695">
      <c r="B1695" s="196"/>
    </row>
    <row r="1696">
      <c r="B1696" s="196"/>
    </row>
    <row r="1697">
      <c r="B1697" s="196"/>
    </row>
    <row r="1698">
      <c r="B1698" s="196"/>
    </row>
    <row r="1699">
      <c r="B1699" s="196"/>
    </row>
    <row r="1700">
      <c r="B1700" s="196"/>
    </row>
    <row r="1701">
      <c r="B1701" s="196"/>
    </row>
    <row r="1702">
      <c r="B1702" s="196"/>
    </row>
    <row r="1703">
      <c r="B1703" s="196"/>
    </row>
    <row r="1704">
      <c r="B1704" s="196"/>
    </row>
    <row r="1705">
      <c r="B1705" s="196"/>
    </row>
    <row r="1706">
      <c r="B1706" s="196"/>
    </row>
    <row r="1707">
      <c r="B1707" s="196"/>
    </row>
    <row r="1708">
      <c r="B1708" s="196"/>
    </row>
    <row r="1709">
      <c r="B1709" s="196"/>
    </row>
    <row r="1710">
      <c r="B1710" s="196"/>
    </row>
    <row r="1711">
      <c r="B1711" s="196"/>
    </row>
    <row r="1712">
      <c r="B1712" s="196"/>
    </row>
    <row r="1713">
      <c r="B1713" s="196"/>
    </row>
    <row r="1714">
      <c r="B1714" s="196"/>
    </row>
    <row r="1715">
      <c r="B1715" s="196"/>
    </row>
    <row r="1716">
      <c r="B1716" s="196"/>
    </row>
    <row r="1717">
      <c r="B1717" s="196"/>
    </row>
    <row r="1718">
      <c r="B1718" s="196"/>
    </row>
    <row r="1719">
      <c r="B1719" s="196"/>
    </row>
    <row r="1720">
      <c r="B1720" s="196"/>
    </row>
    <row r="1721">
      <c r="B1721" s="196"/>
    </row>
    <row r="1722">
      <c r="B1722" s="196"/>
    </row>
    <row r="1723">
      <c r="B1723" s="196"/>
    </row>
    <row r="1724">
      <c r="B1724" s="196"/>
    </row>
    <row r="1725">
      <c r="B1725" s="196"/>
    </row>
    <row r="1726">
      <c r="B1726" s="196"/>
    </row>
    <row r="1727">
      <c r="B1727" s="196"/>
    </row>
    <row r="1728">
      <c r="B1728" s="196"/>
    </row>
    <row r="1729">
      <c r="B1729" s="196"/>
    </row>
    <row r="1730">
      <c r="B1730" s="196"/>
    </row>
    <row r="1731">
      <c r="B1731" s="196"/>
    </row>
    <row r="1732">
      <c r="B1732" s="196"/>
    </row>
    <row r="1733">
      <c r="B1733" s="196"/>
    </row>
    <row r="1734">
      <c r="B1734" s="196"/>
    </row>
    <row r="1735">
      <c r="B1735" s="196"/>
    </row>
    <row r="1736">
      <c r="B1736" s="196"/>
    </row>
    <row r="1737">
      <c r="B1737" s="196"/>
    </row>
    <row r="1738">
      <c r="B1738" s="196"/>
    </row>
    <row r="1739">
      <c r="B1739" s="196"/>
    </row>
    <row r="1740">
      <c r="B1740" s="196"/>
    </row>
    <row r="1741">
      <c r="B1741" s="196"/>
    </row>
    <row r="1742">
      <c r="B1742" s="196"/>
    </row>
    <row r="1743">
      <c r="B1743" s="196"/>
    </row>
    <row r="1744">
      <c r="B1744" s="196"/>
    </row>
    <row r="1745">
      <c r="B1745" s="196"/>
    </row>
    <row r="1746">
      <c r="B1746" s="196"/>
    </row>
    <row r="1747">
      <c r="B1747" s="196"/>
    </row>
    <row r="1748">
      <c r="B1748" s="196"/>
    </row>
    <row r="1749">
      <c r="B1749" s="196"/>
    </row>
    <row r="1750">
      <c r="B1750" s="196"/>
    </row>
    <row r="1751">
      <c r="B1751" s="196"/>
    </row>
    <row r="1752">
      <c r="B1752" s="196"/>
    </row>
    <row r="1753">
      <c r="B1753" s="196"/>
    </row>
    <row r="1754">
      <c r="B1754" s="196"/>
    </row>
    <row r="1755">
      <c r="B1755" s="196"/>
    </row>
    <row r="1756">
      <c r="B1756" s="196"/>
    </row>
    <row r="1757">
      <c r="B1757" s="196"/>
    </row>
    <row r="1758">
      <c r="B1758" s="196"/>
    </row>
    <row r="1759">
      <c r="B1759" s="196"/>
    </row>
    <row r="1760">
      <c r="B1760" s="196"/>
    </row>
    <row r="1761">
      <c r="B1761" s="196"/>
    </row>
    <row r="1762">
      <c r="B1762" s="196"/>
    </row>
    <row r="1763">
      <c r="B1763" s="196"/>
    </row>
    <row r="1764">
      <c r="B1764" s="196"/>
    </row>
    <row r="1765">
      <c r="B1765" s="196"/>
    </row>
    <row r="1766">
      <c r="B1766" s="196"/>
    </row>
  </sheetData>
  <autoFilter ref="$A$1:$F$1766">
    <sortState ref="A1:F1766">
      <sortCondition ref="F1:F1766"/>
    </sortState>
  </autoFilter>
  <hyperlinks>
    <hyperlink r:id="rId1" ref="E329"/>
    <hyperlink r:id="rId2" ref="E330"/>
    <hyperlink r:id="rId3" ref="E331"/>
    <hyperlink r:id="rId4" ref="E332"/>
    <hyperlink r:id="rId5" ref="E333"/>
    <hyperlink r:id="rId6" ref="E334"/>
    <hyperlink r:id="rId7" ref="E335"/>
    <hyperlink r:id="rId8" ref="E336"/>
    <hyperlink r:id="rId9" ref="E337"/>
    <hyperlink r:id="rId10" ref="E338"/>
    <hyperlink r:id="rId11" ref="E339"/>
    <hyperlink r:id="rId12" ref="E340"/>
  </hyperlinks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13"/>
    <col customWidth="1" min="2" max="2" width="37.5"/>
    <col customWidth="1" min="3" max="3" width="19.0"/>
    <col customWidth="1" min="4" max="4" width="18.5"/>
    <col customWidth="1" min="5" max="5" width="14.88"/>
    <col customWidth="1" min="6" max="6" width="60.5"/>
    <col customWidth="1" min="7" max="7" width="20.63"/>
    <col customWidth="1" min="8" max="25" width="9.13"/>
  </cols>
  <sheetData>
    <row r="1" ht="15.0" customHeight="1">
      <c r="A1" s="170"/>
      <c r="B1" s="170"/>
      <c r="E1" s="51"/>
      <c r="G1" s="51"/>
    </row>
    <row r="2">
      <c r="A2" s="170"/>
      <c r="B2" s="8" t="s">
        <v>1205</v>
      </c>
      <c r="E2" s="51"/>
      <c r="G2" s="51"/>
    </row>
    <row r="3" ht="19.5" customHeight="1">
      <c r="B3" s="66"/>
      <c r="C3" s="197"/>
      <c r="D3" s="198"/>
      <c r="E3" s="146"/>
      <c r="F3" s="66"/>
      <c r="G3" s="199"/>
      <c r="H3" s="66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>
      <c r="B4" s="200"/>
      <c r="C4" s="201" t="s">
        <v>1206</v>
      </c>
      <c r="D4" s="202" t="s">
        <v>1207</v>
      </c>
      <c r="E4" s="203" t="s">
        <v>1208</v>
      </c>
      <c r="F4" s="204" t="s">
        <v>29</v>
      </c>
      <c r="G4" s="205" t="s">
        <v>1209</v>
      </c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</row>
    <row r="5" ht="19.5" customHeight="1">
      <c r="B5" s="206" t="s">
        <v>1210</v>
      </c>
      <c r="C5" s="207">
        <f t="shared" ref="C5:D5" si="1">SUM(C6:C12)</f>
        <v>0</v>
      </c>
      <c r="D5" s="208">
        <f t="shared" si="1"/>
        <v>0</v>
      </c>
      <c r="E5" s="209">
        <f>iferror(D5/D$71,0)</f>
        <v>0</v>
      </c>
      <c r="F5" s="210"/>
      <c r="G5" s="209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</row>
    <row r="6" ht="19.5" customHeight="1">
      <c r="B6" s="211"/>
      <c r="C6" s="212"/>
      <c r="D6" s="213"/>
      <c r="E6" s="214"/>
      <c r="F6" s="215"/>
      <c r="G6" s="216" t="b">
        <v>0</v>
      </c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</row>
    <row r="7" ht="19.5" customHeight="1">
      <c r="B7" s="211"/>
      <c r="C7" s="212"/>
      <c r="D7" s="213"/>
      <c r="E7" s="214"/>
      <c r="F7" s="215"/>
      <c r="G7" s="216" t="b">
        <v>0</v>
      </c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</row>
    <row r="8" ht="19.5" customHeight="1">
      <c r="B8" s="211"/>
      <c r="C8" s="212"/>
      <c r="D8" s="213"/>
      <c r="E8" s="214"/>
      <c r="F8" s="215"/>
      <c r="G8" s="216" t="b">
        <v>0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</row>
    <row r="9" ht="19.5" customHeight="1">
      <c r="B9" s="211"/>
      <c r="C9" s="212"/>
      <c r="D9" s="213"/>
      <c r="E9" s="214"/>
      <c r="F9" s="215"/>
      <c r="G9" s="216" t="b">
        <v>0</v>
      </c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</row>
    <row r="10" ht="19.5" customHeight="1">
      <c r="B10" s="211"/>
      <c r="C10" s="212"/>
      <c r="D10" s="213"/>
      <c r="E10" s="214"/>
      <c r="F10" s="215"/>
      <c r="G10" s="216" t="b">
        <v>0</v>
      </c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</row>
    <row r="11" ht="19.5" customHeight="1">
      <c r="B11" s="211"/>
      <c r="C11" s="212"/>
      <c r="D11" s="213"/>
      <c r="E11" s="214"/>
      <c r="F11" s="215"/>
      <c r="G11" s="216" t="b">
        <v>0</v>
      </c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</row>
    <row r="12" ht="19.5" customHeight="1">
      <c r="B12" s="211"/>
      <c r="C12" s="212"/>
      <c r="D12" s="213"/>
      <c r="E12" s="214"/>
      <c r="F12" s="215"/>
      <c r="G12" s="216" t="b">
        <v>0</v>
      </c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</row>
    <row r="13" ht="19.5" customHeight="1">
      <c r="B13" s="206" t="s">
        <v>1211</v>
      </c>
      <c r="C13" s="217">
        <f t="shared" ref="C13:D13" si="2">SUM(C14:C20)</f>
        <v>0</v>
      </c>
      <c r="D13" s="218">
        <f t="shared" si="2"/>
        <v>0</v>
      </c>
      <c r="E13" s="209">
        <f>iferror(D13/D$71,0)</f>
        <v>0</v>
      </c>
      <c r="F13" s="219"/>
      <c r="G13" s="220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</row>
    <row r="14" ht="19.5" customHeight="1">
      <c r="B14" s="211"/>
      <c r="C14" s="212"/>
      <c r="D14" s="213"/>
      <c r="E14" s="214"/>
      <c r="F14" s="215"/>
      <c r="G14" s="216" t="b">
        <v>0</v>
      </c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ht="19.5" customHeight="1">
      <c r="B15" s="211"/>
      <c r="C15" s="212"/>
      <c r="D15" s="213"/>
      <c r="E15" s="214"/>
      <c r="F15" s="215"/>
      <c r="G15" s="216" t="b">
        <v>0</v>
      </c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</row>
    <row r="16" ht="19.5" customHeight="1">
      <c r="B16" s="211"/>
      <c r="C16" s="212"/>
      <c r="D16" s="213"/>
      <c r="E16" s="214"/>
      <c r="F16" s="215"/>
      <c r="G16" s="216" t="b">
        <v>0</v>
      </c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</row>
    <row r="17" ht="19.5" customHeight="1">
      <c r="B17" s="211"/>
      <c r="C17" s="212"/>
      <c r="D17" s="213"/>
      <c r="E17" s="214"/>
      <c r="F17" s="215"/>
      <c r="G17" s="216" t="b">
        <v>0</v>
      </c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</row>
    <row r="18" ht="19.5" customHeight="1">
      <c r="B18" s="211"/>
      <c r="C18" s="212"/>
      <c r="D18" s="213"/>
      <c r="E18" s="214"/>
      <c r="F18" s="215"/>
      <c r="G18" s="216" t="b">
        <v>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</row>
    <row r="19" ht="19.5" customHeight="1">
      <c r="B19" s="211"/>
      <c r="C19" s="212"/>
      <c r="D19" s="213"/>
      <c r="E19" s="214"/>
      <c r="F19" s="215"/>
      <c r="G19" s="216" t="b">
        <v>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ht="19.5" customHeight="1">
      <c r="B20" s="211"/>
      <c r="C20" s="212"/>
      <c r="D20" s="212"/>
      <c r="E20" s="221"/>
      <c r="F20" s="222"/>
      <c r="G20" s="216" t="b">
        <v>0</v>
      </c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</row>
    <row r="21" ht="19.5" customHeight="1">
      <c r="B21" s="206" t="s">
        <v>1212</v>
      </c>
      <c r="C21" s="217">
        <f t="shared" ref="C21:D21" si="3">SUM(C22:C27)</f>
        <v>0</v>
      </c>
      <c r="D21" s="218">
        <f t="shared" si="3"/>
        <v>0</v>
      </c>
      <c r="E21" s="209">
        <f>iferror(D21/D$71,0)</f>
        <v>0</v>
      </c>
      <c r="F21" s="219"/>
      <c r="G21" s="220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</row>
    <row r="22" ht="19.5" customHeight="1">
      <c r="B22" s="211"/>
      <c r="C22" s="212"/>
      <c r="D22" s="213"/>
      <c r="E22" s="214"/>
      <c r="F22" s="215"/>
      <c r="G22" s="213" t="b">
        <v>0</v>
      </c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</row>
    <row r="23" ht="19.5" customHeight="1">
      <c r="B23" s="211"/>
      <c r="C23" s="212"/>
      <c r="D23" s="213"/>
      <c r="E23" s="214"/>
      <c r="F23" s="215"/>
      <c r="G23" s="213" t="b">
        <v>0</v>
      </c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</row>
    <row r="24" ht="19.5" customHeight="1">
      <c r="B24" s="211"/>
      <c r="C24" s="212"/>
      <c r="D24" s="213"/>
      <c r="E24" s="214"/>
      <c r="F24" s="215"/>
      <c r="G24" s="213" t="b">
        <v>0</v>
      </c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</row>
    <row r="25" ht="19.5" customHeight="1">
      <c r="B25" s="211"/>
      <c r="C25" s="212"/>
      <c r="D25" s="213"/>
      <c r="E25" s="214"/>
      <c r="F25" s="215"/>
      <c r="G25" s="213" t="b">
        <v>0</v>
      </c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</row>
    <row r="26" ht="19.5" customHeight="1">
      <c r="B26" s="211"/>
      <c r="C26" s="212"/>
      <c r="D26" s="213"/>
      <c r="E26" s="214"/>
      <c r="F26" s="215"/>
      <c r="G26" s="213" t="b">
        <v>0</v>
      </c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</row>
    <row r="27" ht="19.5" customHeight="1">
      <c r="B27" s="211"/>
      <c r="C27" s="212"/>
      <c r="D27" s="212"/>
      <c r="E27" s="221"/>
      <c r="F27" s="222"/>
      <c r="G27" s="213" t="b">
        <v>0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ht="19.5" customHeight="1">
      <c r="B28" s="206" t="s">
        <v>1213</v>
      </c>
      <c r="C28" s="217">
        <f t="shared" ref="C28:D28" si="4">SUM(C29:C31)</f>
        <v>0</v>
      </c>
      <c r="D28" s="218">
        <f t="shared" si="4"/>
        <v>0</v>
      </c>
      <c r="E28" s="209">
        <f>iferror(D28/D$71,0)</f>
        <v>0</v>
      </c>
      <c r="F28" s="223"/>
      <c r="G28" s="224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</row>
    <row r="29" ht="19.5" customHeight="1">
      <c r="B29" s="211"/>
      <c r="C29" s="212"/>
      <c r="D29" s="213"/>
      <c r="E29" s="214"/>
      <c r="F29" s="215"/>
      <c r="G29" s="213" t="b">
        <v>0</v>
      </c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</row>
    <row r="30" ht="19.5" customHeight="1">
      <c r="B30" s="211"/>
      <c r="C30" s="212"/>
      <c r="D30" s="213"/>
      <c r="E30" s="214"/>
      <c r="F30" s="215"/>
      <c r="G30" s="213" t="b">
        <v>0</v>
      </c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</row>
    <row r="31" ht="19.5" customHeight="1">
      <c r="B31" s="211"/>
      <c r="C31" s="212"/>
      <c r="D31" s="212"/>
      <c r="E31" s="221"/>
      <c r="F31" s="222"/>
      <c r="G31" s="213" t="b">
        <v>0</v>
      </c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</row>
    <row r="32" ht="19.5" customHeight="1">
      <c r="B32" s="206" t="s">
        <v>1214</v>
      </c>
      <c r="C32" s="217">
        <f t="shared" ref="C32:D32" si="5">SUM(C33:C35)</f>
        <v>0</v>
      </c>
      <c r="D32" s="218">
        <f t="shared" si="5"/>
        <v>0</v>
      </c>
      <c r="E32" s="209">
        <f>iferror(D32/D$71,0)</f>
        <v>0</v>
      </c>
      <c r="F32" s="219"/>
      <c r="G32" s="220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</row>
    <row r="33" ht="19.5" customHeight="1">
      <c r="B33" s="211"/>
      <c r="C33" s="212"/>
      <c r="D33" s="213"/>
      <c r="E33" s="214"/>
      <c r="F33" s="215"/>
      <c r="G33" s="213" t="b">
        <v>0</v>
      </c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ht="19.5" customHeight="1">
      <c r="B34" s="211"/>
      <c r="C34" s="212"/>
      <c r="D34" s="213"/>
      <c r="E34" s="214"/>
      <c r="F34" s="215"/>
      <c r="G34" s="213" t="b">
        <v>0</v>
      </c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ht="19.5" customHeight="1">
      <c r="B35" s="211"/>
      <c r="C35" s="212"/>
      <c r="D35" s="212"/>
      <c r="E35" s="221"/>
      <c r="F35" s="222"/>
      <c r="G35" s="213" t="b">
        <v>0</v>
      </c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ht="19.5" customHeight="1">
      <c r="B36" s="206" t="s">
        <v>1215</v>
      </c>
      <c r="C36" s="217">
        <f t="shared" ref="C36:D36" si="6">SUM(C37:C42)</f>
        <v>0</v>
      </c>
      <c r="D36" s="218">
        <f t="shared" si="6"/>
        <v>0</v>
      </c>
      <c r="E36" s="209">
        <f>iferror(D36/D$71,0)</f>
        <v>0</v>
      </c>
      <c r="F36" s="219"/>
      <c r="G36" s="220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ht="19.5" customHeight="1">
      <c r="B37" s="211"/>
      <c r="C37" s="212"/>
      <c r="D37" s="213"/>
      <c r="E37" s="214"/>
      <c r="F37" s="215"/>
      <c r="G37" s="213" t="b">
        <v>0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</row>
    <row r="38" ht="19.5" customHeight="1">
      <c r="B38" s="211"/>
      <c r="C38" s="212"/>
      <c r="D38" s="213"/>
      <c r="E38" s="214"/>
      <c r="F38" s="215"/>
      <c r="G38" s="213" t="b">
        <v>0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ht="19.5" customHeight="1">
      <c r="B39" s="211"/>
      <c r="C39" s="212"/>
      <c r="D39" s="213"/>
      <c r="E39" s="214"/>
      <c r="F39" s="215"/>
      <c r="G39" s="213" t="b">
        <v>0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</row>
    <row r="40" ht="19.5" customHeight="1">
      <c r="B40" s="211"/>
      <c r="C40" s="212"/>
      <c r="D40" s="213"/>
      <c r="E40" s="214"/>
      <c r="F40" s="215"/>
      <c r="G40" s="213" t="b">
        <v>0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</row>
    <row r="41" ht="19.5" customHeight="1">
      <c r="B41" s="211"/>
      <c r="C41" s="212"/>
      <c r="D41" s="213"/>
      <c r="E41" s="214"/>
      <c r="F41" s="215"/>
      <c r="G41" s="213" t="b">
        <v>0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</row>
    <row r="42" ht="19.5" customHeight="1">
      <c r="B42" s="211"/>
      <c r="C42" s="212"/>
      <c r="D42" s="212"/>
      <c r="E42" s="221"/>
      <c r="F42" s="222"/>
      <c r="G42" s="213" t="b">
        <v>0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</row>
    <row r="43" ht="19.5" customHeight="1">
      <c r="B43" s="206" t="s">
        <v>1216</v>
      </c>
      <c r="C43" s="217">
        <f t="shared" ref="C43:D43" si="7">SUM(C44:C49)</f>
        <v>0</v>
      </c>
      <c r="D43" s="218">
        <f t="shared" si="7"/>
        <v>0</v>
      </c>
      <c r="E43" s="209">
        <f>iferror(D43/D$71,0)</f>
        <v>0</v>
      </c>
      <c r="F43" s="219"/>
      <c r="G43" s="220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</row>
    <row r="44" ht="19.5" customHeight="1">
      <c r="B44" s="211"/>
      <c r="C44" s="212"/>
      <c r="D44" s="213"/>
      <c r="E44" s="214"/>
      <c r="F44" s="215"/>
      <c r="G44" s="213" t="b">
        <v>0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</row>
    <row r="45" ht="19.5" customHeight="1">
      <c r="B45" s="211"/>
      <c r="C45" s="212"/>
      <c r="D45" s="213"/>
      <c r="E45" s="214"/>
      <c r="F45" s="215"/>
      <c r="G45" s="213" t="b">
        <v>0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</row>
    <row r="46" ht="19.5" customHeight="1">
      <c r="B46" s="211"/>
      <c r="C46" s="212"/>
      <c r="D46" s="213"/>
      <c r="E46" s="214"/>
      <c r="F46" s="215"/>
      <c r="G46" s="213" t="b">
        <v>0</v>
      </c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</row>
    <row r="47" ht="19.5" customHeight="1">
      <c r="B47" s="211"/>
      <c r="C47" s="212"/>
      <c r="D47" s="213"/>
      <c r="E47" s="214"/>
      <c r="F47" s="215"/>
      <c r="G47" s="213" t="b">
        <v>0</v>
      </c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</row>
    <row r="48" ht="19.5" customHeight="1">
      <c r="B48" s="211"/>
      <c r="C48" s="212"/>
      <c r="D48" s="213"/>
      <c r="E48" s="214"/>
      <c r="F48" s="215"/>
      <c r="G48" s="213" t="b">
        <v>0</v>
      </c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</row>
    <row r="49" ht="19.5" customHeight="1">
      <c r="B49" s="211"/>
      <c r="C49" s="212"/>
      <c r="D49" s="212"/>
      <c r="E49" s="221"/>
      <c r="F49" s="222"/>
      <c r="G49" s="213" t="b">
        <v>0</v>
      </c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</row>
    <row r="50" ht="19.5" customHeight="1">
      <c r="B50" s="206" t="s">
        <v>1217</v>
      </c>
      <c r="C50" s="217">
        <f t="shared" ref="C50:D50" si="8">SUM(C51:C53)</f>
        <v>0</v>
      </c>
      <c r="D50" s="218">
        <f t="shared" si="8"/>
        <v>0</v>
      </c>
      <c r="E50" s="209">
        <f>iferror(D50/D$71,0)</f>
        <v>0</v>
      </c>
      <c r="F50" s="219"/>
      <c r="G50" s="220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</row>
    <row r="51" ht="19.5" customHeight="1">
      <c r="B51" s="211"/>
      <c r="C51" s="212"/>
      <c r="D51" s="213"/>
      <c r="E51" s="214"/>
      <c r="F51" s="215"/>
      <c r="G51" s="213" t="b">
        <v>0</v>
      </c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</row>
    <row r="52" ht="19.5" customHeight="1">
      <c r="B52" s="211"/>
      <c r="C52" s="212"/>
      <c r="D52" s="213"/>
      <c r="E52" s="214"/>
      <c r="F52" s="215"/>
      <c r="G52" s="213" t="b">
        <v>0</v>
      </c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</row>
    <row r="53" ht="19.5" customHeight="1">
      <c r="B53" s="211"/>
      <c r="C53" s="212"/>
      <c r="D53" s="212"/>
      <c r="E53" s="221"/>
      <c r="F53" s="222"/>
      <c r="G53" s="213" t="b">
        <v>0</v>
      </c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</row>
    <row r="54" ht="19.5" customHeight="1">
      <c r="B54" s="206" t="s">
        <v>1218</v>
      </c>
      <c r="C54" s="217">
        <f t="shared" ref="C54:D54" si="9">SUM(C55:C58)</f>
        <v>0</v>
      </c>
      <c r="D54" s="218">
        <f t="shared" si="9"/>
        <v>0</v>
      </c>
      <c r="E54" s="209">
        <f>iferror(D54/D$71,0)</f>
        <v>0</v>
      </c>
      <c r="F54" s="219"/>
      <c r="G54" s="220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</row>
    <row r="55" ht="19.5" customHeight="1">
      <c r="B55" s="211"/>
      <c r="C55" s="212"/>
      <c r="D55" s="213"/>
      <c r="E55" s="214"/>
      <c r="F55" s="215"/>
      <c r="G55" s="213" t="b">
        <v>0</v>
      </c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</row>
    <row r="56" ht="19.5" customHeight="1">
      <c r="B56" s="211"/>
      <c r="C56" s="212"/>
      <c r="D56" s="213"/>
      <c r="E56" s="214"/>
      <c r="F56" s="215"/>
      <c r="G56" s="213" t="b">
        <v>0</v>
      </c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</row>
    <row r="57" ht="19.5" customHeight="1">
      <c r="B57" s="211"/>
      <c r="C57" s="212"/>
      <c r="D57" s="213"/>
      <c r="E57" s="214"/>
      <c r="F57" s="215"/>
      <c r="G57" s="213" t="b">
        <v>0</v>
      </c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</row>
    <row r="58" ht="19.5" customHeight="1">
      <c r="B58" s="211"/>
      <c r="C58" s="212"/>
      <c r="D58" s="212"/>
      <c r="E58" s="221"/>
      <c r="F58" s="222"/>
      <c r="G58" s="213" t="b">
        <v>0</v>
      </c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</row>
    <row r="59" ht="19.5" customHeight="1">
      <c r="B59" s="206" t="s">
        <v>1219</v>
      </c>
      <c r="C59" s="217">
        <f t="shared" ref="C59:D59" si="10">SUM(C60:C65)</f>
        <v>0</v>
      </c>
      <c r="D59" s="218">
        <f t="shared" si="10"/>
        <v>0</v>
      </c>
      <c r="E59" s="209">
        <f>iferror(D59/D$71,0)</f>
        <v>0</v>
      </c>
      <c r="F59" s="219"/>
      <c r="G59" s="220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</row>
    <row r="60" ht="19.5" customHeight="1">
      <c r="B60" s="211"/>
      <c r="C60" s="212"/>
      <c r="D60" s="213"/>
      <c r="E60" s="214"/>
      <c r="F60" s="215"/>
      <c r="G60" s="213" t="b">
        <v>0</v>
      </c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</row>
    <row r="61" ht="19.5" customHeight="1">
      <c r="B61" s="211"/>
      <c r="C61" s="212"/>
      <c r="D61" s="213"/>
      <c r="E61" s="214"/>
      <c r="F61" s="215"/>
      <c r="G61" s="213" t="b">
        <v>0</v>
      </c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</row>
    <row r="62" ht="19.5" customHeight="1">
      <c r="B62" s="211"/>
      <c r="C62" s="212"/>
      <c r="D62" s="213"/>
      <c r="E62" s="214"/>
      <c r="F62" s="215"/>
      <c r="G62" s="213" t="b">
        <v>0</v>
      </c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</row>
    <row r="63" ht="19.5" customHeight="1">
      <c r="B63" s="211"/>
      <c r="C63" s="212"/>
      <c r="D63" s="213"/>
      <c r="E63" s="214"/>
      <c r="F63" s="215"/>
      <c r="G63" s="213" t="b">
        <v>0</v>
      </c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</row>
    <row r="64" ht="19.5" customHeight="1">
      <c r="B64" s="211"/>
      <c r="C64" s="212"/>
      <c r="D64" s="213"/>
      <c r="E64" s="214"/>
      <c r="F64" s="215"/>
      <c r="G64" s="213" t="b">
        <v>0</v>
      </c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</row>
    <row r="65" ht="19.5" customHeight="1">
      <c r="B65" s="211"/>
      <c r="C65" s="212"/>
      <c r="D65" s="213"/>
      <c r="E65" s="214"/>
      <c r="F65" s="215"/>
      <c r="G65" s="213" t="b">
        <v>0</v>
      </c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</row>
    <row r="66" ht="19.5" customHeight="1">
      <c r="B66" s="211"/>
      <c r="C66" s="212"/>
      <c r="D66" s="212"/>
      <c r="E66" s="221"/>
      <c r="F66" s="222"/>
      <c r="G66" s="213" t="b">
        <v>0</v>
      </c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</row>
    <row r="67" ht="19.5" customHeight="1">
      <c r="B67" s="206" t="s">
        <v>1220</v>
      </c>
      <c r="C67" s="217">
        <f t="shared" ref="C67:D67" si="11">SUM(C68:C70)</f>
        <v>0</v>
      </c>
      <c r="D67" s="218">
        <f t="shared" si="11"/>
        <v>0</v>
      </c>
      <c r="E67" s="209">
        <f>iferror(D67/D$71,0)</f>
        <v>0</v>
      </c>
      <c r="F67" s="219"/>
      <c r="G67" s="220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</row>
    <row r="68" ht="19.5" customHeight="1">
      <c r="B68" s="211"/>
      <c r="C68" s="212"/>
      <c r="D68" s="213"/>
      <c r="E68" s="214"/>
      <c r="F68" s="215"/>
      <c r="G68" s="213" t="b">
        <v>0</v>
      </c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</row>
    <row r="69" ht="19.5" customHeight="1">
      <c r="B69" s="211"/>
      <c r="C69" s="212"/>
      <c r="D69" s="213"/>
      <c r="E69" s="214"/>
      <c r="F69" s="215"/>
      <c r="G69" s="213" t="b">
        <v>0</v>
      </c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</row>
    <row r="70" ht="19.5" customHeight="1">
      <c r="B70" s="211"/>
      <c r="C70" s="212"/>
      <c r="D70" s="212"/>
      <c r="E70" s="221"/>
      <c r="F70" s="222"/>
      <c r="G70" s="213" t="b">
        <v>0</v>
      </c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</row>
    <row r="71" ht="19.5" customHeight="1">
      <c r="B71" s="225" t="s">
        <v>1221</v>
      </c>
      <c r="C71" s="226">
        <f t="shared" ref="C71:D71" si="12">C67+C59+C54+C50+C43+C36+C32+C28+C21+C13+C5</f>
        <v>0</v>
      </c>
      <c r="D71" s="226">
        <f t="shared" si="12"/>
        <v>0</v>
      </c>
      <c r="E71" s="227"/>
      <c r="F71" s="228"/>
      <c r="G71" s="227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</row>
    <row r="72" ht="19.5" customHeight="1">
      <c r="B72" s="229"/>
      <c r="C72" s="230"/>
      <c r="D72" s="230"/>
      <c r="E72" s="231"/>
      <c r="F72" s="232"/>
      <c r="G72" s="233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</row>
    <row r="73" ht="19.5" customHeight="1">
      <c r="B73" s="35"/>
      <c r="C73" s="35"/>
      <c r="D73" s="35"/>
      <c r="E73" s="231"/>
      <c r="F73" s="35"/>
      <c r="G73" s="231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</row>
    <row r="74" ht="19.5" customHeight="1">
      <c r="B74" s="35"/>
      <c r="C74" s="35"/>
      <c r="D74" s="35"/>
      <c r="E74" s="231"/>
      <c r="F74" s="35"/>
      <c r="G74" s="231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</row>
    <row r="75" ht="19.5" customHeight="1">
      <c r="B75" s="35"/>
      <c r="C75" s="35"/>
      <c r="D75" s="35"/>
      <c r="E75" s="231"/>
      <c r="F75" s="35"/>
      <c r="G75" s="231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</row>
    <row r="76" ht="19.5" customHeight="1">
      <c r="B76" s="35"/>
      <c r="C76" s="35"/>
      <c r="D76" s="35"/>
      <c r="E76" s="231"/>
      <c r="F76" s="35"/>
      <c r="G76" s="231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</row>
    <row r="77" ht="19.5" customHeight="1">
      <c r="B77" s="35"/>
      <c r="C77" s="35"/>
      <c r="D77" s="35"/>
      <c r="E77" s="231"/>
      <c r="F77" s="35"/>
      <c r="G77" s="231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</row>
    <row r="78" ht="19.5" customHeight="1">
      <c r="B78" s="35"/>
      <c r="C78" s="35"/>
      <c r="D78" s="35"/>
      <c r="E78" s="231"/>
      <c r="F78" s="35"/>
      <c r="G78" s="231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</row>
    <row r="79" ht="19.5" customHeight="1">
      <c r="B79" s="35"/>
      <c r="C79" s="35"/>
      <c r="D79" s="35"/>
      <c r="E79" s="231"/>
      <c r="F79" s="35"/>
      <c r="G79" s="231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</row>
    <row r="80" ht="19.5" customHeight="1">
      <c r="B80" s="35"/>
      <c r="C80" s="35"/>
      <c r="D80" s="35"/>
      <c r="E80" s="231"/>
      <c r="F80" s="35"/>
      <c r="G80" s="231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</row>
    <row r="81" ht="19.5" customHeight="1">
      <c r="B81" s="35"/>
      <c r="C81" s="35"/>
      <c r="D81" s="35"/>
      <c r="E81" s="231"/>
      <c r="F81" s="35"/>
      <c r="G81" s="231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</row>
    <row r="82" ht="19.5" customHeight="1">
      <c r="B82" s="35"/>
      <c r="C82" s="35"/>
      <c r="D82" s="35"/>
      <c r="E82" s="231"/>
      <c r="F82" s="35"/>
      <c r="G82" s="231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</row>
    <row r="83" ht="19.5" customHeight="1">
      <c r="B83" s="35"/>
      <c r="C83" s="35"/>
      <c r="D83" s="35"/>
      <c r="E83" s="231"/>
      <c r="F83" s="35"/>
      <c r="G83" s="231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</row>
    <row r="84" ht="19.5" customHeight="1">
      <c r="B84" s="35"/>
      <c r="C84" s="35"/>
      <c r="D84" s="35"/>
      <c r="E84" s="231"/>
      <c r="F84" s="35"/>
      <c r="G84" s="231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</row>
    <row r="85" ht="19.5" customHeight="1">
      <c r="B85" s="35"/>
      <c r="C85" s="35"/>
      <c r="D85" s="35"/>
      <c r="E85" s="231"/>
      <c r="F85" s="35"/>
      <c r="G85" s="231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</row>
    <row r="86" ht="19.5" customHeight="1">
      <c r="B86" s="35"/>
      <c r="C86" s="35"/>
      <c r="D86" s="35"/>
      <c r="E86" s="231"/>
      <c r="F86" s="35"/>
      <c r="G86" s="231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</row>
    <row r="87" ht="19.5" customHeight="1">
      <c r="B87" s="35"/>
      <c r="C87" s="35"/>
      <c r="D87" s="35"/>
      <c r="E87" s="231"/>
      <c r="F87" s="35"/>
      <c r="G87" s="231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</row>
    <row r="88" ht="19.5" customHeight="1">
      <c r="B88" s="35"/>
      <c r="C88" s="35"/>
      <c r="D88" s="35"/>
      <c r="E88" s="231"/>
      <c r="F88" s="35"/>
      <c r="G88" s="231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</row>
    <row r="89" ht="19.5" customHeight="1">
      <c r="B89" s="35"/>
      <c r="C89" s="35"/>
      <c r="D89" s="35"/>
      <c r="E89" s="231"/>
      <c r="F89" s="35"/>
      <c r="G89" s="231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</row>
    <row r="90" ht="19.5" customHeight="1">
      <c r="B90" s="35"/>
      <c r="C90" s="35"/>
      <c r="D90" s="35"/>
      <c r="E90" s="231"/>
      <c r="F90" s="35"/>
      <c r="G90" s="231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</row>
    <row r="91" ht="19.5" customHeight="1">
      <c r="B91" s="35"/>
      <c r="C91" s="35"/>
      <c r="D91" s="35"/>
      <c r="E91" s="231"/>
      <c r="F91" s="35"/>
      <c r="G91" s="231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</row>
    <row r="92" ht="19.5" customHeight="1">
      <c r="B92" s="35"/>
      <c r="C92" s="35"/>
      <c r="D92" s="35"/>
      <c r="E92" s="231"/>
      <c r="F92" s="35"/>
      <c r="G92" s="231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</row>
    <row r="93" ht="19.5" customHeight="1">
      <c r="B93" s="35"/>
      <c r="C93" s="35"/>
      <c r="D93" s="35"/>
      <c r="E93" s="231"/>
      <c r="F93" s="35"/>
      <c r="G93" s="231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</row>
    <row r="94" ht="19.5" customHeight="1">
      <c r="B94" s="35"/>
      <c r="C94" s="35"/>
      <c r="D94" s="35"/>
      <c r="E94" s="231"/>
      <c r="F94" s="35"/>
      <c r="G94" s="231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</row>
    <row r="95" ht="19.5" customHeight="1">
      <c r="B95" s="35"/>
      <c r="C95" s="35"/>
      <c r="D95" s="35"/>
      <c r="E95" s="231"/>
      <c r="F95" s="35"/>
      <c r="G95" s="231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</row>
    <row r="96" ht="19.5" customHeight="1">
      <c r="B96" s="35"/>
      <c r="C96" s="35"/>
      <c r="D96" s="35"/>
      <c r="E96" s="231"/>
      <c r="F96" s="35"/>
      <c r="G96" s="231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</row>
    <row r="97" ht="19.5" customHeight="1">
      <c r="B97" s="35"/>
      <c r="C97" s="35"/>
      <c r="D97" s="35"/>
      <c r="E97" s="231"/>
      <c r="F97" s="35"/>
      <c r="G97" s="231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</row>
    <row r="98" ht="19.5" customHeight="1">
      <c r="B98" s="35"/>
      <c r="C98" s="35"/>
      <c r="D98" s="35"/>
      <c r="E98" s="231"/>
      <c r="F98" s="35"/>
      <c r="G98" s="231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</row>
    <row r="99" ht="19.5" customHeight="1">
      <c r="B99" s="35"/>
      <c r="C99" s="35"/>
      <c r="D99" s="35"/>
      <c r="E99" s="231"/>
      <c r="F99" s="35"/>
      <c r="G99" s="231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</row>
    <row r="100" ht="19.5" customHeight="1">
      <c r="B100" s="35"/>
      <c r="C100" s="35"/>
      <c r="D100" s="35"/>
      <c r="E100" s="231"/>
      <c r="F100" s="35"/>
      <c r="G100" s="231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</row>
    <row r="101" ht="19.5" customHeight="1">
      <c r="B101" s="35"/>
      <c r="C101" s="35"/>
      <c r="D101" s="35"/>
      <c r="E101" s="231"/>
      <c r="F101" s="35"/>
      <c r="G101" s="231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</row>
    <row r="102" ht="19.5" customHeight="1">
      <c r="B102" s="35"/>
      <c r="C102" s="35"/>
      <c r="D102" s="35"/>
      <c r="E102" s="231"/>
      <c r="F102" s="35"/>
      <c r="G102" s="231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</row>
    <row r="103" ht="19.5" customHeight="1">
      <c r="B103" s="35"/>
      <c r="C103" s="35"/>
      <c r="D103" s="35"/>
      <c r="E103" s="231"/>
      <c r="F103" s="35"/>
      <c r="G103" s="231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</row>
    <row r="104" ht="19.5" customHeight="1">
      <c r="B104" s="35"/>
      <c r="C104" s="35"/>
      <c r="D104" s="35"/>
      <c r="E104" s="231"/>
      <c r="F104" s="35"/>
      <c r="G104" s="231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</row>
    <row r="105" ht="19.5" customHeight="1">
      <c r="B105" s="35"/>
      <c r="C105" s="35"/>
      <c r="D105" s="35"/>
      <c r="E105" s="231"/>
      <c r="F105" s="35"/>
      <c r="G105" s="231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</row>
    <row r="106" ht="19.5" customHeight="1">
      <c r="B106" s="35"/>
      <c r="C106" s="35"/>
      <c r="D106" s="35"/>
      <c r="E106" s="231"/>
      <c r="F106" s="35"/>
      <c r="G106" s="231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</row>
    <row r="107" ht="19.5" customHeight="1">
      <c r="B107" s="35"/>
      <c r="C107" s="35"/>
      <c r="D107" s="35"/>
      <c r="E107" s="231"/>
      <c r="F107" s="35"/>
      <c r="G107" s="231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</row>
    <row r="108" ht="19.5" customHeight="1">
      <c r="B108" s="35"/>
      <c r="C108" s="35"/>
      <c r="D108" s="35"/>
      <c r="E108" s="231"/>
      <c r="F108" s="35"/>
      <c r="G108" s="231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</row>
    <row r="109" ht="19.5" customHeight="1">
      <c r="B109" s="35"/>
      <c r="C109" s="35"/>
      <c r="D109" s="35"/>
      <c r="E109" s="231"/>
      <c r="F109" s="35"/>
      <c r="G109" s="231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</row>
    <row r="110" ht="19.5" customHeight="1">
      <c r="B110" s="35"/>
      <c r="C110" s="35"/>
      <c r="D110" s="35"/>
      <c r="E110" s="231"/>
      <c r="F110" s="35"/>
      <c r="G110" s="231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</row>
    <row r="111" ht="19.5" customHeight="1">
      <c r="B111" s="35"/>
      <c r="C111" s="35"/>
      <c r="D111" s="35"/>
      <c r="E111" s="231"/>
      <c r="F111" s="35"/>
      <c r="G111" s="231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</row>
    <row r="112" ht="19.5" customHeight="1">
      <c r="B112" s="35"/>
      <c r="C112" s="35"/>
      <c r="D112" s="35"/>
      <c r="E112" s="231"/>
      <c r="F112" s="35"/>
      <c r="G112" s="231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</row>
    <row r="113" ht="19.5" customHeight="1">
      <c r="B113" s="35"/>
      <c r="C113" s="35"/>
      <c r="D113" s="35"/>
      <c r="E113" s="231"/>
      <c r="F113" s="35"/>
      <c r="G113" s="231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</row>
    <row r="114" ht="19.5" customHeight="1">
      <c r="B114" s="35"/>
      <c r="C114" s="35"/>
      <c r="D114" s="35"/>
      <c r="E114" s="231"/>
      <c r="F114" s="35"/>
      <c r="G114" s="231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</row>
    <row r="115" ht="19.5" customHeight="1">
      <c r="B115" s="35"/>
      <c r="C115" s="35"/>
      <c r="D115" s="35"/>
      <c r="E115" s="231"/>
      <c r="F115" s="35"/>
      <c r="G115" s="231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</row>
    <row r="116" ht="19.5" customHeight="1">
      <c r="B116" s="35"/>
      <c r="C116" s="35"/>
      <c r="D116" s="35"/>
      <c r="E116" s="231"/>
      <c r="F116" s="35"/>
      <c r="G116" s="231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</row>
    <row r="117" ht="19.5" customHeight="1">
      <c r="B117" s="35"/>
      <c r="C117" s="35"/>
      <c r="D117" s="35"/>
      <c r="E117" s="231"/>
      <c r="F117" s="35"/>
      <c r="G117" s="231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</row>
    <row r="118" ht="19.5" customHeight="1">
      <c r="B118" s="35"/>
      <c r="C118" s="35"/>
      <c r="D118" s="35"/>
      <c r="E118" s="231"/>
      <c r="F118" s="35"/>
      <c r="G118" s="231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</row>
    <row r="119" ht="19.5" customHeight="1">
      <c r="B119" s="35"/>
      <c r="C119" s="35"/>
      <c r="D119" s="35"/>
      <c r="E119" s="231"/>
      <c r="F119" s="35"/>
      <c r="G119" s="231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</row>
    <row r="120" ht="19.5" customHeight="1">
      <c r="B120" s="35"/>
      <c r="C120" s="35"/>
      <c r="D120" s="35"/>
      <c r="E120" s="231"/>
      <c r="F120" s="35"/>
      <c r="G120" s="231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</row>
    <row r="121" ht="19.5" customHeight="1">
      <c r="B121" s="35"/>
      <c r="C121" s="35"/>
      <c r="D121" s="35"/>
      <c r="E121" s="231"/>
      <c r="F121" s="35"/>
      <c r="G121" s="231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</row>
    <row r="122" ht="19.5" customHeight="1">
      <c r="B122" s="35"/>
      <c r="C122" s="35"/>
      <c r="D122" s="35"/>
      <c r="E122" s="231"/>
      <c r="F122" s="35"/>
      <c r="G122" s="231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</row>
    <row r="123" ht="19.5" customHeight="1">
      <c r="B123" s="35"/>
      <c r="C123" s="35"/>
      <c r="D123" s="35"/>
      <c r="E123" s="231"/>
      <c r="F123" s="35"/>
      <c r="G123" s="231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</row>
    <row r="124" ht="19.5" customHeight="1">
      <c r="B124" s="35"/>
      <c r="C124" s="35"/>
      <c r="D124" s="35"/>
      <c r="E124" s="231"/>
      <c r="F124" s="35"/>
      <c r="G124" s="231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</row>
    <row r="125" ht="19.5" customHeight="1">
      <c r="B125" s="35"/>
      <c r="C125" s="35"/>
      <c r="D125" s="35"/>
      <c r="E125" s="231"/>
      <c r="F125" s="35"/>
      <c r="G125" s="231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</row>
    <row r="126" ht="19.5" customHeight="1">
      <c r="B126" s="35"/>
      <c r="C126" s="35"/>
      <c r="D126" s="35"/>
      <c r="E126" s="231"/>
      <c r="F126" s="35"/>
      <c r="G126" s="231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</row>
    <row r="127" ht="19.5" customHeight="1">
      <c r="B127" s="35"/>
      <c r="C127" s="35"/>
      <c r="D127" s="35"/>
      <c r="E127" s="231"/>
      <c r="F127" s="35"/>
      <c r="G127" s="231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</row>
    <row r="128" ht="19.5" customHeight="1">
      <c r="B128" s="35"/>
      <c r="C128" s="35"/>
      <c r="D128" s="35"/>
      <c r="E128" s="231"/>
      <c r="F128" s="35"/>
      <c r="G128" s="231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</row>
    <row r="129" ht="19.5" customHeight="1">
      <c r="B129" s="35"/>
      <c r="C129" s="35"/>
      <c r="D129" s="35"/>
      <c r="E129" s="231"/>
      <c r="F129" s="35"/>
      <c r="G129" s="231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</row>
    <row r="130" ht="19.5" customHeight="1">
      <c r="B130" s="35"/>
      <c r="C130" s="35"/>
      <c r="D130" s="35"/>
      <c r="E130" s="231"/>
      <c r="F130" s="35"/>
      <c r="G130" s="231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</row>
    <row r="131" ht="19.5" customHeight="1">
      <c r="B131" s="35"/>
      <c r="C131" s="35"/>
      <c r="D131" s="35"/>
      <c r="E131" s="231"/>
      <c r="F131" s="35"/>
      <c r="G131" s="231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</row>
    <row r="132" ht="19.5" customHeight="1">
      <c r="B132" s="35"/>
      <c r="C132" s="35"/>
      <c r="D132" s="35"/>
      <c r="E132" s="231"/>
      <c r="F132" s="35"/>
      <c r="G132" s="231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</row>
    <row r="133" ht="19.5" customHeight="1">
      <c r="B133" s="35"/>
      <c r="C133" s="35"/>
      <c r="D133" s="35"/>
      <c r="E133" s="231"/>
      <c r="F133" s="35"/>
      <c r="G133" s="231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</row>
    <row r="134" ht="19.5" customHeight="1">
      <c r="B134" s="35"/>
      <c r="C134" s="35"/>
      <c r="D134" s="35"/>
      <c r="E134" s="231"/>
      <c r="F134" s="35"/>
      <c r="G134" s="231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</row>
    <row r="135" ht="19.5" customHeight="1">
      <c r="B135" s="35"/>
      <c r="C135" s="35"/>
      <c r="D135" s="35"/>
      <c r="E135" s="231"/>
      <c r="F135" s="35"/>
      <c r="G135" s="231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</row>
    <row r="136" ht="19.5" customHeight="1">
      <c r="B136" s="35"/>
      <c r="C136" s="35"/>
      <c r="D136" s="35"/>
      <c r="E136" s="231"/>
      <c r="F136" s="35"/>
      <c r="G136" s="231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</row>
    <row r="137" ht="19.5" customHeight="1">
      <c r="B137" s="35"/>
      <c r="C137" s="35"/>
      <c r="D137" s="35"/>
      <c r="E137" s="231"/>
      <c r="F137" s="35"/>
      <c r="G137" s="231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</row>
    <row r="138" ht="19.5" customHeight="1">
      <c r="B138" s="35"/>
      <c r="C138" s="35"/>
      <c r="D138" s="35"/>
      <c r="E138" s="231"/>
      <c r="F138" s="35"/>
      <c r="G138" s="231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</row>
    <row r="139" ht="19.5" customHeight="1">
      <c r="B139" s="35"/>
      <c r="C139" s="35"/>
      <c r="D139" s="35"/>
      <c r="E139" s="231"/>
      <c r="F139" s="35"/>
      <c r="G139" s="231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</row>
    <row r="140" ht="19.5" customHeight="1">
      <c r="B140" s="35"/>
      <c r="C140" s="35"/>
      <c r="D140" s="35"/>
      <c r="E140" s="231"/>
      <c r="F140" s="35"/>
      <c r="G140" s="231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</row>
    <row r="141" ht="19.5" customHeight="1">
      <c r="B141" s="35"/>
      <c r="C141" s="35"/>
      <c r="D141" s="35"/>
      <c r="E141" s="231"/>
      <c r="F141" s="35"/>
      <c r="G141" s="231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</row>
    <row r="142" ht="19.5" customHeight="1">
      <c r="B142" s="35"/>
      <c r="C142" s="35"/>
      <c r="D142" s="35"/>
      <c r="E142" s="231"/>
      <c r="F142" s="35"/>
      <c r="G142" s="231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</row>
    <row r="143" ht="19.5" customHeight="1">
      <c r="B143" s="35"/>
      <c r="C143" s="35"/>
      <c r="D143" s="35"/>
      <c r="E143" s="231"/>
      <c r="F143" s="35"/>
      <c r="G143" s="231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</row>
    <row r="144" ht="19.5" customHeight="1">
      <c r="B144" s="35"/>
      <c r="C144" s="35"/>
      <c r="D144" s="35"/>
      <c r="E144" s="231"/>
      <c r="F144" s="35"/>
      <c r="G144" s="231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</row>
    <row r="145" ht="19.5" customHeight="1">
      <c r="B145" s="35"/>
      <c r="C145" s="35"/>
      <c r="D145" s="35"/>
      <c r="E145" s="231"/>
      <c r="F145" s="35"/>
      <c r="G145" s="231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</row>
    <row r="146" ht="19.5" customHeight="1">
      <c r="B146" s="35"/>
      <c r="C146" s="35"/>
      <c r="D146" s="35"/>
      <c r="E146" s="231"/>
      <c r="F146" s="35"/>
      <c r="G146" s="231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</row>
    <row r="147" ht="19.5" customHeight="1">
      <c r="B147" s="35"/>
      <c r="C147" s="35"/>
      <c r="D147" s="35"/>
      <c r="E147" s="231"/>
      <c r="F147" s="35"/>
      <c r="G147" s="231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</row>
    <row r="148" ht="19.5" customHeight="1">
      <c r="B148" s="35"/>
      <c r="C148" s="35"/>
      <c r="D148" s="35"/>
      <c r="E148" s="231"/>
      <c r="F148" s="35"/>
      <c r="G148" s="231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</row>
    <row r="149" ht="19.5" customHeight="1">
      <c r="B149" s="35"/>
      <c r="C149" s="35"/>
      <c r="D149" s="35"/>
      <c r="E149" s="231"/>
      <c r="F149" s="35"/>
      <c r="G149" s="231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</row>
    <row r="150" ht="19.5" customHeight="1">
      <c r="B150" s="35"/>
      <c r="C150" s="35"/>
      <c r="D150" s="35"/>
      <c r="E150" s="231"/>
      <c r="F150" s="35"/>
      <c r="G150" s="231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</row>
    <row r="151" ht="19.5" customHeight="1">
      <c r="B151" s="35"/>
      <c r="C151" s="35"/>
      <c r="D151" s="35"/>
      <c r="E151" s="231"/>
      <c r="F151" s="35"/>
      <c r="G151" s="231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</row>
    <row r="152" ht="19.5" customHeight="1">
      <c r="B152" s="35"/>
      <c r="C152" s="35"/>
      <c r="D152" s="35"/>
      <c r="E152" s="231"/>
      <c r="F152" s="35"/>
      <c r="G152" s="231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</row>
    <row r="153" ht="19.5" customHeight="1">
      <c r="B153" s="35"/>
      <c r="C153" s="35"/>
      <c r="D153" s="35"/>
      <c r="E153" s="231"/>
      <c r="F153" s="35"/>
      <c r="G153" s="231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</row>
    <row r="154" ht="19.5" customHeight="1">
      <c r="B154" s="35"/>
      <c r="C154" s="35"/>
      <c r="D154" s="35"/>
      <c r="E154" s="231"/>
      <c r="F154" s="35"/>
      <c r="G154" s="231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</row>
    <row r="155" ht="19.5" customHeight="1">
      <c r="B155" s="35"/>
      <c r="C155" s="35"/>
      <c r="D155" s="35"/>
      <c r="E155" s="231"/>
      <c r="F155" s="35"/>
      <c r="G155" s="231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</row>
    <row r="156" ht="19.5" customHeight="1">
      <c r="B156" s="35"/>
      <c r="C156" s="35"/>
      <c r="D156" s="35"/>
      <c r="E156" s="231"/>
      <c r="F156" s="35"/>
      <c r="G156" s="231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</row>
    <row r="157" ht="19.5" customHeight="1">
      <c r="B157" s="35"/>
      <c r="C157" s="35"/>
      <c r="D157" s="35"/>
      <c r="E157" s="231"/>
      <c r="F157" s="35"/>
      <c r="G157" s="231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</row>
    <row r="158" ht="19.5" customHeight="1">
      <c r="B158" s="35"/>
      <c r="C158" s="35"/>
      <c r="D158" s="35"/>
      <c r="E158" s="231"/>
      <c r="F158" s="35"/>
      <c r="G158" s="231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</row>
    <row r="159" ht="19.5" customHeight="1">
      <c r="B159" s="35"/>
      <c r="C159" s="35"/>
      <c r="D159" s="35"/>
      <c r="E159" s="231"/>
      <c r="F159" s="35"/>
      <c r="G159" s="231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</row>
    <row r="160" ht="19.5" customHeight="1">
      <c r="B160" s="35"/>
      <c r="C160" s="35"/>
      <c r="D160" s="35"/>
      <c r="E160" s="231"/>
      <c r="F160" s="35"/>
      <c r="G160" s="231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</row>
    <row r="161" ht="19.5" customHeight="1">
      <c r="B161" s="35"/>
      <c r="C161" s="35"/>
      <c r="D161" s="35"/>
      <c r="E161" s="231"/>
      <c r="F161" s="35"/>
      <c r="G161" s="231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</row>
    <row r="162" ht="19.5" customHeight="1">
      <c r="B162" s="35"/>
      <c r="C162" s="35"/>
      <c r="D162" s="35"/>
      <c r="E162" s="231"/>
      <c r="F162" s="35"/>
      <c r="G162" s="231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</row>
    <row r="163" ht="19.5" customHeight="1">
      <c r="B163" s="35"/>
      <c r="C163" s="35"/>
      <c r="D163" s="35"/>
      <c r="E163" s="231"/>
      <c r="F163" s="35"/>
      <c r="G163" s="231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</row>
    <row r="164" ht="19.5" customHeight="1">
      <c r="B164" s="35"/>
      <c r="C164" s="35"/>
      <c r="D164" s="35"/>
      <c r="E164" s="231"/>
      <c r="F164" s="35"/>
      <c r="G164" s="231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</row>
    <row r="165" ht="19.5" customHeight="1">
      <c r="B165" s="35"/>
      <c r="C165" s="35"/>
      <c r="D165" s="35"/>
      <c r="E165" s="231"/>
      <c r="F165" s="35"/>
      <c r="G165" s="231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</row>
    <row r="166" ht="19.5" customHeight="1">
      <c r="B166" s="35"/>
      <c r="C166" s="35"/>
      <c r="D166" s="35"/>
      <c r="E166" s="231"/>
      <c r="F166" s="35"/>
      <c r="G166" s="231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</row>
    <row r="167" ht="19.5" customHeight="1">
      <c r="B167" s="35"/>
      <c r="C167" s="35"/>
      <c r="D167" s="35"/>
      <c r="E167" s="231"/>
      <c r="F167" s="35"/>
      <c r="G167" s="231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</row>
    <row r="168" ht="19.5" customHeight="1">
      <c r="B168" s="35"/>
      <c r="C168" s="35"/>
      <c r="D168" s="35"/>
      <c r="E168" s="231"/>
      <c r="F168" s="35"/>
      <c r="G168" s="231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</row>
    <row r="169" ht="19.5" customHeight="1">
      <c r="B169" s="35"/>
      <c r="C169" s="35"/>
      <c r="D169" s="35"/>
      <c r="E169" s="231"/>
      <c r="F169" s="35"/>
      <c r="G169" s="231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</row>
    <row r="170" ht="19.5" customHeight="1">
      <c r="B170" s="35"/>
      <c r="C170" s="35"/>
      <c r="D170" s="35"/>
      <c r="E170" s="231"/>
      <c r="F170" s="35"/>
      <c r="G170" s="231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</row>
    <row r="171" ht="19.5" customHeight="1">
      <c r="B171" s="35"/>
      <c r="C171" s="35"/>
      <c r="D171" s="35"/>
      <c r="E171" s="231"/>
      <c r="F171" s="35"/>
      <c r="G171" s="231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</row>
    <row r="172" ht="19.5" customHeight="1">
      <c r="B172" s="35"/>
      <c r="C172" s="35"/>
      <c r="D172" s="35"/>
      <c r="E172" s="231"/>
      <c r="F172" s="35"/>
      <c r="G172" s="231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</row>
    <row r="173" ht="19.5" customHeight="1">
      <c r="B173" s="35"/>
      <c r="C173" s="35"/>
      <c r="D173" s="35"/>
      <c r="E173" s="231"/>
      <c r="F173" s="35"/>
      <c r="G173" s="231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</row>
    <row r="174" ht="19.5" customHeight="1">
      <c r="B174" s="35"/>
      <c r="C174" s="35"/>
      <c r="D174" s="35"/>
      <c r="E174" s="231"/>
      <c r="F174" s="35"/>
      <c r="G174" s="231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</row>
    <row r="175" ht="19.5" customHeight="1">
      <c r="B175" s="35"/>
      <c r="C175" s="35"/>
      <c r="D175" s="35"/>
      <c r="E175" s="231"/>
      <c r="F175" s="35"/>
      <c r="G175" s="231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</row>
    <row r="176" ht="19.5" customHeight="1">
      <c r="B176" s="35"/>
      <c r="C176" s="35"/>
      <c r="D176" s="35"/>
      <c r="E176" s="231"/>
      <c r="F176" s="35"/>
      <c r="G176" s="231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</row>
    <row r="177" ht="19.5" customHeight="1">
      <c r="B177" s="35"/>
      <c r="C177" s="35"/>
      <c r="D177" s="35"/>
      <c r="E177" s="231"/>
      <c r="F177" s="35"/>
      <c r="G177" s="231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</row>
    <row r="178" ht="19.5" customHeight="1">
      <c r="B178" s="35"/>
      <c r="C178" s="35"/>
      <c r="D178" s="35"/>
      <c r="E178" s="231"/>
      <c r="F178" s="35"/>
      <c r="G178" s="231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</row>
    <row r="179" ht="19.5" customHeight="1">
      <c r="B179" s="35"/>
      <c r="C179" s="35"/>
      <c r="D179" s="35"/>
      <c r="E179" s="231"/>
      <c r="F179" s="35"/>
      <c r="G179" s="231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</row>
    <row r="180" ht="19.5" customHeight="1">
      <c r="B180" s="35"/>
      <c r="C180" s="35"/>
      <c r="D180" s="35"/>
      <c r="E180" s="231"/>
      <c r="F180" s="35"/>
      <c r="G180" s="231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</row>
    <row r="181" ht="19.5" customHeight="1">
      <c r="B181" s="35"/>
      <c r="C181" s="35"/>
      <c r="D181" s="35"/>
      <c r="E181" s="231"/>
      <c r="F181" s="35"/>
      <c r="G181" s="231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</row>
    <row r="182" ht="19.5" customHeight="1">
      <c r="B182" s="35"/>
      <c r="C182" s="35"/>
      <c r="D182" s="35"/>
      <c r="E182" s="231"/>
      <c r="F182" s="35"/>
      <c r="G182" s="231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</row>
    <row r="183" ht="19.5" customHeight="1">
      <c r="B183" s="35"/>
      <c r="C183" s="35"/>
      <c r="D183" s="35"/>
      <c r="E183" s="231"/>
      <c r="F183" s="35"/>
      <c r="G183" s="231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</row>
    <row r="184" ht="19.5" customHeight="1">
      <c r="B184" s="35"/>
      <c r="C184" s="35"/>
      <c r="D184" s="35"/>
      <c r="E184" s="231"/>
      <c r="F184" s="35"/>
      <c r="G184" s="231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</row>
    <row r="185" ht="19.5" customHeight="1">
      <c r="B185" s="35"/>
      <c r="C185" s="35"/>
      <c r="D185" s="35"/>
      <c r="E185" s="231"/>
      <c r="F185" s="35"/>
      <c r="G185" s="231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</row>
    <row r="186" ht="19.5" customHeight="1">
      <c r="B186" s="35"/>
      <c r="C186" s="35"/>
      <c r="D186" s="35"/>
      <c r="E186" s="231"/>
      <c r="F186" s="35"/>
      <c r="G186" s="231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</row>
    <row r="187" ht="19.5" customHeight="1">
      <c r="B187" s="35"/>
      <c r="C187" s="35"/>
      <c r="D187" s="35"/>
      <c r="E187" s="231"/>
      <c r="F187" s="35"/>
      <c r="G187" s="231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</row>
    <row r="188" ht="19.5" customHeight="1">
      <c r="B188" s="35"/>
      <c r="C188" s="35"/>
      <c r="D188" s="35"/>
      <c r="E188" s="231"/>
      <c r="F188" s="35"/>
      <c r="G188" s="231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</row>
    <row r="189" ht="19.5" customHeight="1">
      <c r="B189" s="35"/>
      <c r="C189" s="35"/>
      <c r="D189" s="35"/>
      <c r="E189" s="231"/>
      <c r="F189" s="35"/>
      <c r="G189" s="231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</row>
    <row r="190" ht="19.5" customHeight="1">
      <c r="B190" s="35"/>
      <c r="C190" s="35"/>
      <c r="D190" s="35"/>
      <c r="E190" s="231"/>
      <c r="F190" s="35"/>
      <c r="G190" s="231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</row>
    <row r="191" ht="19.5" customHeight="1">
      <c r="B191" s="35"/>
      <c r="C191" s="35"/>
      <c r="D191" s="35"/>
      <c r="E191" s="231"/>
      <c r="F191" s="35"/>
      <c r="G191" s="231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</row>
    <row r="192" ht="19.5" customHeight="1">
      <c r="B192" s="35"/>
      <c r="C192" s="35"/>
      <c r="D192" s="35"/>
      <c r="E192" s="231"/>
      <c r="F192" s="35"/>
      <c r="G192" s="231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</row>
    <row r="193" ht="19.5" customHeight="1">
      <c r="B193" s="35"/>
      <c r="C193" s="35"/>
      <c r="D193" s="35"/>
      <c r="E193" s="231"/>
      <c r="F193" s="35"/>
      <c r="G193" s="231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</row>
    <row r="194" ht="19.5" customHeight="1">
      <c r="B194" s="35"/>
      <c r="C194" s="35"/>
      <c r="D194" s="35"/>
      <c r="E194" s="231"/>
      <c r="F194" s="35"/>
      <c r="G194" s="231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</row>
    <row r="195" ht="19.5" customHeight="1">
      <c r="B195" s="35"/>
      <c r="C195" s="35"/>
      <c r="D195" s="35"/>
      <c r="E195" s="231"/>
      <c r="F195" s="35"/>
      <c r="G195" s="231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</row>
    <row r="196" ht="19.5" customHeight="1">
      <c r="B196" s="35"/>
      <c r="C196" s="35"/>
      <c r="D196" s="35"/>
      <c r="E196" s="231"/>
      <c r="F196" s="35"/>
      <c r="G196" s="231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</row>
    <row r="197" ht="19.5" customHeight="1">
      <c r="B197" s="35"/>
      <c r="C197" s="35"/>
      <c r="D197" s="35"/>
      <c r="E197" s="231"/>
      <c r="F197" s="35"/>
      <c r="G197" s="231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</row>
    <row r="198" ht="19.5" customHeight="1">
      <c r="B198" s="35"/>
      <c r="C198" s="35"/>
      <c r="D198" s="35"/>
      <c r="E198" s="231"/>
      <c r="F198" s="35"/>
      <c r="G198" s="231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</row>
    <row r="199" ht="19.5" customHeight="1">
      <c r="B199" s="35"/>
      <c r="C199" s="35"/>
      <c r="D199" s="35"/>
      <c r="E199" s="231"/>
      <c r="F199" s="35"/>
      <c r="G199" s="231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</row>
    <row r="200" ht="19.5" customHeight="1">
      <c r="B200" s="35"/>
      <c r="C200" s="35"/>
      <c r="D200" s="35"/>
      <c r="E200" s="231"/>
      <c r="F200" s="35"/>
      <c r="G200" s="231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</row>
    <row r="201" ht="19.5" customHeight="1">
      <c r="B201" s="35"/>
      <c r="C201" s="35"/>
      <c r="D201" s="35"/>
      <c r="E201" s="231"/>
      <c r="F201" s="35"/>
      <c r="G201" s="231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</row>
    <row r="202" ht="19.5" customHeight="1">
      <c r="B202" s="35"/>
      <c r="C202" s="35"/>
      <c r="D202" s="35"/>
      <c r="E202" s="231"/>
      <c r="F202" s="35"/>
      <c r="G202" s="231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</row>
    <row r="203" ht="19.5" customHeight="1">
      <c r="B203" s="35"/>
      <c r="C203" s="35"/>
      <c r="D203" s="35"/>
      <c r="E203" s="231"/>
      <c r="F203" s="35"/>
      <c r="G203" s="231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</row>
    <row r="204" ht="19.5" customHeight="1">
      <c r="B204" s="35"/>
      <c r="C204" s="35"/>
      <c r="D204" s="35"/>
      <c r="E204" s="231"/>
      <c r="F204" s="35"/>
      <c r="G204" s="231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</row>
    <row r="205" ht="19.5" customHeight="1">
      <c r="B205" s="35"/>
      <c r="C205" s="35"/>
      <c r="D205" s="35"/>
      <c r="E205" s="231"/>
      <c r="F205" s="35"/>
      <c r="G205" s="231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</row>
    <row r="206" ht="19.5" customHeight="1">
      <c r="B206" s="35"/>
      <c r="C206" s="35"/>
      <c r="D206" s="35"/>
      <c r="E206" s="231"/>
      <c r="F206" s="35"/>
      <c r="G206" s="231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</row>
    <row r="207" ht="19.5" customHeight="1">
      <c r="B207" s="35"/>
      <c r="C207" s="35"/>
      <c r="D207" s="35"/>
      <c r="E207" s="231"/>
      <c r="F207" s="35"/>
      <c r="G207" s="231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</row>
    <row r="208" ht="19.5" customHeight="1">
      <c r="B208" s="35"/>
      <c r="C208" s="35"/>
      <c r="D208" s="35"/>
      <c r="E208" s="231"/>
      <c r="F208" s="35"/>
      <c r="G208" s="231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</row>
    <row r="209" ht="19.5" customHeight="1">
      <c r="B209" s="35"/>
      <c r="C209" s="35"/>
      <c r="D209" s="35"/>
      <c r="E209" s="231"/>
      <c r="F209" s="35"/>
      <c r="G209" s="231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</row>
    <row r="210" ht="19.5" customHeight="1">
      <c r="B210" s="35"/>
      <c r="C210" s="35"/>
      <c r="D210" s="35"/>
      <c r="E210" s="231"/>
      <c r="F210" s="35"/>
      <c r="G210" s="231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</row>
    <row r="211" ht="19.5" customHeight="1">
      <c r="B211" s="35"/>
      <c r="C211" s="35"/>
      <c r="D211" s="35"/>
      <c r="E211" s="231"/>
      <c r="F211" s="35"/>
      <c r="G211" s="231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</row>
    <row r="212" ht="19.5" customHeight="1">
      <c r="B212" s="35"/>
      <c r="C212" s="35"/>
      <c r="D212" s="35"/>
      <c r="E212" s="231"/>
      <c r="F212" s="35"/>
      <c r="G212" s="231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</row>
    <row r="213" ht="19.5" customHeight="1">
      <c r="B213" s="35"/>
      <c r="C213" s="35"/>
      <c r="D213" s="35"/>
      <c r="E213" s="231"/>
      <c r="F213" s="35"/>
      <c r="G213" s="231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</row>
    <row r="214" ht="19.5" customHeight="1">
      <c r="B214" s="35"/>
      <c r="C214" s="35"/>
      <c r="D214" s="35"/>
      <c r="E214" s="231"/>
      <c r="F214" s="35"/>
      <c r="G214" s="231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</row>
    <row r="215" ht="19.5" customHeight="1">
      <c r="B215" s="35"/>
      <c r="C215" s="35"/>
      <c r="D215" s="35"/>
      <c r="E215" s="231"/>
      <c r="F215" s="35"/>
      <c r="G215" s="231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</row>
    <row r="216" ht="19.5" customHeight="1">
      <c r="B216" s="35"/>
      <c r="C216" s="35"/>
      <c r="D216" s="35"/>
      <c r="E216" s="231"/>
      <c r="F216" s="35"/>
      <c r="G216" s="231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</row>
    <row r="217" ht="19.5" customHeight="1">
      <c r="B217" s="35"/>
      <c r="C217" s="35"/>
      <c r="D217" s="35"/>
      <c r="E217" s="231"/>
      <c r="F217" s="35"/>
      <c r="G217" s="231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</row>
    <row r="218" ht="19.5" customHeight="1">
      <c r="B218" s="35"/>
      <c r="C218" s="35"/>
      <c r="D218" s="35"/>
      <c r="E218" s="231"/>
      <c r="F218" s="35"/>
      <c r="G218" s="231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</row>
    <row r="219" ht="19.5" customHeight="1">
      <c r="B219" s="35"/>
      <c r="C219" s="35"/>
      <c r="D219" s="35"/>
      <c r="E219" s="231"/>
      <c r="F219" s="35"/>
      <c r="G219" s="231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</row>
    <row r="220" ht="19.5" customHeight="1">
      <c r="B220" s="35"/>
      <c r="C220" s="35"/>
      <c r="D220" s="35"/>
      <c r="E220" s="231"/>
      <c r="F220" s="35"/>
      <c r="G220" s="231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</row>
    <row r="221" ht="19.5" customHeight="1">
      <c r="B221" s="35"/>
      <c r="C221" s="35"/>
      <c r="D221" s="35"/>
      <c r="E221" s="231"/>
      <c r="F221" s="35"/>
      <c r="G221" s="231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</row>
    <row r="222" ht="19.5" customHeight="1">
      <c r="B222" s="35"/>
      <c r="C222" s="35"/>
      <c r="D222" s="35"/>
      <c r="E222" s="231"/>
      <c r="F222" s="35"/>
      <c r="G222" s="231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</row>
    <row r="223" ht="19.5" customHeight="1">
      <c r="B223" s="35"/>
      <c r="C223" s="35"/>
      <c r="D223" s="35"/>
      <c r="E223" s="231"/>
      <c r="F223" s="35"/>
      <c r="G223" s="231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</row>
    <row r="224" ht="19.5" customHeight="1">
      <c r="B224" s="35"/>
      <c r="C224" s="35"/>
      <c r="D224" s="35"/>
      <c r="E224" s="231"/>
      <c r="F224" s="35"/>
      <c r="G224" s="231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</row>
    <row r="225" ht="19.5" customHeight="1">
      <c r="B225" s="35"/>
      <c r="C225" s="35"/>
      <c r="D225" s="35"/>
      <c r="E225" s="231"/>
      <c r="F225" s="35"/>
      <c r="G225" s="231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</row>
    <row r="226" ht="19.5" customHeight="1">
      <c r="B226" s="35"/>
      <c r="C226" s="35"/>
      <c r="D226" s="35"/>
      <c r="E226" s="231"/>
      <c r="F226" s="35"/>
      <c r="G226" s="231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</row>
    <row r="227" ht="19.5" customHeight="1">
      <c r="B227" s="35"/>
      <c r="C227" s="35"/>
      <c r="D227" s="35"/>
      <c r="E227" s="231"/>
      <c r="F227" s="35"/>
      <c r="G227" s="231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</row>
    <row r="228" ht="19.5" customHeight="1">
      <c r="B228" s="35"/>
      <c r="C228" s="35"/>
      <c r="D228" s="35"/>
      <c r="E228" s="231"/>
      <c r="F228" s="35"/>
      <c r="G228" s="231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</row>
    <row r="229" ht="19.5" customHeight="1">
      <c r="B229" s="35"/>
      <c r="C229" s="35"/>
      <c r="D229" s="35"/>
      <c r="E229" s="231"/>
      <c r="F229" s="35"/>
      <c r="G229" s="231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</row>
    <row r="230" ht="19.5" customHeight="1">
      <c r="B230" s="35"/>
      <c r="C230" s="35"/>
      <c r="D230" s="35"/>
      <c r="E230" s="231"/>
      <c r="F230" s="35"/>
      <c r="G230" s="231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</row>
    <row r="231" ht="19.5" customHeight="1">
      <c r="B231" s="35"/>
      <c r="C231" s="35"/>
      <c r="D231" s="35"/>
      <c r="E231" s="231"/>
      <c r="F231" s="35"/>
      <c r="G231" s="231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</row>
    <row r="232" ht="19.5" customHeight="1">
      <c r="B232" s="35"/>
      <c r="C232" s="35"/>
      <c r="D232" s="35"/>
      <c r="E232" s="231"/>
      <c r="F232" s="35"/>
      <c r="G232" s="231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</row>
    <row r="233" ht="19.5" customHeight="1">
      <c r="B233" s="35"/>
      <c r="C233" s="35"/>
      <c r="D233" s="35"/>
      <c r="E233" s="231"/>
      <c r="F233" s="35"/>
      <c r="G233" s="231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</row>
    <row r="234" ht="19.5" customHeight="1">
      <c r="B234" s="35"/>
      <c r="C234" s="35"/>
      <c r="D234" s="35"/>
      <c r="E234" s="231"/>
      <c r="F234" s="35"/>
      <c r="G234" s="231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</row>
    <row r="235" ht="19.5" customHeight="1">
      <c r="B235" s="35"/>
      <c r="C235" s="35"/>
      <c r="D235" s="35"/>
      <c r="E235" s="231"/>
      <c r="F235" s="35"/>
      <c r="G235" s="231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</row>
    <row r="236" ht="19.5" customHeight="1">
      <c r="B236" s="35"/>
      <c r="C236" s="35"/>
      <c r="D236" s="35"/>
      <c r="E236" s="231"/>
      <c r="F236" s="35"/>
      <c r="G236" s="231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</row>
    <row r="237" ht="19.5" customHeight="1">
      <c r="B237" s="35"/>
      <c r="C237" s="35"/>
      <c r="D237" s="35"/>
      <c r="E237" s="231"/>
      <c r="F237" s="35"/>
      <c r="G237" s="231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</row>
    <row r="238" ht="19.5" customHeight="1">
      <c r="B238" s="35"/>
      <c r="C238" s="35"/>
      <c r="D238" s="35"/>
      <c r="E238" s="231"/>
      <c r="F238" s="35"/>
      <c r="G238" s="231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</row>
    <row r="239" ht="19.5" customHeight="1">
      <c r="B239" s="35"/>
      <c r="C239" s="35"/>
      <c r="D239" s="35"/>
      <c r="E239" s="231"/>
      <c r="F239" s="35"/>
      <c r="G239" s="231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</row>
    <row r="240" ht="19.5" customHeight="1">
      <c r="B240" s="35"/>
      <c r="C240" s="35"/>
      <c r="D240" s="35"/>
      <c r="E240" s="231"/>
      <c r="F240" s="35"/>
      <c r="G240" s="231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</row>
    <row r="241" ht="19.5" customHeight="1">
      <c r="B241" s="35"/>
      <c r="C241" s="35"/>
      <c r="D241" s="35"/>
      <c r="E241" s="231"/>
      <c r="F241" s="35"/>
      <c r="G241" s="231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</row>
    <row r="242" ht="19.5" customHeight="1">
      <c r="B242" s="35"/>
      <c r="C242" s="35"/>
      <c r="D242" s="35"/>
      <c r="E242" s="231"/>
      <c r="F242" s="35"/>
      <c r="G242" s="231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</row>
    <row r="243" ht="19.5" customHeight="1">
      <c r="B243" s="35"/>
      <c r="C243" s="35"/>
      <c r="D243" s="35"/>
      <c r="E243" s="231"/>
      <c r="F243" s="35"/>
      <c r="G243" s="231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</row>
    <row r="244" ht="19.5" customHeight="1">
      <c r="B244" s="35"/>
      <c r="C244" s="35"/>
      <c r="D244" s="35"/>
      <c r="E244" s="231"/>
      <c r="F244" s="35"/>
      <c r="G244" s="231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</row>
    <row r="245" ht="19.5" customHeight="1">
      <c r="B245" s="35"/>
      <c r="C245" s="35"/>
      <c r="D245" s="35"/>
      <c r="E245" s="231"/>
      <c r="F245" s="35"/>
      <c r="G245" s="231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</row>
    <row r="246" ht="19.5" customHeight="1">
      <c r="B246" s="35"/>
      <c r="C246" s="35"/>
      <c r="D246" s="35"/>
      <c r="E246" s="231"/>
      <c r="F246" s="35"/>
      <c r="G246" s="231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</row>
    <row r="247" ht="19.5" customHeight="1">
      <c r="B247" s="35"/>
      <c r="C247" s="35"/>
      <c r="D247" s="35"/>
      <c r="E247" s="231"/>
      <c r="F247" s="35"/>
      <c r="G247" s="231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</row>
    <row r="248" ht="19.5" customHeight="1">
      <c r="B248" s="35"/>
      <c r="C248" s="35"/>
      <c r="D248" s="35"/>
      <c r="E248" s="231"/>
      <c r="F248" s="35"/>
      <c r="G248" s="231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</row>
    <row r="249" ht="19.5" customHeight="1">
      <c r="B249" s="35"/>
      <c r="C249" s="35"/>
      <c r="D249" s="35"/>
      <c r="E249" s="231"/>
      <c r="F249" s="35"/>
      <c r="G249" s="231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</row>
    <row r="250" ht="19.5" customHeight="1">
      <c r="B250" s="35"/>
      <c r="C250" s="35"/>
      <c r="D250" s="35"/>
      <c r="E250" s="231"/>
      <c r="F250" s="35"/>
      <c r="G250" s="231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</row>
    <row r="251" ht="19.5" customHeight="1">
      <c r="B251" s="35"/>
      <c r="C251" s="35"/>
      <c r="D251" s="35"/>
      <c r="E251" s="231"/>
      <c r="F251" s="35"/>
      <c r="G251" s="231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</row>
    <row r="252" ht="19.5" customHeight="1">
      <c r="B252" s="35"/>
      <c r="C252" s="35"/>
      <c r="D252" s="35"/>
      <c r="E252" s="231"/>
      <c r="F252" s="35"/>
      <c r="G252" s="231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</row>
    <row r="253" ht="19.5" customHeight="1">
      <c r="B253" s="35"/>
      <c r="C253" s="35"/>
      <c r="D253" s="35"/>
      <c r="E253" s="231"/>
      <c r="F253" s="35"/>
      <c r="G253" s="231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</row>
    <row r="254" ht="19.5" customHeight="1">
      <c r="B254" s="35"/>
      <c r="C254" s="35"/>
      <c r="D254" s="35"/>
      <c r="E254" s="231"/>
      <c r="F254" s="35"/>
      <c r="G254" s="231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</row>
    <row r="255" ht="19.5" customHeight="1">
      <c r="B255" s="35"/>
      <c r="C255" s="35"/>
      <c r="D255" s="35"/>
      <c r="E255" s="231"/>
      <c r="F255" s="35"/>
      <c r="G255" s="231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</row>
    <row r="256" ht="19.5" customHeight="1">
      <c r="B256" s="35"/>
      <c r="C256" s="35"/>
      <c r="D256" s="35"/>
      <c r="E256" s="231"/>
      <c r="F256" s="35"/>
      <c r="G256" s="231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</row>
    <row r="257" ht="19.5" customHeight="1">
      <c r="B257" s="35"/>
      <c r="C257" s="35"/>
      <c r="D257" s="35"/>
      <c r="E257" s="231"/>
      <c r="F257" s="35"/>
      <c r="G257" s="231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</row>
    <row r="258" ht="19.5" customHeight="1">
      <c r="B258" s="35"/>
      <c r="C258" s="35"/>
      <c r="D258" s="35"/>
      <c r="E258" s="231"/>
      <c r="F258" s="35"/>
      <c r="G258" s="231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</row>
    <row r="259" ht="19.5" customHeight="1">
      <c r="B259" s="35"/>
      <c r="C259" s="35"/>
      <c r="D259" s="35"/>
      <c r="E259" s="231"/>
      <c r="F259" s="35"/>
      <c r="G259" s="231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</row>
    <row r="260" ht="19.5" customHeight="1">
      <c r="B260" s="35"/>
      <c r="C260" s="35"/>
      <c r="D260" s="35"/>
      <c r="E260" s="231"/>
      <c r="F260" s="35"/>
      <c r="G260" s="231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</row>
    <row r="261" ht="19.5" customHeight="1">
      <c r="B261" s="35"/>
      <c r="C261" s="35"/>
      <c r="D261" s="35"/>
      <c r="E261" s="231"/>
      <c r="F261" s="35"/>
      <c r="G261" s="231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</row>
    <row r="262" ht="19.5" customHeight="1">
      <c r="B262" s="35"/>
      <c r="C262" s="35"/>
      <c r="D262" s="35"/>
      <c r="E262" s="231"/>
      <c r="F262" s="35"/>
      <c r="G262" s="231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</row>
    <row r="263" ht="19.5" customHeight="1">
      <c r="B263" s="35"/>
      <c r="C263" s="35"/>
      <c r="D263" s="35"/>
      <c r="E263" s="231"/>
      <c r="F263" s="35"/>
      <c r="G263" s="231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</row>
    <row r="264" ht="19.5" customHeight="1">
      <c r="B264" s="35"/>
      <c r="C264" s="35"/>
      <c r="D264" s="35"/>
      <c r="E264" s="231"/>
      <c r="F264" s="35"/>
      <c r="G264" s="231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</row>
    <row r="265" ht="19.5" customHeight="1">
      <c r="B265" s="35"/>
      <c r="C265" s="35"/>
      <c r="D265" s="35"/>
      <c r="E265" s="231"/>
      <c r="F265" s="35"/>
      <c r="G265" s="231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</row>
    <row r="266" ht="19.5" customHeight="1">
      <c r="B266" s="35"/>
      <c r="C266" s="35"/>
      <c r="D266" s="35"/>
      <c r="E266" s="231"/>
      <c r="F266" s="35"/>
      <c r="G266" s="231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</row>
    <row r="267" ht="19.5" customHeight="1">
      <c r="B267" s="35"/>
      <c r="C267" s="35"/>
      <c r="D267" s="35"/>
      <c r="E267" s="231"/>
      <c r="F267" s="35"/>
      <c r="G267" s="231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</row>
    <row r="268" ht="19.5" customHeight="1">
      <c r="B268" s="35"/>
      <c r="C268" s="35"/>
      <c r="D268" s="35"/>
      <c r="E268" s="231"/>
      <c r="F268" s="35"/>
      <c r="G268" s="231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</row>
    <row r="269" ht="19.5" customHeight="1">
      <c r="B269" s="35"/>
      <c r="C269" s="35"/>
      <c r="D269" s="35"/>
      <c r="E269" s="231"/>
      <c r="F269" s="35"/>
      <c r="G269" s="231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</row>
    <row r="270" ht="19.5" customHeight="1">
      <c r="B270" s="35"/>
      <c r="C270" s="35"/>
      <c r="D270" s="35"/>
      <c r="E270" s="231"/>
      <c r="F270" s="35"/>
      <c r="G270" s="231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</row>
    <row r="271" ht="19.5" customHeight="1">
      <c r="B271" s="35"/>
      <c r="C271" s="35"/>
      <c r="D271" s="35"/>
      <c r="E271" s="231"/>
      <c r="F271" s="35"/>
      <c r="G271" s="231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</row>
    <row r="272" ht="19.5" customHeight="1">
      <c r="B272" s="35"/>
      <c r="C272" s="35"/>
      <c r="D272" s="35"/>
      <c r="E272" s="231"/>
      <c r="F272" s="35"/>
      <c r="G272" s="231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</row>
    <row r="273" ht="19.5" customHeight="1">
      <c r="B273" s="35"/>
      <c r="C273" s="35"/>
      <c r="D273" s="35"/>
      <c r="E273" s="231"/>
      <c r="F273" s="35"/>
      <c r="G273" s="231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</row>
    <row r="274" ht="19.5" customHeight="1">
      <c r="B274" s="35"/>
      <c r="C274" s="35"/>
      <c r="D274" s="35"/>
      <c r="E274" s="231"/>
      <c r="F274" s="35"/>
      <c r="G274" s="231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</row>
    <row r="275" ht="19.5" customHeight="1">
      <c r="B275" s="35"/>
      <c r="C275" s="35"/>
      <c r="D275" s="35"/>
      <c r="E275" s="231"/>
      <c r="F275" s="35"/>
      <c r="G275" s="231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</row>
    <row r="276" ht="19.5" customHeight="1">
      <c r="B276" s="35"/>
      <c r="C276" s="35"/>
      <c r="D276" s="35"/>
      <c r="E276" s="231"/>
      <c r="F276" s="35"/>
      <c r="G276" s="231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</row>
    <row r="277" ht="19.5" customHeight="1">
      <c r="B277" s="35"/>
      <c r="C277" s="35"/>
      <c r="D277" s="35"/>
      <c r="E277" s="231"/>
      <c r="F277" s="35"/>
      <c r="G277" s="231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</row>
    <row r="278" ht="19.5" customHeight="1">
      <c r="B278" s="35"/>
      <c r="C278" s="35"/>
      <c r="D278" s="35"/>
      <c r="E278" s="231"/>
      <c r="F278" s="35"/>
      <c r="G278" s="231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</row>
    <row r="279" ht="19.5" customHeight="1">
      <c r="B279" s="35"/>
      <c r="C279" s="35"/>
      <c r="D279" s="35"/>
      <c r="E279" s="231"/>
      <c r="F279" s="35"/>
      <c r="G279" s="231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</row>
    <row r="280" ht="19.5" customHeight="1">
      <c r="B280" s="35"/>
      <c r="C280" s="35"/>
      <c r="D280" s="35"/>
      <c r="E280" s="231"/>
      <c r="F280" s="35"/>
      <c r="G280" s="231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</row>
    <row r="281" ht="19.5" customHeight="1">
      <c r="B281" s="35"/>
      <c r="C281" s="35"/>
      <c r="D281" s="35"/>
      <c r="E281" s="231"/>
      <c r="F281" s="35"/>
      <c r="G281" s="231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</row>
    <row r="282" ht="19.5" customHeight="1">
      <c r="B282" s="35"/>
      <c r="C282" s="35"/>
      <c r="D282" s="35"/>
      <c r="E282" s="231"/>
      <c r="F282" s="35"/>
      <c r="G282" s="231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</row>
    <row r="283" ht="19.5" customHeight="1">
      <c r="B283" s="35"/>
      <c r="C283" s="35"/>
      <c r="D283" s="35"/>
      <c r="E283" s="231"/>
      <c r="F283" s="35"/>
      <c r="G283" s="231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</row>
    <row r="284" ht="19.5" customHeight="1">
      <c r="B284" s="35"/>
      <c r="C284" s="35"/>
      <c r="D284" s="35"/>
      <c r="E284" s="231"/>
      <c r="F284" s="35"/>
      <c r="G284" s="231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</row>
    <row r="285" ht="19.5" customHeight="1">
      <c r="B285" s="35"/>
      <c r="C285" s="35"/>
      <c r="D285" s="35"/>
      <c r="E285" s="231"/>
      <c r="F285" s="35"/>
      <c r="G285" s="231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</row>
    <row r="286" ht="19.5" customHeight="1">
      <c r="B286" s="35"/>
      <c r="C286" s="35"/>
      <c r="D286" s="35"/>
      <c r="E286" s="231"/>
      <c r="F286" s="35"/>
      <c r="G286" s="231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</row>
    <row r="287" ht="19.5" customHeight="1">
      <c r="B287" s="35"/>
      <c r="C287" s="35"/>
      <c r="D287" s="35"/>
      <c r="E287" s="231"/>
      <c r="F287" s="35"/>
      <c r="G287" s="231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</row>
    <row r="288" ht="19.5" customHeight="1">
      <c r="B288" s="35"/>
      <c r="C288" s="35"/>
      <c r="D288" s="35"/>
      <c r="E288" s="231"/>
      <c r="F288" s="35"/>
      <c r="G288" s="231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</row>
    <row r="289" ht="19.5" customHeight="1">
      <c r="B289" s="35"/>
      <c r="C289" s="35"/>
      <c r="D289" s="35"/>
      <c r="E289" s="231"/>
      <c r="F289" s="35"/>
      <c r="G289" s="231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</row>
    <row r="290" ht="19.5" customHeight="1">
      <c r="B290" s="35"/>
      <c r="C290" s="35"/>
      <c r="D290" s="35"/>
      <c r="E290" s="231"/>
      <c r="F290" s="35"/>
      <c r="G290" s="231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</row>
    <row r="291" ht="19.5" customHeight="1">
      <c r="B291" s="35"/>
      <c r="C291" s="35"/>
      <c r="D291" s="35"/>
      <c r="E291" s="231"/>
      <c r="F291" s="35"/>
      <c r="G291" s="231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</row>
    <row r="292" ht="19.5" customHeight="1">
      <c r="B292" s="35"/>
      <c r="C292" s="35"/>
      <c r="D292" s="35"/>
      <c r="E292" s="231"/>
      <c r="F292" s="35"/>
      <c r="G292" s="231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</row>
    <row r="293" ht="19.5" customHeight="1">
      <c r="B293" s="35"/>
      <c r="C293" s="35"/>
      <c r="D293" s="35"/>
      <c r="E293" s="231"/>
      <c r="F293" s="35"/>
      <c r="G293" s="231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</row>
    <row r="294" ht="19.5" customHeight="1">
      <c r="B294" s="35"/>
      <c r="C294" s="35"/>
      <c r="D294" s="35"/>
      <c r="E294" s="231"/>
      <c r="F294" s="35"/>
      <c r="G294" s="231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</row>
    <row r="295" ht="19.5" customHeight="1">
      <c r="B295" s="35"/>
      <c r="C295" s="35"/>
      <c r="D295" s="35"/>
      <c r="E295" s="231"/>
      <c r="F295" s="35"/>
      <c r="G295" s="231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</row>
    <row r="296" ht="19.5" customHeight="1">
      <c r="B296" s="35"/>
      <c r="C296" s="35"/>
      <c r="D296" s="35"/>
      <c r="E296" s="231"/>
      <c r="F296" s="35"/>
      <c r="G296" s="231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</row>
    <row r="297" ht="19.5" customHeight="1">
      <c r="B297" s="35"/>
      <c r="C297" s="35"/>
      <c r="D297" s="35"/>
      <c r="E297" s="231"/>
      <c r="F297" s="35"/>
      <c r="G297" s="231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</row>
    <row r="298" ht="19.5" customHeight="1">
      <c r="B298" s="35"/>
      <c r="C298" s="35"/>
      <c r="D298" s="35"/>
      <c r="E298" s="231"/>
      <c r="F298" s="35"/>
      <c r="G298" s="231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</row>
    <row r="299" ht="19.5" customHeight="1">
      <c r="B299" s="35"/>
      <c r="C299" s="35"/>
      <c r="D299" s="35"/>
      <c r="E299" s="231"/>
      <c r="F299" s="35"/>
      <c r="G299" s="231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</row>
    <row r="300" ht="19.5" customHeight="1">
      <c r="B300" s="35"/>
      <c r="C300" s="35"/>
      <c r="D300" s="35"/>
      <c r="E300" s="231"/>
      <c r="F300" s="35"/>
      <c r="G300" s="231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</row>
    <row r="301" ht="19.5" customHeight="1">
      <c r="B301" s="35"/>
      <c r="C301" s="35"/>
      <c r="D301" s="35"/>
      <c r="E301" s="231"/>
      <c r="F301" s="35"/>
      <c r="G301" s="231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</row>
    <row r="302" ht="19.5" customHeight="1">
      <c r="B302" s="35"/>
      <c r="C302" s="35"/>
      <c r="D302" s="35"/>
      <c r="E302" s="231"/>
      <c r="F302" s="35"/>
      <c r="G302" s="231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</row>
    <row r="303" ht="19.5" customHeight="1">
      <c r="B303" s="35"/>
      <c r="C303" s="35"/>
      <c r="D303" s="35"/>
      <c r="E303" s="231"/>
      <c r="F303" s="35"/>
      <c r="G303" s="231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</row>
    <row r="304" ht="19.5" customHeight="1">
      <c r="B304" s="35"/>
      <c r="C304" s="35"/>
      <c r="D304" s="35"/>
      <c r="E304" s="231"/>
      <c r="F304" s="35"/>
      <c r="G304" s="231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</row>
    <row r="305" ht="19.5" customHeight="1">
      <c r="B305" s="35"/>
      <c r="C305" s="35"/>
      <c r="D305" s="35"/>
      <c r="E305" s="231"/>
      <c r="F305" s="35"/>
      <c r="G305" s="231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</row>
    <row r="306" ht="19.5" customHeight="1">
      <c r="B306" s="35"/>
      <c r="C306" s="35"/>
      <c r="D306" s="35"/>
      <c r="E306" s="231"/>
      <c r="F306" s="35"/>
      <c r="G306" s="231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</row>
    <row r="307" ht="19.5" customHeight="1">
      <c r="B307" s="35"/>
      <c r="C307" s="35"/>
      <c r="D307" s="35"/>
      <c r="E307" s="231"/>
      <c r="F307" s="35"/>
      <c r="G307" s="231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</row>
    <row r="308" ht="19.5" customHeight="1">
      <c r="B308" s="35"/>
      <c r="C308" s="35"/>
      <c r="D308" s="35"/>
      <c r="E308" s="231"/>
      <c r="F308" s="35"/>
      <c r="G308" s="231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</row>
    <row r="309" ht="19.5" customHeight="1">
      <c r="B309" s="35"/>
      <c r="C309" s="35"/>
      <c r="D309" s="35"/>
      <c r="E309" s="231"/>
      <c r="F309" s="35"/>
      <c r="G309" s="231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</row>
    <row r="310" ht="19.5" customHeight="1">
      <c r="B310" s="35"/>
      <c r="C310" s="35"/>
      <c r="D310" s="35"/>
      <c r="E310" s="231"/>
      <c r="F310" s="35"/>
      <c r="G310" s="231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</row>
    <row r="311" ht="19.5" customHeight="1">
      <c r="B311" s="35"/>
      <c r="C311" s="35"/>
      <c r="D311" s="35"/>
      <c r="E311" s="231"/>
      <c r="F311" s="35"/>
      <c r="G311" s="231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</row>
    <row r="312" ht="19.5" customHeight="1">
      <c r="B312" s="35"/>
      <c r="C312" s="35"/>
      <c r="D312" s="35"/>
      <c r="E312" s="231"/>
      <c r="F312" s="35"/>
      <c r="G312" s="231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</row>
    <row r="313" ht="19.5" customHeight="1">
      <c r="B313" s="35"/>
      <c r="C313" s="35"/>
      <c r="D313" s="35"/>
      <c r="E313" s="231"/>
      <c r="F313" s="35"/>
      <c r="G313" s="231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</row>
    <row r="314" ht="19.5" customHeight="1">
      <c r="B314" s="35"/>
      <c r="C314" s="35"/>
      <c r="D314" s="35"/>
      <c r="E314" s="231"/>
      <c r="F314" s="35"/>
      <c r="G314" s="231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</row>
    <row r="315" ht="19.5" customHeight="1">
      <c r="B315" s="35"/>
      <c r="C315" s="35"/>
      <c r="D315" s="35"/>
      <c r="E315" s="231"/>
      <c r="F315" s="35"/>
      <c r="G315" s="231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</row>
    <row r="316" ht="19.5" customHeight="1">
      <c r="B316" s="35"/>
      <c r="C316" s="35"/>
      <c r="D316" s="35"/>
      <c r="E316" s="231"/>
      <c r="F316" s="35"/>
      <c r="G316" s="231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</row>
    <row r="317" ht="19.5" customHeight="1">
      <c r="B317" s="35"/>
      <c r="C317" s="35"/>
      <c r="D317" s="35"/>
      <c r="E317" s="231"/>
      <c r="F317" s="35"/>
      <c r="G317" s="231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</row>
    <row r="318" ht="19.5" customHeight="1">
      <c r="B318" s="35"/>
      <c r="C318" s="35"/>
      <c r="D318" s="35"/>
      <c r="E318" s="231"/>
      <c r="F318" s="35"/>
      <c r="G318" s="231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</row>
    <row r="319" ht="19.5" customHeight="1">
      <c r="B319" s="35"/>
      <c r="C319" s="35"/>
      <c r="D319" s="35"/>
      <c r="E319" s="231"/>
      <c r="F319" s="35"/>
      <c r="G319" s="231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</row>
    <row r="320" ht="19.5" customHeight="1">
      <c r="B320" s="35"/>
      <c r="C320" s="35"/>
      <c r="D320" s="35"/>
      <c r="E320" s="231"/>
      <c r="F320" s="35"/>
      <c r="G320" s="231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</row>
    <row r="321" ht="19.5" customHeight="1">
      <c r="B321" s="35"/>
      <c r="C321" s="35"/>
      <c r="D321" s="35"/>
      <c r="E321" s="231"/>
      <c r="F321" s="35"/>
      <c r="G321" s="231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</row>
    <row r="322" ht="19.5" customHeight="1">
      <c r="B322" s="35"/>
      <c r="C322" s="35"/>
      <c r="D322" s="35"/>
      <c r="E322" s="231"/>
      <c r="F322" s="35"/>
      <c r="G322" s="231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</row>
    <row r="323" ht="19.5" customHeight="1">
      <c r="B323" s="35"/>
      <c r="C323" s="35"/>
      <c r="D323" s="35"/>
      <c r="E323" s="231"/>
      <c r="F323" s="35"/>
      <c r="G323" s="231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</row>
    <row r="324" ht="19.5" customHeight="1">
      <c r="B324" s="35"/>
      <c r="C324" s="35"/>
      <c r="D324" s="35"/>
      <c r="E324" s="231"/>
      <c r="F324" s="35"/>
      <c r="G324" s="231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</row>
    <row r="325" ht="19.5" customHeight="1">
      <c r="B325" s="35"/>
      <c r="C325" s="35"/>
      <c r="D325" s="35"/>
      <c r="E325" s="231"/>
      <c r="F325" s="35"/>
      <c r="G325" s="231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</row>
    <row r="326" ht="19.5" customHeight="1">
      <c r="B326" s="35"/>
      <c r="C326" s="35"/>
      <c r="D326" s="35"/>
      <c r="E326" s="231"/>
      <c r="F326" s="35"/>
      <c r="G326" s="231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</row>
    <row r="327" ht="19.5" customHeight="1">
      <c r="B327" s="35"/>
      <c r="C327" s="35"/>
      <c r="D327" s="35"/>
      <c r="E327" s="231"/>
      <c r="F327" s="35"/>
      <c r="G327" s="231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</row>
    <row r="328" ht="19.5" customHeight="1">
      <c r="B328" s="35"/>
      <c r="C328" s="35"/>
      <c r="D328" s="35"/>
      <c r="E328" s="231"/>
      <c r="F328" s="35"/>
      <c r="G328" s="231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</row>
    <row r="329" ht="19.5" customHeight="1">
      <c r="B329" s="35"/>
      <c r="C329" s="35"/>
      <c r="D329" s="35"/>
      <c r="E329" s="231"/>
      <c r="F329" s="35"/>
      <c r="G329" s="231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</row>
    <row r="330" ht="19.5" customHeight="1">
      <c r="B330" s="35"/>
      <c r="C330" s="35"/>
      <c r="D330" s="35"/>
      <c r="E330" s="231"/>
      <c r="F330" s="35"/>
      <c r="G330" s="231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</row>
    <row r="331" ht="19.5" customHeight="1">
      <c r="B331" s="35"/>
      <c r="C331" s="35"/>
      <c r="D331" s="35"/>
      <c r="E331" s="231"/>
      <c r="F331" s="35"/>
      <c r="G331" s="231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</row>
    <row r="332" ht="19.5" customHeight="1">
      <c r="B332" s="35"/>
      <c r="C332" s="35"/>
      <c r="D332" s="35"/>
      <c r="E332" s="231"/>
      <c r="F332" s="35"/>
      <c r="G332" s="231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</row>
    <row r="333" ht="19.5" customHeight="1">
      <c r="B333" s="35"/>
      <c r="C333" s="35"/>
      <c r="D333" s="35"/>
      <c r="E333" s="231"/>
      <c r="F333" s="35"/>
      <c r="G333" s="231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</row>
    <row r="334" ht="19.5" customHeight="1">
      <c r="B334" s="35"/>
      <c r="C334" s="35"/>
      <c r="D334" s="35"/>
      <c r="E334" s="231"/>
      <c r="F334" s="35"/>
      <c r="G334" s="231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</row>
    <row r="335" ht="19.5" customHeight="1">
      <c r="B335" s="35"/>
      <c r="C335" s="35"/>
      <c r="D335" s="35"/>
      <c r="E335" s="231"/>
      <c r="F335" s="35"/>
      <c r="G335" s="231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</row>
    <row r="336" ht="19.5" customHeight="1">
      <c r="B336" s="35"/>
      <c r="C336" s="35"/>
      <c r="D336" s="35"/>
      <c r="E336" s="231"/>
      <c r="F336" s="35"/>
      <c r="G336" s="231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</row>
    <row r="337" ht="19.5" customHeight="1">
      <c r="B337" s="35"/>
      <c r="C337" s="35"/>
      <c r="D337" s="35"/>
      <c r="E337" s="231"/>
      <c r="F337" s="35"/>
      <c r="G337" s="231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</row>
    <row r="338" ht="19.5" customHeight="1">
      <c r="B338" s="35"/>
      <c r="C338" s="35"/>
      <c r="D338" s="35"/>
      <c r="E338" s="231"/>
      <c r="F338" s="35"/>
      <c r="G338" s="231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</row>
    <row r="339" ht="19.5" customHeight="1">
      <c r="B339" s="35"/>
      <c r="C339" s="35"/>
      <c r="D339" s="35"/>
      <c r="E339" s="231"/>
      <c r="F339" s="35"/>
      <c r="G339" s="231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</row>
    <row r="340" ht="19.5" customHeight="1">
      <c r="B340" s="35"/>
      <c r="C340" s="35"/>
      <c r="D340" s="35"/>
      <c r="E340" s="231"/>
      <c r="F340" s="35"/>
      <c r="G340" s="231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</row>
    <row r="341" ht="19.5" customHeight="1">
      <c r="B341" s="35"/>
      <c r="C341" s="35"/>
      <c r="D341" s="35"/>
      <c r="E341" s="231"/>
      <c r="F341" s="35"/>
      <c r="G341" s="231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</row>
    <row r="342" ht="19.5" customHeight="1">
      <c r="B342" s="35"/>
      <c r="C342" s="35"/>
      <c r="D342" s="35"/>
      <c r="E342" s="231"/>
      <c r="F342" s="35"/>
      <c r="G342" s="231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</row>
    <row r="343" ht="19.5" customHeight="1">
      <c r="B343" s="35"/>
      <c r="C343" s="35"/>
      <c r="D343" s="35"/>
      <c r="E343" s="231"/>
      <c r="F343" s="35"/>
      <c r="G343" s="231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</row>
    <row r="344" ht="19.5" customHeight="1">
      <c r="B344" s="35"/>
      <c r="C344" s="35"/>
      <c r="D344" s="35"/>
      <c r="E344" s="231"/>
      <c r="F344" s="35"/>
      <c r="G344" s="231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</row>
    <row r="345" ht="19.5" customHeight="1">
      <c r="B345" s="35"/>
      <c r="C345" s="35"/>
      <c r="D345" s="35"/>
      <c r="E345" s="231"/>
      <c r="F345" s="35"/>
      <c r="G345" s="231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</row>
    <row r="346" ht="19.5" customHeight="1">
      <c r="B346" s="35"/>
      <c r="C346" s="35"/>
      <c r="D346" s="35"/>
      <c r="E346" s="231"/>
      <c r="F346" s="35"/>
      <c r="G346" s="231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</row>
    <row r="347" ht="19.5" customHeight="1">
      <c r="B347" s="35"/>
      <c r="C347" s="35"/>
      <c r="D347" s="35"/>
      <c r="E347" s="231"/>
      <c r="F347" s="35"/>
      <c r="G347" s="231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</row>
    <row r="348" ht="19.5" customHeight="1">
      <c r="B348" s="35"/>
      <c r="C348" s="35"/>
      <c r="D348" s="35"/>
      <c r="E348" s="231"/>
      <c r="F348" s="35"/>
      <c r="G348" s="231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</row>
    <row r="349" ht="19.5" customHeight="1">
      <c r="B349" s="35"/>
      <c r="C349" s="35"/>
      <c r="D349" s="35"/>
      <c r="E349" s="231"/>
      <c r="F349" s="35"/>
      <c r="G349" s="231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</row>
    <row r="350" ht="19.5" customHeight="1">
      <c r="B350" s="35"/>
      <c r="C350" s="35"/>
      <c r="D350" s="35"/>
      <c r="E350" s="231"/>
      <c r="F350" s="35"/>
      <c r="G350" s="231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</row>
    <row r="351" ht="19.5" customHeight="1">
      <c r="B351" s="35"/>
      <c r="C351" s="35"/>
      <c r="D351" s="35"/>
      <c r="E351" s="231"/>
      <c r="F351" s="35"/>
      <c r="G351" s="231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</row>
    <row r="352" ht="19.5" customHeight="1">
      <c r="B352" s="35"/>
      <c r="C352" s="35"/>
      <c r="D352" s="35"/>
      <c r="E352" s="231"/>
      <c r="F352" s="35"/>
      <c r="G352" s="231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</row>
    <row r="353" ht="19.5" customHeight="1">
      <c r="B353" s="35"/>
      <c r="C353" s="35"/>
      <c r="D353" s="35"/>
      <c r="E353" s="231"/>
      <c r="F353" s="35"/>
      <c r="G353" s="231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</row>
    <row r="354" ht="19.5" customHeight="1">
      <c r="B354" s="35"/>
      <c r="C354" s="35"/>
      <c r="D354" s="35"/>
      <c r="E354" s="231"/>
      <c r="F354" s="35"/>
      <c r="G354" s="231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</row>
    <row r="355" ht="19.5" customHeight="1">
      <c r="B355" s="35"/>
      <c r="C355" s="35"/>
      <c r="D355" s="35"/>
      <c r="E355" s="231"/>
      <c r="F355" s="35"/>
      <c r="G355" s="231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</row>
    <row r="356" ht="19.5" customHeight="1">
      <c r="B356" s="35"/>
      <c r="C356" s="35"/>
      <c r="D356" s="35"/>
      <c r="E356" s="231"/>
      <c r="F356" s="35"/>
      <c r="G356" s="231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</row>
    <row r="357" ht="19.5" customHeight="1">
      <c r="B357" s="35"/>
      <c r="C357" s="35"/>
      <c r="D357" s="35"/>
      <c r="E357" s="231"/>
      <c r="F357" s="35"/>
      <c r="G357" s="231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</row>
    <row r="358" ht="19.5" customHeight="1">
      <c r="B358" s="35"/>
      <c r="C358" s="35"/>
      <c r="D358" s="35"/>
      <c r="E358" s="231"/>
      <c r="F358" s="35"/>
      <c r="G358" s="231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</row>
    <row r="359" ht="19.5" customHeight="1">
      <c r="B359" s="35"/>
      <c r="C359" s="35"/>
      <c r="D359" s="35"/>
      <c r="E359" s="231"/>
      <c r="F359" s="35"/>
      <c r="G359" s="231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</row>
    <row r="360" ht="19.5" customHeight="1">
      <c r="B360" s="35"/>
      <c r="C360" s="35"/>
      <c r="D360" s="35"/>
      <c r="E360" s="231"/>
      <c r="F360" s="35"/>
      <c r="G360" s="231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</row>
    <row r="361" ht="19.5" customHeight="1">
      <c r="B361" s="35"/>
      <c r="C361" s="35"/>
      <c r="D361" s="35"/>
      <c r="E361" s="231"/>
      <c r="F361" s="35"/>
      <c r="G361" s="231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</row>
    <row r="362" ht="19.5" customHeight="1">
      <c r="B362" s="35"/>
      <c r="C362" s="35"/>
      <c r="D362" s="35"/>
      <c r="E362" s="231"/>
      <c r="F362" s="35"/>
      <c r="G362" s="231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</row>
    <row r="363" ht="19.5" customHeight="1">
      <c r="B363" s="35"/>
      <c r="C363" s="35"/>
      <c r="D363" s="35"/>
      <c r="E363" s="231"/>
      <c r="F363" s="35"/>
      <c r="G363" s="231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</row>
    <row r="364" ht="19.5" customHeight="1">
      <c r="B364" s="35"/>
      <c r="C364" s="35"/>
      <c r="D364" s="35"/>
      <c r="E364" s="231"/>
      <c r="F364" s="35"/>
      <c r="G364" s="231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</row>
    <row r="365" ht="19.5" customHeight="1">
      <c r="B365" s="35"/>
      <c r="C365" s="35"/>
      <c r="D365" s="35"/>
      <c r="E365" s="231"/>
      <c r="F365" s="35"/>
      <c r="G365" s="231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</row>
    <row r="366" ht="19.5" customHeight="1">
      <c r="B366" s="35"/>
      <c r="C366" s="35"/>
      <c r="D366" s="35"/>
      <c r="E366" s="231"/>
      <c r="F366" s="35"/>
      <c r="G366" s="231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</row>
    <row r="367" ht="19.5" customHeight="1">
      <c r="B367" s="35"/>
      <c r="C367" s="35"/>
      <c r="D367" s="35"/>
      <c r="E367" s="231"/>
      <c r="F367" s="35"/>
      <c r="G367" s="231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</row>
    <row r="368" ht="19.5" customHeight="1">
      <c r="B368" s="35"/>
      <c r="C368" s="35"/>
      <c r="D368" s="35"/>
      <c r="E368" s="231"/>
      <c r="F368" s="35"/>
      <c r="G368" s="231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</row>
    <row r="369" ht="19.5" customHeight="1">
      <c r="B369" s="35"/>
      <c r="C369" s="35"/>
      <c r="D369" s="35"/>
      <c r="E369" s="231"/>
      <c r="F369" s="35"/>
      <c r="G369" s="231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</row>
    <row r="370" ht="19.5" customHeight="1">
      <c r="B370" s="35"/>
      <c r="C370" s="35"/>
      <c r="D370" s="35"/>
      <c r="E370" s="231"/>
      <c r="F370" s="35"/>
      <c r="G370" s="231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</row>
    <row r="371" ht="19.5" customHeight="1">
      <c r="B371" s="35"/>
      <c r="C371" s="35"/>
      <c r="D371" s="35"/>
      <c r="E371" s="231"/>
      <c r="F371" s="35"/>
      <c r="G371" s="231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</row>
    <row r="372" ht="19.5" customHeight="1">
      <c r="B372" s="35"/>
      <c r="C372" s="35"/>
      <c r="D372" s="35"/>
      <c r="E372" s="231"/>
      <c r="F372" s="35"/>
      <c r="G372" s="231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</row>
    <row r="373" ht="19.5" customHeight="1">
      <c r="B373" s="35"/>
      <c r="C373" s="35"/>
      <c r="D373" s="35"/>
      <c r="E373" s="231"/>
      <c r="F373" s="35"/>
      <c r="G373" s="231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</row>
    <row r="374" ht="19.5" customHeight="1">
      <c r="B374" s="35"/>
      <c r="C374" s="35"/>
      <c r="D374" s="35"/>
      <c r="E374" s="231"/>
      <c r="F374" s="35"/>
      <c r="G374" s="231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</row>
    <row r="375" ht="19.5" customHeight="1">
      <c r="B375" s="35"/>
      <c r="C375" s="35"/>
      <c r="D375" s="35"/>
      <c r="E375" s="231"/>
      <c r="F375" s="35"/>
      <c r="G375" s="231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</row>
    <row r="376" ht="19.5" customHeight="1">
      <c r="B376" s="35"/>
      <c r="C376" s="35"/>
      <c r="D376" s="35"/>
      <c r="E376" s="231"/>
      <c r="F376" s="35"/>
      <c r="G376" s="231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</row>
    <row r="377" ht="19.5" customHeight="1">
      <c r="B377" s="35"/>
      <c r="C377" s="35"/>
      <c r="D377" s="35"/>
      <c r="E377" s="231"/>
      <c r="F377" s="35"/>
      <c r="G377" s="231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</row>
    <row r="378" ht="19.5" customHeight="1">
      <c r="B378" s="35"/>
      <c r="C378" s="35"/>
      <c r="D378" s="35"/>
      <c r="E378" s="231"/>
      <c r="F378" s="35"/>
      <c r="G378" s="231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</row>
    <row r="379" ht="19.5" customHeight="1">
      <c r="B379" s="35"/>
      <c r="C379" s="35"/>
      <c r="D379" s="35"/>
      <c r="E379" s="231"/>
      <c r="F379" s="35"/>
      <c r="G379" s="231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</row>
    <row r="380" ht="19.5" customHeight="1">
      <c r="B380" s="35"/>
      <c r="C380" s="35"/>
      <c r="D380" s="35"/>
      <c r="E380" s="231"/>
      <c r="F380" s="35"/>
      <c r="G380" s="231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</row>
    <row r="381" ht="19.5" customHeight="1">
      <c r="B381" s="35"/>
      <c r="C381" s="35"/>
      <c r="D381" s="35"/>
      <c r="E381" s="231"/>
      <c r="F381" s="35"/>
      <c r="G381" s="231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</row>
    <row r="382" ht="19.5" customHeight="1">
      <c r="B382" s="35"/>
      <c r="C382" s="35"/>
      <c r="D382" s="35"/>
      <c r="E382" s="231"/>
      <c r="F382" s="35"/>
      <c r="G382" s="231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</row>
    <row r="383" ht="19.5" customHeight="1">
      <c r="B383" s="35"/>
      <c r="C383" s="35"/>
      <c r="D383" s="35"/>
      <c r="E383" s="231"/>
      <c r="F383" s="35"/>
      <c r="G383" s="231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</row>
    <row r="384" ht="19.5" customHeight="1">
      <c r="B384" s="35"/>
      <c r="C384" s="35"/>
      <c r="D384" s="35"/>
      <c r="E384" s="231"/>
      <c r="F384" s="35"/>
      <c r="G384" s="231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</row>
    <row r="385" ht="19.5" customHeight="1">
      <c r="B385" s="35"/>
      <c r="C385" s="35"/>
      <c r="D385" s="35"/>
      <c r="E385" s="231"/>
      <c r="F385" s="35"/>
      <c r="G385" s="231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</row>
    <row r="386" ht="19.5" customHeight="1">
      <c r="B386" s="35"/>
      <c r="C386" s="35"/>
      <c r="D386" s="35"/>
      <c r="E386" s="231"/>
      <c r="F386" s="35"/>
      <c r="G386" s="231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</row>
    <row r="387" ht="19.5" customHeight="1">
      <c r="B387" s="35"/>
      <c r="C387" s="35"/>
      <c r="D387" s="35"/>
      <c r="E387" s="231"/>
      <c r="F387" s="35"/>
      <c r="G387" s="231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</row>
    <row r="388" ht="19.5" customHeight="1">
      <c r="B388" s="35"/>
      <c r="C388" s="35"/>
      <c r="D388" s="35"/>
      <c r="E388" s="231"/>
      <c r="F388" s="35"/>
      <c r="G388" s="231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</row>
    <row r="389" ht="19.5" customHeight="1">
      <c r="B389" s="35"/>
      <c r="C389" s="35"/>
      <c r="D389" s="35"/>
      <c r="E389" s="231"/>
      <c r="F389" s="35"/>
      <c r="G389" s="231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</row>
    <row r="390" ht="19.5" customHeight="1">
      <c r="B390" s="35"/>
      <c r="C390" s="35"/>
      <c r="D390" s="35"/>
      <c r="E390" s="231"/>
      <c r="F390" s="35"/>
      <c r="G390" s="231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</row>
    <row r="391" ht="19.5" customHeight="1">
      <c r="B391" s="35"/>
      <c r="C391" s="35"/>
      <c r="D391" s="35"/>
      <c r="E391" s="231"/>
      <c r="F391" s="35"/>
      <c r="G391" s="231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</row>
    <row r="392" ht="19.5" customHeight="1">
      <c r="B392" s="35"/>
      <c r="C392" s="35"/>
      <c r="D392" s="35"/>
      <c r="E392" s="231"/>
      <c r="F392" s="35"/>
      <c r="G392" s="231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</row>
    <row r="393" ht="19.5" customHeight="1">
      <c r="B393" s="35"/>
      <c r="C393" s="35"/>
      <c r="D393" s="35"/>
      <c r="E393" s="231"/>
      <c r="F393" s="35"/>
      <c r="G393" s="231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</row>
    <row r="394" ht="19.5" customHeight="1">
      <c r="B394" s="35"/>
      <c r="C394" s="35"/>
      <c r="D394" s="35"/>
      <c r="E394" s="231"/>
      <c r="F394" s="35"/>
      <c r="G394" s="231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</row>
    <row r="395" ht="19.5" customHeight="1">
      <c r="B395" s="35"/>
      <c r="C395" s="35"/>
      <c r="D395" s="35"/>
      <c r="E395" s="231"/>
      <c r="F395" s="35"/>
      <c r="G395" s="231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</row>
    <row r="396" ht="19.5" customHeight="1">
      <c r="B396" s="35"/>
      <c r="C396" s="35"/>
      <c r="D396" s="35"/>
      <c r="E396" s="231"/>
      <c r="F396" s="35"/>
      <c r="G396" s="231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</row>
    <row r="397" ht="19.5" customHeight="1">
      <c r="B397" s="35"/>
      <c r="C397" s="35"/>
      <c r="D397" s="35"/>
      <c r="E397" s="231"/>
      <c r="F397" s="35"/>
      <c r="G397" s="231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</row>
    <row r="398" ht="19.5" customHeight="1">
      <c r="B398" s="35"/>
      <c r="C398" s="35"/>
      <c r="D398" s="35"/>
      <c r="E398" s="231"/>
      <c r="F398" s="35"/>
      <c r="G398" s="231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</row>
    <row r="399" ht="19.5" customHeight="1">
      <c r="B399" s="35"/>
      <c r="C399" s="35"/>
      <c r="D399" s="35"/>
      <c r="E399" s="231"/>
      <c r="F399" s="35"/>
      <c r="G399" s="231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</row>
    <row r="400" ht="19.5" customHeight="1">
      <c r="B400" s="35"/>
      <c r="C400" s="35"/>
      <c r="D400" s="35"/>
      <c r="E400" s="231"/>
      <c r="F400" s="35"/>
      <c r="G400" s="231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</row>
    <row r="401" ht="19.5" customHeight="1">
      <c r="B401" s="35"/>
      <c r="C401" s="35"/>
      <c r="D401" s="35"/>
      <c r="E401" s="231"/>
      <c r="F401" s="35"/>
      <c r="G401" s="231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</row>
    <row r="402" ht="19.5" customHeight="1">
      <c r="B402" s="35"/>
      <c r="C402" s="35"/>
      <c r="D402" s="35"/>
      <c r="E402" s="231"/>
      <c r="F402" s="35"/>
      <c r="G402" s="231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</row>
    <row r="403" ht="19.5" customHeight="1">
      <c r="B403" s="35"/>
      <c r="C403" s="35"/>
      <c r="D403" s="35"/>
      <c r="E403" s="231"/>
      <c r="F403" s="35"/>
      <c r="G403" s="231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</row>
    <row r="404" ht="19.5" customHeight="1">
      <c r="B404" s="35"/>
      <c r="C404" s="35"/>
      <c r="D404" s="35"/>
      <c r="E404" s="231"/>
      <c r="F404" s="35"/>
      <c r="G404" s="231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</row>
    <row r="405" ht="19.5" customHeight="1">
      <c r="B405" s="35"/>
      <c r="C405" s="35"/>
      <c r="D405" s="35"/>
      <c r="E405" s="231"/>
      <c r="F405" s="35"/>
      <c r="G405" s="231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</row>
    <row r="406" ht="19.5" customHeight="1">
      <c r="B406" s="35"/>
      <c r="C406" s="35"/>
      <c r="D406" s="35"/>
      <c r="E406" s="231"/>
      <c r="F406" s="35"/>
      <c r="G406" s="231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</row>
    <row r="407" ht="19.5" customHeight="1">
      <c r="B407" s="35"/>
      <c r="C407" s="35"/>
      <c r="D407" s="35"/>
      <c r="E407" s="231"/>
      <c r="F407" s="35"/>
      <c r="G407" s="231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</row>
    <row r="408" ht="19.5" customHeight="1">
      <c r="B408" s="35"/>
      <c r="C408" s="35"/>
      <c r="D408" s="35"/>
      <c r="E408" s="231"/>
      <c r="F408" s="35"/>
      <c r="G408" s="231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</row>
    <row r="409" ht="19.5" customHeight="1">
      <c r="B409" s="35"/>
      <c r="C409" s="35"/>
      <c r="D409" s="35"/>
      <c r="E409" s="231"/>
      <c r="F409" s="35"/>
      <c r="G409" s="231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</row>
    <row r="410" ht="19.5" customHeight="1">
      <c r="B410" s="35"/>
      <c r="C410" s="35"/>
      <c r="D410" s="35"/>
      <c r="E410" s="231"/>
      <c r="F410" s="35"/>
      <c r="G410" s="231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</row>
    <row r="411" ht="19.5" customHeight="1">
      <c r="B411" s="35"/>
      <c r="C411" s="35"/>
      <c r="D411" s="35"/>
      <c r="E411" s="231"/>
      <c r="F411" s="35"/>
      <c r="G411" s="231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</row>
    <row r="412" ht="19.5" customHeight="1">
      <c r="B412" s="35"/>
      <c r="C412" s="35"/>
      <c r="D412" s="35"/>
      <c r="E412" s="231"/>
      <c r="F412" s="35"/>
      <c r="G412" s="231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</row>
    <row r="413" ht="19.5" customHeight="1">
      <c r="B413" s="35"/>
      <c r="C413" s="35"/>
      <c r="D413" s="35"/>
      <c r="E413" s="231"/>
      <c r="F413" s="35"/>
      <c r="G413" s="231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</row>
    <row r="414" ht="19.5" customHeight="1">
      <c r="B414" s="35"/>
      <c r="C414" s="35"/>
      <c r="D414" s="35"/>
      <c r="E414" s="231"/>
      <c r="F414" s="35"/>
      <c r="G414" s="231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</row>
    <row r="415" ht="19.5" customHeight="1">
      <c r="B415" s="35"/>
      <c r="C415" s="35"/>
      <c r="D415" s="35"/>
      <c r="E415" s="231"/>
      <c r="F415" s="35"/>
      <c r="G415" s="231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</row>
    <row r="416" ht="19.5" customHeight="1">
      <c r="B416" s="35"/>
      <c r="C416" s="35"/>
      <c r="D416" s="35"/>
      <c r="E416" s="231"/>
      <c r="F416" s="35"/>
      <c r="G416" s="231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</row>
    <row r="417" ht="19.5" customHeight="1">
      <c r="B417" s="35"/>
      <c r="C417" s="35"/>
      <c r="D417" s="35"/>
      <c r="E417" s="231"/>
      <c r="F417" s="35"/>
      <c r="G417" s="231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</row>
    <row r="418" ht="19.5" customHeight="1">
      <c r="B418" s="35"/>
      <c r="C418" s="35"/>
      <c r="D418" s="35"/>
      <c r="E418" s="231"/>
      <c r="F418" s="35"/>
      <c r="G418" s="231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</row>
    <row r="419" ht="19.5" customHeight="1">
      <c r="B419" s="35"/>
      <c r="C419" s="35"/>
      <c r="D419" s="35"/>
      <c r="E419" s="231"/>
      <c r="F419" s="35"/>
      <c r="G419" s="231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</row>
    <row r="420" ht="19.5" customHeight="1">
      <c r="B420" s="35"/>
      <c r="C420" s="35"/>
      <c r="D420" s="35"/>
      <c r="E420" s="231"/>
      <c r="F420" s="35"/>
      <c r="G420" s="231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</row>
    <row r="421" ht="19.5" customHeight="1">
      <c r="B421" s="35"/>
      <c r="C421" s="35"/>
      <c r="D421" s="35"/>
      <c r="E421" s="231"/>
      <c r="F421" s="35"/>
      <c r="G421" s="231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</row>
    <row r="422" ht="19.5" customHeight="1">
      <c r="B422" s="35"/>
      <c r="C422" s="35"/>
      <c r="D422" s="35"/>
      <c r="E422" s="231"/>
      <c r="F422" s="35"/>
      <c r="G422" s="231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</row>
    <row r="423" ht="19.5" customHeight="1">
      <c r="B423" s="35"/>
      <c r="C423" s="35"/>
      <c r="D423" s="35"/>
      <c r="E423" s="231"/>
      <c r="F423" s="35"/>
      <c r="G423" s="231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</row>
    <row r="424" ht="19.5" customHeight="1">
      <c r="B424" s="35"/>
      <c r="C424" s="35"/>
      <c r="D424" s="35"/>
      <c r="E424" s="231"/>
      <c r="F424" s="35"/>
      <c r="G424" s="231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</row>
    <row r="425" ht="19.5" customHeight="1">
      <c r="B425" s="35"/>
      <c r="C425" s="35"/>
      <c r="D425" s="35"/>
      <c r="E425" s="231"/>
      <c r="F425" s="35"/>
      <c r="G425" s="231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</row>
    <row r="426" ht="19.5" customHeight="1">
      <c r="B426" s="35"/>
      <c r="C426" s="35"/>
      <c r="D426" s="35"/>
      <c r="E426" s="231"/>
      <c r="F426" s="35"/>
      <c r="G426" s="231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</row>
    <row r="427" ht="19.5" customHeight="1">
      <c r="B427" s="35"/>
      <c r="C427" s="35"/>
      <c r="D427" s="35"/>
      <c r="E427" s="231"/>
      <c r="F427" s="35"/>
      <c r="G427" s="231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</row>
    <row r="428" ht="19.5" customHeight="1">
      <c r="B428" s="35"/>
      <c r="C428" s="35"/>
      <c r="D428" s="35"/>
      <c r="E428" s="231"/>
      <c r="F428" s="35"/>
      <c r="G428" s="231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</row>
    <row r="429" ht="19.5" customHeight="1">
      <c r="B429" s="35"/>
      <c r="C429" s="35"/>
      <c r="D429" s="35"/>
      <c r="E429" s="231"/>
      <c r="F429" s="35"/>
      <c r="G429" s="231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</row>
    <row r="430" ht="19.5" customHeight="1">
      <c r="B430" s="35"/>
      <c r="C430" s="35"/>
      <c r="D430" s="35"/>
      <c r="E430" s="231"/>
      <c r="F430" s="35"/>
      <c r="G430" s="231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</row>
    <row r="431" ht="19.5" customHeight="1">
      <c r="B431" s="35"/>
      <c r="C431" s="35"/>
      <c r="D431" s="35"/>
      <c r="E431" s="231"/>
      <c r="F431" s="35"/>
      <c r="G431" s="231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</row>
    <row r="432" ht="19.5" customHeight="1">
      <c r="B432" s="35"/>
      <c r="C432" s="35"/>
      <c r="D432" s="35"/>
      <c r="E432" s="231"/>
      <c r="F432" s="35"/>
      <c r="G432" s="231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</row>
    <row r="433" ht="19.5" customHeight="1">
      <c r="B433" s="35"/>
      <c r="C433" s="35"/>
      <c r="D433" s="35"/>
      <c r="E433" s="231"/>
      <c r="F433" s="35"/>
      <c r="G433" s="231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</row>
    <row r="434" ht="19.5" customHeight="1">
      <c r="B434" s="35"/>
      <c r="C434" s="35"/>
      <c r="D434" s="35"/>
      <c r="E434" s="231"/>
      <c r="F434" s="35"/>
      <c r="G434" s="231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</row>
    <row r="435" ht="19.5" customHeight="1">
      <c r="B435" s="35"/>
      <c r="C435" s="35"/>
      <c r="D435" s="35"/>
      <c r="E435" s="231"/>
      <c r="F435" s="35"/>
      <c r="G435" s="231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</row>
    <row r="436" ht="19.5" customHeight="1">
      <c r="B436" s="35"/>
      <c r="C436" s="35"/>
      <c r="D436" s="35"/>
      <c r="E436" s="231"/>
      <c r="F436" s="35"/>
      <c r="G436" s="231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</row>
    <row r="437" ht="19.5" customHeight="1">
      <c r="B437" s="35"/>
      <c r="C437" s="35"/>
      <c r="D437" s="35"/>
      <c r="E437" s="231"/>
      <c r="F437" s="35"/>
      <c r="G437" s="231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</row>
    <row r="438" ht="19.5" customHeight="1">
      <c r="B438" s="35"/>
      <c r="C438" s="35"/>
      <c r="D438" s="35"/>
      <c r="E438" s="231"/>
      <c r="F438" s="35"/>
      <c r="G438" s="231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</row>
    <row r="439" ht="19.5" customHeight="1">
      <c r="B439" s="35"/>
      <c r="C439" s="35"/>
      <c r="D439" s="35"/>
      <c r="E439" s="231"/>
      <c r="F439" s="35"/>
      <c r="G439" s="231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</row>
    <row r="440" ht="19.5" customHeight="1">
      <c r="B440" s="35"/>
      <c r="C440" s="35"/>
      <c r="D440" s="35"/>
      <c r="E440" s="231"/>
      <c r="F440" s="35"/>
      <c r="G440" s="231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</row>
    <row r="441" ht="19.5" customHeight="1">
      <c r="B441" s="35"/>
      <c r="C441" s="35"/>
      <c r="D441" s="35"/>
      <c r="E441" s="231"/>
      <c r="F441" s="35"/>
      <c r="G441" s="231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</row>
    <row r="442" ht="19.5" customHeight="1">
      <c r="B442" s="35"/>
      <c r="C442" s="35"/>
      <c r="D442" s="35"/>
      <c r="E442" s="231"/>
      <c r="F442" s="35"/>
      <c r="G442" s="231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</row>
    <row r="443" ht="19.5" customHeight="1">
      <c r="B443" s="35"/>
      <c r="C443" s="35"/>
      <c r="D443" s="35"/>
      <c r="E443" s="231"/>
      <c r="F443" s="35"/>
      <c r="G443" s="231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</row>
    <row r="444" ht="19.5" customHeight="1">
      <c r="B444" s="35"/>
      <c r="C444" s="35"/>
      <c r="D444" s="35"/>
      <c r="E444" s="231"/>
      <c r="F444" s="35"/>
      <c r="G444" s="231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</row>
    <row r="445" ht="19.5" customHeight="1">
      <c r="B445" s="35"/>
      <c r="C445" s="35"/>
      <c r="D445" s="35"/>
      <c r="E445" s="231"/>
      <c r="F445" s="35"/>
      <c r="G445" s="231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</row>
    <row r="446" ht="19.5" customHeight="1">
      <c r="B446" s="35"/>
      <c r="C446" s="35"/>
      <c r="D446" s="35"/>
      <c r="E446" s="231"/>
      <c r="F446" s="35"/>
      <c r="G446" s="231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</row>
    <row r="447" ht="19.5" customHeight="1">
      <c r="B447" s="35"/>
      <c r="C447" s="35"/>
      <c r="D447" s="35"/>
      <c r="E447" s="231"/>
      <c r="F447" s="35"/>
      <c r="G447" s="231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</row>
    <row r="448" ht="19.5" customHeight="1">
      <c r="B448" s="35"/>
      <c r="C448" s="35"/>
      <c r="D448" s="35"/>
      <c r="E448" s="231"/>
      <c r="F448" s="35"/>
      <c r="G448" s="231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</row>
    <row r="449" ht="19.5" customHeight="1">
      <c r="B449" s="35"/>
      <c r="C449" s="35"/>
      <c r="D449" s="35"/>
      <c r="E449" s="231"/>
      <c r="F449" s="35"/>
      <c r="G449" s="231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</row>
    <row r="450" ht="19.5" customHeight="1">
      <c r="B450" s="35"/>
      <c r="C450" s="35"/>
      <c r="D450" s="35"/>
      <c r="E450" s="231"/>
      <c r="F450" s="35"/>
      <c r="G450" s="231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</row>
    <row r="451" ht="19.5" customHeight="1">
      <c r="B451" s="35"/>
      <c r="C451" s="35"/>
      <c r="D451" s="35"/>
      <c r="E451" s="231"/>
      <c r="F451" s="35"/>
      <c r="G451" s="231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</row>
    <row r="452" ht="19.5" customHeight="1">
      <c r="B452" s="35"/>
      <c r="C452" s="35"/>
      <c r="D452" s="35"/>
      <c r="E452" s="231"/>
      <c r="F452" s="35"/>
      <c r="G452" s="231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</row>
    <row r="453" ht="19.5" customHeight="1">
      <c r="B453" s="35"/>
      <c r="C453" s="35"/>
      <c r="D453" s="35"/>
      <c r="E453" s="231"/>
      <c r="F453" s="35"/>
      <c r="G453" s="231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</row>
    <row r="454" ht="19.5" customHeight="1">
      <c r="B454" s="35"/>
      <c r="C454" s="35"/>
      <c r="D454" s="35"/>
      <c r="E454" s="231"/>
      <c r="F454" s="35"/>
      <c r="G454" s="231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</row>
    <row r="455" ht="19.5" customHeight="1">
      <c r="B455" s="35"/>
      <c r="C455" s="35"/>
      <c r="D455" s="35"/>
      <c r="E455" s="231"/>
      <c r="F455" s="35"/>
      <c r="G455" s="231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</row>
    <row r="456" ht="19.5" customHeight="1">
      <c r="B456" s="35"/>
      <c r="C456" s="35"/>
      <c r="D456" s="35"/>
      <c r="E456" s="231"/>
      <c r="F456" s="35"/>
      <c r="G456" s="231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</row>
    <row r="457" ht="19.5" customHeight="1">
      <c r="B457" s="35"/>
      <c r="C457" s="35"/>
      <c r="D457" s="35"/>
      <c r="E457" s="231"/>
      <c r="F457" s="35"/>
      <c r="G457" s="231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</row>
    <row r="458" ht="19.5" customHeight="1">
      <c r="B458" s="35"/>
      <c r="C458" s="35"/>
      <c r="D458" s="35"/>
      <c r="E458" s="231"/>
      <c r="F458" s="35"/>
      <c r="G458" s="231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</row>
    <row r="459" ht="19.5" customHeight="1">
      <c r="B459" s="35"/>
      <c r="C459" s="35"/>
      <c r="D459" s="35"/>
      <c r="E459" s="231"/>
      <c r="F459" s="35"/>
      <c r="G459" s="231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</row>
    <row r="460" ht="19.5" customHeight="1">
      <c r="B460" s="35"/>
      <c r="C460" s="35"/>
      <c r="D460" s="35"/>
      <c r="E460" s="231"/>
      <c r="F460" s="35"/>
      <c r="G460" s="231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</row>
    <row r="461" ht="19.5" customHeight="1">
      <c r="B461" s="35"/>
      <c r="C461" s="35"/>
      <c r="D461" s="35"/>
      <c r="E461" s="231"/>
      <c r="F461" s="35"/>
      <c r="G461" s="231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</row>
    <row r="462" ht="19.5" customHeight="1">
      <c r="B462" s="35"/>
      <c r="C462" s="35"/>
      <c r="D462" s="35"/>
      <c r="E462" s="231"/>
      <c r="F462" s="35"/>
      <c r="G462" s="231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</row>
    <row r="463" ht="19.5" customHeight="1">
      <c r="B463" s="35"/>
      <c r="C463" s="35"/>
      <c r="D463" s="35"/>
      <c r="E463" s="231"/>
      <c r="F463" s="35"/>
      <c r="G463" s="231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</row>
    <row r="464" ht="19.5" customHeight="1">
      <c r="B464" s="35"/>
      <c r="C464" s="35"/>
      <c r="D464" s="35"/>
      <c r="E464" s="231"/>
      <c r="F464" s="35"/>
      <c r="G464" s="231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</row>
    <row r="465" ht="19.5" customHeight="1">
      <c r="B465" s="35"/>
      <c r="C465" s="35"/>
      <c r="D465" s="35"/>
      <c r="E465" s="231"/>
      <c r="F465" s="35"/>
      <c r="G465" s="231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</row>
    <row r="466" ht="19.5" customHeight="1">
      <c r="B466" s="35"/>
      <c r="C466" s="35"/>
      <c r="D466" s="35"/>
      <c r="E466" s="231"/>
      <c r="F466" s="35"/>
      <c r="G466" s="231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</row>
    <row r="467" ht="19.5" customHeight="1">
      <c r="B467" s="35"/>
      <c r="C467" s="35"/>
      <c r="D467" s="35"/>
      <c r="E467" s="231"/>
      <c r="F467" s="35"/>
      <c r="G467" s="231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</row>
    <row r="468" ht="19.5" customHeight="1">
      <c r="B468" s="35"/>
      <c r="C468" s="35"/>
      <c r="D468" s="35"/>
      <c r="E468" s="231"/>
      <c r="F468" s="35"/>
      <c r="G468" s="231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</row>
    <row r="469" ht="19.5" customHeight="1">
      <c r="B469" s="35"/>
      <c r="C469" s="35"/>
      <c r="D469" s="35"/>
      <c r="E469" s="231"/>
      <c r="F469" s="35"/>
      <c r="G469" s="231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</row>
    <row r="470" ht="19.5" customHeight="1">
      <c r="B470" s="35"/>
      <c r="C470" s="35"/>
      <c r="D470" s="35"/>
      <c r="E470" s="231"/>
      <c r="F470" s="35"/>
      <c r="G470" s="231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</row>
    <row r="471" ht="19.5" customHeight="1">
      <c r="B471" s="35"/>
      <c r="C471" s="35"/>
      <c r="D471" s="35"/>
      <c r="E471" s="231"/>
      <c r="F471" s="35"/>
      <c r="G471" s="231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</row>
    <row r="472" ht="19.5" customHeight="1">
      <c r="B472" s="35"/>
      <c r="C472" s="35"/>
      <c r="D472" s="35"/>
      <c r="E472" s="231"/>
      <c r="F472" s="35"/>
      <c r="G472" s="231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</row>
    <row r="473" ht="19.5" customHeight="1">
      <c r="B473" s="35"/>
      <c r="C473" s="35"/>
      <c r="D473" s="35"/>
      <c r="E473" s="231"/>
      <c r="F473" s="35"/>
      <c r="G473" s="231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</row>
    <row r="474" ht="19.5" customHeight="1">
      <c r="B474" s="35"/>
      <c r="C474" s="35"/>
      <c r="D474" s="35"/>
      <c r="E474" s="231"/>
      <c r="F474" s="35"/>
      <c r="G474" s="231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</row>
    <row r="475" ht="19.5" customHeight="1">
      <c r="B475" s="35"/>
      <c r="C475" s="35"/>
      <c r="D475" s="35"/>
      <c r="E475" s="231"/>
      <c r="F475" s="35"/>
      <c r="G475" s="231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</row>
    <row r="476" ht="19.5" customHeight="1">
      <c r="B476" s="35"/>
      <c r="C476" s="35"/>
      <c r="D476" s="35"/>
      <c r="E476" s="231"/>
      <c r="F476" s="35"/>
      <c r="G476" s="231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</row>
    <row r="477" ht="19.5" customHeight="1">
      <c r="B477" s="35"/>
      <c r="C477" s="35"/>
      <c r="D477" s="35"/>
      <c r="E477" s="231"/>
      <c r="F477" s="35"/>
      <c r="G477" s="231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</row>
    <row r="478" ht="19.5" customHeight="1">
      <c r="B478" s="35"/>
      <c r="C478" s="35"/>
      <c r="D478" s="35"/>
      <c r="E478" s="231"/>
      <c r="F478" s="35"/>
      <c r="G478" s="231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</row>
    <row r="479" ht="19.5" customHeight="1">
      <c r="B479" s="35"/>
      <c r="C479" s="35"/>
      <c r="D479" s="35"/>
      <c r="E479" s="231"/>
      <c r="F479" s="35"/>
      <c r="G479" s="231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</row>
    <row r="480" ht="19.5" customHeight="1">
      <c r="B480" s="35"/>
      <c r="C480" s="35"/>
      <c r="D480" s="35"/>
      <c r="E480" s="231"/>
      <c r="F480" s="35"/>
      <c r="G480" s="231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</row>
    <row r="481" ht="19.5" customHeight="1">
      <c r="B481" s="35"/>
      <c r="C481" s="35"/>
      <c r="D481" s="35"/>
      <c r="E481" s="231"/>
      <c r="F481" s="35"/>
      <c r="G481" s="231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</row>
    <row r="482" ht="19.5" customHeight="1">
      <c r="B482" s="35"/>
      <c r="C482" s="35"/>
      <c r="D482" s="35"/>
      <c r="E482" s="231"/>
      <c r="F482" s="35"/>
      <c r="G482" s="231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</row>
    <row r="483" ht="19.5" customHeight="1">
      <c r="B483" s="35"/>
      <c r="C483" s="35"/>
      <c r="D483" s="35"/>
      <c r="E483" s="231"/>
      <c r="F483" s="35"/>
      <c r="G483" s="231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</row>
    <row r="484" ht="19.5" customHeight="1">
      <c r="B484" s="35"/>
      <c r="C484" s="35"/>
      <c r="D484" s="35"/>
      <c r="E484" s="231"/>
      <c r="F484" s="35"/>
      <c r="G484" s="231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</row>
    <row r="485" ht="19.5" customHeight="1">
      <c r="B485" s="35"/>
      <c r="C485" s="35"/>
      <c r="D485" s="35"/>
      <c r="E485" s="231"/>
      <c r="F485" s="35"/>
      <c r="G485" s="231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</row>
    <row r="486" ht="19.5" customHeight="1">
      <c r="B486" s="35"/>
      <c r="C486" s="35"/>
      <c r="D486" s="35"/>
      <c r="E486" s="231"/>
      <c r="F486" s="35"/>
      <c r="G486" s="231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</row>
    <row r="487" ht="19.5" customHeight="1">
      <c r="B487" s="35"/>
      <c r="C487" s="35"/>
      <c r="D487" s="35"/>
      <c r="E487" s="231"/>
      <c r="F487" s="35"/>
      <c r="G487" s="231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</row>
    <row r="488" ht="19.5" customHeight="1">
      <c r="B488" s="35"/>
      <c r="C488" s="35"/>
      <c r="D488" s="35"/>
      <c r="E488" s="231"/>
      <c r="F488" s="35"/>
      <c r="G488" s="231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</row>
    <row r="489" ht="19.5" customHeight="1">
      <c r="B489" s="35"/>
      <c r="C489" s="35"/>
      <c r="D489" s="35"/>
      <c r="E489" s="231"/>
      <c r="F489" s="35"/>
      <c r="G489" s="231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</row>
    <row r="490" ht="19.5" customHeight="1">
      <c r="B490" s="35"/>
      <c r="C490" s="35"/>
      <c r="D490" s="35"/>
      <c r="E490" s="231"/>
      <c r="F490" s="35"/>
      <c r="G490" s="231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</row>
    <row r="491" ht="19.5" customHeight="1">
      <c r="B491" s="35"/>
      <c r="C491" s="35"/>
      <c r="D491" s="35"/>
      <c r="E491" s="231"/>
      <c r="F491" s="35"/>
      <c r="G491" s="231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</row>
    <row r="492" ht="19.5" customHeight="1">
      <c r="B492" s="35"/>
      <c r="C492" s="35"/>
      <c r="D492" s="35"/>
      <c r="E492" s="231"/>
      <c r="F492" s="35"/>
      <c r="G492" s="231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</row>
    <row r="493" ht="19.5" customHeight="1">
      <c r="B493" s="35"/>
      <c r="C493" s="35"/>
      <c r="D493" s="35"/>
      <c r="E493" s="231"/>
      <c r="F493" s="35"/>
      <c r="G493" s="231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</row>
    <row r="494" ht="19.5" customHeight="1">
      <c r="B494" s="35"/>
      <c r="C494" s="35"/>
      <c r="D494" s="35"/>
      <c r="E494" s="231"/>
      <c r="F494" s="35"/>
      <c r="G494" s="231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</row>
    <row r="495" ht="19.5" customHeight="1">
      <c r="B495" s="35"/>
      <c r="C495" s="35"/>
      <c r="D495" s="35"/>
      <c r="E495" s="231"/>
      <c r="F495" s="35"/>
      <c r="G495" s="231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</row>
    <row r="496" ht="19.5" customHeight="1">
      <c r="B496" s="35"/>
      <c r="C496" s="35"/>
      <c r="D496" s="35"/>
      <c r="E496" s="231"/>
      <c r="F496" s="35"/>
      <c r="G496" s="231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</row>
    <row r="497" ht="19.5" customHeight="1">
      <c r="B497" s="35"/>
      <c r="C497" s="35"/>
      <c r="D497" s="35"/>
      <c r="E497" s="231"/>
      <c r="F497" s="35"/>
      <c r="G497" s="231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</row>
    <row r="498" ht="19.5" customHeight="1">
      <c r="B498" s="35"/>
      <c r="C498" s="35"/>
      <c r="D498" s="35"/>
      <c r="E498" s="231"/>
      <c r="F498" s="35"/>
      <c r="G498" s="231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</row>
    <row r="499" ht="19.5" customHeight="1">
      <c r="B499" s="35"/>
      <c r="C499" s="35"/>
      <c r="D499" s="35"/>
      <c r="E499" s="231"/>
      <c r="F499" s="35"/>
      <c r="G499" s="231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</row>
    <row r="500" ht="19.5" customHeight="1">
      <c r="B500" s="35"/>
      <c r="C500" s="35"/>
      <c r="D500" s="35"/>
      <c r="E500" s="231"/>
      <c r="F500" s="35"/>
      <c r="G500" s="231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</row>
    <row r="501" ht="19.5" customHeight="1">
      <c r="B501" s="35"/>
      <c r="C501" s="35"/>
      <c r="D501" s="35"/>
      <c r="E501" s="231"/>
      <c r="F501" s="35"/>
      <c r="G501" s="231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</row>
    <row r="502" ht="19.5" customHeight="1">
      <c r="B502" s="35"/>
      <c r="C502" s="35"/>
      <c r="D502" s="35"/>
      <c r="E502" s="231"/>
      <c r="F502" s="35"/>
      <c r="G502" s="231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</row>
    <row r="503" ht="19.5" customHeight="1">
      <c r="B503" s="35"/>
      <c r="C503" s="35"/>
      <c r="D503" s="35"/>
      <c r="E503" s="231"/>
      <c r="F503" s="35"/>
      <c r="G503" s="231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</row>
    <row r="504" ht="19.5" customHeight="1">
      <c r="B504" s="35"/>
      <c r="C504" s="35"/>
      <c r="D504" s="35"/>
      <c r="E504" s="231"/>
      <c r="F504" s="35"/>
      <c r="G504" s="231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</row>
    <row r="505" ht="19.5" customHeight="1">
      <c r="B505" s="35"/>
      <c r="C505" s="35"/>
      <c r="D505" s="35"/>
      <c r="E505" s="231"/>
      <c r="F505" s="35"/>
      <c r="G505" s="231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</row>
    <row r="506" ht="19.5" customHeight="1">
      <c r="B506" s="35"/>
      <c r="C506" s="35"/>
      <c r="D506" s="35"/>
      <c r="E506" s="231"/>
      <c r="F506" s="35"/>
      <c r="G506" s="231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</row>
    <row r="507" ht="19.5" customHeight="1">
      <c r="B507" s="35"/>
      <c r="C507" s="35"/>
      <c r="D507" s="35"/>
      <c r="E507" s="231"/>
      <c r="F507" s="35"/>
      <c r="G507" s="231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</row>
    <row r="508" ht="19.5" customHeight="1">
      <c r="B508" s="35"/>
      <c r="C508" s="35"/>
      <c r="D508" s="35"/>
      <c r="E508" s="231"/>
      <c r="F508" s="35"/>
      <c r="G508" s="231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</row>
    <row r="509" ht="19.5" customHeight="1">
      <c r="B509" s="35"/>
      <c r="C509" s="35"/>
      <c r="D509" s="35"/>
      <c r="E509" s="231"/>
      <c r="F509" s="35"/>
      <c r="G509" s="231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</row>
    <row r="510" ht="19.5" customHeight="1">
      <c r="B510" s="35"/>
      <c r="C510" s="35"/>
      <c r="D510" s="35"/>
      <c r="E510" s="231"/>
      <c r="F510" s="35"/>
      <c r="G510" s="231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</row>
    <row r="511" ht="19.5" customHeight="1">
      <c r="B511" s="35"/>
      <c r="C511" s="35"/>
      <c r="D511" s="35"/>
      <c r="E511" s="231"/>
      <c r="F511" s="35"/>
      <c r="G511" s="231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</row>
    <row r="512" ht="19.5" customHeight="1">
      <c r="B512" s="35"/>
      <c r="C512" s="35"/>
      <c r="D512" s="35"/>
      <c r="E512" s="231"/>
      <c r="F512" s="35"/>
      <c r="G512" s="231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</row>
    <row r="513" ht="19.5" customHeight="1">
      <c r="B513" s="35"/>
      <c r="C513" s="35"/>
      <c r="D513" s="35"/>
      <c r="E513" s="231"/>
      <c r="F513" s="35"/>
      <c r="G513" s="231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</row>
    <row r="514" ht="19.5" customHeight="1">
      <c r="B514" s="35"/>
      <c r="C514" s="35"/>
      <c r="D514" s="35"/>
      <c r="E514" s="231"/>
      <c r="F514" s="35"/>
      <c r="G514" s="231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</row>
    <row r="515" ht="19.5" customHeight="1">
      <c r="B515" s="35"/>
      <c r="C515" s="35"/>
      <c r="D515" s="35"/>
      <c r="E515" s="231"/>
      <c r="F515" s="35"/>
      <c r="G515" s="231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</row>
    <row r="516" ht="19.5" customHeight="1">
      <c r="B516" s="35"/>
      <c r="C516" s="35"/>
      <c r="D516" s="35"/>
      <c r="E516" s="231"/>
      <c r="F516" s="35"/>
      <c r="G516" s="231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</row>
    <row r="517" ht="19.5" customHeight="1">
      <c r="B517" s="35"/>
      <c r="C517" s="35"/>
      <c r="D517" s="35"/>
      <c r="E517" s="231"/>
      <c r="F517" s="35"/>
      <c r="G517" s="231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</row>
    <row r="518" ht="19.5" customHeight="1">
      <c r="B518" s="35"/>
      <c r="C518" s="35"/>
      <c r="D518" s="35"/>
      <c r="E518" s="231"/>
      <c r="F518" s="35"/>
      <c r="G518" s="231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</row>
    <row r="519" ht="19.5" customHeight="1">
      <c r="B519" s="35"/>
      <c r="C519" s="35"/>
      <c r="D519" s="35"/>
      <c r="E519" s="231"/>
      <c r="F519" s="35"/>
      <c r="G519" s="231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</row>
    <row r="520" ht="19.5" customHeight="1">
      <c r="B520" s="35"/>
      <c r="C520" s="35"/>
      <c r="D520" s="35"/>
      <c r="E520" s="231"/>
      <c r="F520" s="35"/>
      <c r="G520" s="231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</row>
    <row r="521" ht="19.5" customHeight="1">
      <c r="B521" s="35"/>
      <c r="C521" s="35"/>
      <c r="D521" s="35"/>
      <c r="E521" s="231"/>
      <c r="F521" s="35"/>
      <c r="G521" s="231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</row>
    <row r="522" ht="19.5" customHeight="1">
      <c r="B522" s="35"/>
      <c r="C522" s="35"/>
      <c r="D522" s="35"/>
      <c r="E522" s="231"/>
      <c r="F522" s="35"/>
      <c r="G522" s="231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</row>
    <row r="523" ht="19.5" customHeight="1">
      <c r="B523" s="35"/>
      <c r="C523" s="35"/>
      <c r="D523" s="35"/>
      <c r="E523" s="231"/>
      <c r="F523" s="35"/>
      <c r="G523" s="231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</row>
    <row r="524" ht="19.5" customHeight="1">
      <c r="B524" s="35"/>
      <c r="C524" s="35"/>
      <c r="D524" s="35"/>
      <c r="E524" s="231"/>
      <c r="F524" s="35"/>
      <c r="G524" s="231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</row>
    <row r="525" ht="19.5" customHeight="1">
      <c r="B525" s="35"/>
      <c r="C525" s="35"/>
      <c r="D525" s="35"/>
      <c r="E525" s="231"/>
      <c r="F525" s="35"/>
      <c r="G525" s="231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</row>
    <row r="526" ht="19.5" customHeight="1">
      <c r="B526" s="35"/>
      <c r="C526" s="35"/>
      <c r="D526" s="35"/>
      <c r="E526" s="231"/>
      <c r="F526" s="35"/>
      <c r="G526" s="231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</row>
    <row r="527" ht="19.5" customHeight="1">
      <c r="B527" s="35"/>
      <c r="C527" s="35"/>
      <c r="D527" s="35"/>
      <c r="E527" s="231"/>
      <c r="F527" s="35"/>
      <c r="G527" s="231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</row>
    <row r="528" ht="19.5" customHeight="1">
      <c r="B528" s="35"/>
      <c r="C528" s="35"/>
      <c r="D528" s="35"/>
      <c r="E528" s="231"/>
      <c r="F528" s="35"/>
      <c r="G528" s="231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</row>
    <row r="529" ht="19.5" customHeight="1">
      <c r="B529" s="35"/>
      <c r="C529" s="35"/>
      <c r="D529" s="35"/>
      <c r="E529" s="231"/>
      <c r="F529" s="35"/>
      <c r="G529" s="231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</row>
    <row r="530" ht="19.5" customHeight="1">
      <c r="B530" s="35"/>
      <c r="C530" s="35"/>
      <c r="D530" s="35"/>
      <c r="E530" s="231"/>
      <c r="F530" s="35"/>
      <c r="G530" s="231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</row>
    <row r="531" ht="19.5" customHeight="1">
      <c r="B531" s="35"/>
      <c r="C531" s="35"/>
      <c r="D531" s="35"/>
      <c r="E531" s="231"/>
      <c r="F531" s="35"/>
      <c r="G531" s="231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</row>
    <row r="532" ht="19.5" customHeight="1">
      <c r="B532" s="35"/>
      <c r="C532" s="35"/>
      <c r="D532" s="35"/>
      <c r="E532" s="231"/>
      <c r="F532" s="35"/>
      <c r="G532" s="231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</row>
    <row r="533" ht="19.5" customHeight="1">
      <c r="B533" s="35"/>
      <c r="C533" s="35"/>
      <c r="D533" s="35"/>
      <c r="E533" s="231"/>
      <c r="F533" s="35"/>
      <c r="G533" s="231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</row>
    <row r="534" ht="19.5" customHeight="1">
      <c r="B534" s="35"/>
      <c r="C534" s="35"/>
      <c r="D534" s="35"/>
      <c r="E534" s="231"/>
      <c r="F534" s="35"/>
      <c r="G534" s="231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</row>
    <row r="535" ht="19.5" customHeight="1">
      <c r="B535" s="35"/>
      <c r="C535" s="35"/>
      <c r="D535" s="35"/>
      <c r="E535" s="231"/>
      <c r="F535" s="35"/>
      <c r="G535" s="231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</row>
    <row r="536" ht="19.5" customHeight="1">
      <c r="B536" s="35"/>
      <c r="C536" s="35"/>
      <c r="D536" s="35"/>
      <c r="E536" s="231"/>
      <c r="F536" s="35"/>
      <c r="G536" s="231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</row>
    <row r="537" ht="19.5" customHeight="1">
      <c r="B537" s="35"/>
      <c r="C537" s="35"/>
      <c r="D537" s="35"/>
      <c r="E537" s="231"/>
      <c r="F537" s="35"/>
      <c r="G537" s="231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</row>
    <row r="538" ht="19.5" customHeight="1">
      <c r="B538" s="35"/>
      <c r="C538" s="35"/>
      <c r="D538" s="35"/>
      <c r="E538" s="231"/>
      <c r="F538" s="35"/>
      <c r="G538" s="231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</row>
    <row r="539" ht="19.5" customHeight="1">
      <c r="B539" s="35"/>
      <c r="C539" s="35"/>
      <c r="D539" s="35"/>
      <c r="E539" s="231"/>
      <c r="F539" s="35"/>
      <c r="G539" s="231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</row>
    <row r="540" ht="19.5" customHeight="1">
      <c r="B540" s="35"/>
      <c r="C540" s="35"/>
      <c r="D540" s="35"/>
      <c r="E540" s="231"/>
      <c r="F540" s="35"/>
      <c r="G540" s="231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</row>
    <row r="541" ht="19.5" customHeight="1">
      <c r="B541" s="35"/>
      <c r="C541" s="35"/>
      <c r="D541" s="35"/>
      <c r="E541" s="231"/>
      <c r="F541" s="35"/>
      <c r="G541" s="231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</row>
    <row r="542" ht="19.5" customHeight="1">
      <c r="B542" s="35"/>
      <c r="C542" s="35"/>
      <c r="D542" s="35"/>
      <c r="E542" s="231"/>
      <c r="F542" s="35"/>
      <c r="G542" s="231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</row>
    <row r="543" ht="19.5" customHeight="1">
      <c r="B543" s="35"/>
      <c r="C543" s="35"/>
      <c r="D543" s="35"/>
      <c r="E543" s="231"/>
      <c r="F543" s="35"/>
      <c r="G543" s="231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</row>
    <row r="544" ht="19.5" customHeight="1">
      <c r="B544" s="35"/>
      <c r="C544" s="35"/>
      <c r="D544" s="35"/>
      <c r="E544" s="231"/>
      <c r="F544" s="35"/>
      <c r="G544" s="231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</row>
    <row r="545" ht="19.5" customHeight="1">
      <c r="B545" s="35"/>
      <c r="C545" s="35"/>
      <c r="D545" s="35"/>
      <c r="E545" s="231"/>
      <c r="F545" s="35"/>
      <c r="G545" s="231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</row>
    <row r="546" ht="19.5" customHeight="1">
      <c r="B546" s="35"/>
      <c r="C546" s="35"/>
      <c r="D546" s="35"/>
      <c r="E546" s="231"/>
      <c r="F546" s="35"/>
      <c r="G546" s="231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</row>
    <row r="547" ht="19.5" customHeight="1">
      <c r="B547" s="35"/>
      <c r="C547" s="35"/>
      <c r="D547" s="35"/>
      <c r="E547" s="231"/>
      <c r="F547" s="35"/>
      <c r="G547" s="231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</row>
    <row r="548" ht="19.5" customHeight="1">
      <c r="B548" s="35"/>
      <c r="C548" s="35"/>
      <c r="D548" s="35"/>
      <c r="E548" s="231"/>
      <c r="F548" s="35"/>
      <c r="G548" s="231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</row>
    <row r="549" ht="19.5" customHeight="1">
      <c r="B549" s="35"/>
      <c r="C549" s="35"/>
      <c r="D549" s="35"/>
      <c r="E549" s="231"/>
      <c r="F549" s="35"/>
      <c r="G549" s="231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</row>
    <row r="550" ht="19.5" customHeight="1">
      <c r="B550" s="35"/>
      <c r="C550" s="35"/>
      <c r="D550" s="35"/>
      <c r="E550" s="231"/>
      <c r="F550" s="35"/>
      <c r="G550" s="231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</row>
    <row r="551" ht="19.5" customHeight="1">
      <c r="B551" s="35"/>
      <c r="C551" s="35"/>
      <c r="D551" s="35"/>
      <c r="E551" s="231"/>
      <c r="F551" s="35"/>
      <c r="G551" s="231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</row>
    <row r="552" ht="19.5" customHeight="1">
      <c r="B552" s="35"/>
      <c r="C552" s="35"/>
      <c r="D552" s="35"/>
      <c r="E552" s="231"/>
      <c r="F552" s="35"/>
      <c r="G552" s="231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</row>
    <row r="553" ht="19.5" customHeight="1">
      <c r="B553" s="35"/>
      <c r="C553" s="35"/>
      <c r="D553" s="35"/>
      <c r="E553" s="231"/>
      <c r="F553" s="35"/>
      <c r="G553" s="231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</row>
    <row r="554" ht="19.5" customHeight="1">
      <c r="B554" s="35"/>
      <c r="C554" s="35"/>
      <c r="D554" s="35"/>
      <c r="E554" s="231"/>
      <c r="F554" s="35"/>
      <c r="G554" s="231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</row>
    <row r="555" ht="19.5" customHeight="1">
      <c r="B555" s="35"/>
      <c r="C555" s="35"/>
      <c r="D555" s="35"/>
      <c r="E555" s="231"/>
      <c r="F555" s="35"/>
      <c r="G555" s="231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</row>
    <row r="556" ht="19.5" customHeight="1">
      <c r="B556" s="35"/>
      <c r="C556" s="35"/>
      <c r="D556" s="35"/>
      <c r="E556" s="231"/>
      <c r="F556" s="35"/>
      <c r="G556" s="231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</row>
    <row r="557" ht="19.5" customHeight="1">
      <c r="B557" s="35"/>
      <c r="C557" s="35"/>
      <c r="D557" s="35"/>
      <c r="E557" s="231"/>
      <c r="F557" s="35"/>
      <c r="G557" s="231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</row>
    <row r="558" ht="19.5" customHeight="1">
      <c r="B558" s="35"/>
      <c r="C558" s="35"/>
      <c r="D558" s="35"/>
      <c r="E558" s="231"/>
      <c r="F558" s="35"/>
      <c r="G558" s="231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</row>
    <row r="559" ht="19.5" customHeight="1">
      <c r="B559" s="35"/>
      <c r="C559" s="35"/>
      <c r="D559" s="35"/>
      <c r="E559" s="231"/>
      <c r="F559" s="35"/>
      <c r="G559" s="231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</row>
    <row r="560" ht="19.5" customHeight="1">
      <c r="B560" s="35"/>
      <c r="C560" s="35"/>
      <c r="D560" s="35"/>
      <c r="E560" s="231"/>
      <c r="F560" s="35"/>
      <c r="G560" s="231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</row>
    <row r="561" ht="19.5" customHeight="1">
      <c r="B561" s="35"/>
      <c r="C561" s="35"/>
      <c r="D561" s="35"/>
      <c r="E561" s="231"/>
      <c r="F561" s="35"/>
      <c r="G561" s="231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</row>
    <row r="562" ht="19.5" customHeight="1">
      <c r="B562" s="35"/>
      <c r="C562" s="35"/>
      <c r="D562" s="35"/>
      <c r="E562" s="231"/>
      <c r="F562" s="35"/>
      <c r="G562" s="231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</row>
    <row r="563" ht="19.5" customHeight="1">
      <c r="B563" s="35"/>
      <c r="C563" s="35"/>
      <c r="D563" s="35"/>
      <c r="E563" s="231"/>
      <c r="F563" s="35"/>
      <c r="G563" s="231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</row>
    <row r="564" ht="19.5" customHeight="1">
      <c r="B564" s="35"/>
      <c r="C564" s="35"/>
      <c r="D564" s="35"/>
      <c r="E564" s="231"/>
      <c r="F564" s="35"/>
      <c r="G564" s="231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</row>
    <row r="565" ht="19.5" customHeight="1">
      <c r="B565" s="35"/>
      <c r="C565" s="35"/>
      <c r="D565" s="35"/>
      <c r="E565" s="231"/>
      <c r="F565" s="35"/>
      <c r="G565" s="231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</row>
    <row r="566" ht="19.5" customHeight="1">
      <c r="B566" s="35"/>
      <c r="C566" s="35"/>
      <c r="D566" s="35"/>
      <c r="E566" s="231"/>
      <c r="F566" s="35"/>
      <c r="G566" s="231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</row>
    <row r="567" ht="19.5" customHeight="1">
      <c r="B567" s="35"/>
      <c r="C567" s="35"/>
      <c r="D567" s="35"/>
      <c r="E567" s="231"/>
      <c r="F567" s="35"/>
      <c r="G567" s="231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</row>
    <row r="568" ht="19.5" customHeight="1">
      <c r="B568" s="35"/>
      <c r="C568" s="35"/>
      <c r="D568" s="35"/>
      <c r="E568" s="231"/>
      <c r="F568" s="35"/>
      <c r="G568" s="231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</row>
    <row r="569" ht="19.5" customHeight="1">
      <c r="B569" s="35"/>
      <c r="C569" s="35"/>
      <c r="D569" s="35"/>
      <c r="E569" s="231"/>
      <c r="F569" s="35"/>
      <c r="G569" s="231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</row>
    <row r="570" ht="19.5" customHeight="1">
      <c r="B570" s="35"/>
      <c r="C570" s="35"/>
      <c r="D570" s="35"/>
      <c r="E570" s="231"/>
      <c r="F570" s="35"/>
      <c r="G570" s="231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</row>
    <row r="571" ht="19.5" customHeight="1">
      <c r="B571" s="35"/>
      <c r="C571" s="35"/>
      <c r="D571" s="35"/>
      <c r="E571" s="231"/>
      <c r="F571" s="35"/>
      <c r="G571" s="231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</row>
    <row r="572" ht="19.5" customHeight="1">
      <c r="B572" s="35"/>
      <c r="C572" s="35"/>
      <c r="D572" s="35"/>
      <c r="E572" s="231"/>
      <c r="F572" s="35"/>
      <c r="G572" s="231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</row>
    <row r="573" ht="19.5" customHeight="1">
      <c r="B573" s="35"/>
      <c r="C573" s="35"/>
      <c r="D573" s="35"/>
      <c r="E573" s="231"/>
      <c r="F573" s="35"/>
      <c r="G573" s="231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</row>
    <row r="574" ht="19.5" customHeight="1">
      <c r="B574" s="35"/>
      <c r="C574" s="35"/>
      <c r="D574" s="35"/>
      <c r="E574" s="231"/>
      <c r="F574" s="35"/>
      <c r="G574" s="231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</row>
    <row r="575" ht="19.5" customHeight="1">
      <c r="B575" s="35"/>
      <c r="C575" s="35"/>
      <c r="D575" s="35"/>
      <c r="E575" s="231"/>
      <c r="F575" s="35"/>
      <c r="G575" s="231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</row>
    <row r="576" ht="19.5" customHeight="1">
      <c r="B576" s="35"/>
      <c r="C576" s="35"/>
      <c r="D576" s="35"/>
      <c r="E576" s="231"/>
      <c r="F576" s="35"/>
      <c r="G576" s="231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</row>
    <row r="577" ht="19.5" customHeight="1">
      <c r="B577" s="35"/>
      <c r="C577" s="35"/>
      <c r="D577" s="35"/>
      <c r="E577" s="231"/>
      <c r="F577" s="35"/>
      <c r="G577" s="231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</row>
    <row r="578" ht="19.5" customHeight="1">
      <c r="B578" s="35"/>
      <c r="C578" s="35"/>
      <c r="D578" s="35"/>
      <c r="E578" s="231"/>
      <c r="F578" s="35"/>
      <c r="G578" s="231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</row>
    <row r="579" ht="19.5" customHeight="1">
      <c r="B579" s="35"/>
      <c r="C579" s="35"/>
      <c r="D579" s="35"/>
      <c r="E579" s="231"/>
      <c r="F579" s="35"/>
      <c r="G579" s="231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</row>
    <row r="580" ht="19.5" customHeight="1">
      <c r="B580" s="35"/>
      <c r="C580" s="35"/>
      <c r="D580" s="35"/>
      <c r="E580" s="231"/>
      <c r="F580" s="35"/>
      <c r="G580" s="231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</row>
    <row r="581" ht="19.5" customHeight="1">
      <c r="B581" s="35"/>
      <c r="C581" s="35"/>
      <c r="D581" s="35"/>
      <c r="E581" s="231"/>
      <c r="F581" s="35"/>
      <c r="G581" s="231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</row>
    <row r="582" ht="19.5" customHeight="1">
      <c r="B582" s="35"/>
      <c r="C582" s="35"/>
      <c r="D582" s="35"/>
      <c r="E582" s="231"/>
      <c r="F582" s="35"/>
      <c r="G582" s="231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</row>
    <row r="583" ht="19.5" customHeight="1">
      <c r="B583" s="35"/>
      <c r="C583" s="35"/>
      <c r="D583" s="35"/>
      <c r="E583" s="231"/>
      <c r="F583" s="35"/>
      <c r="G583" s="231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</row>
    <row r="584" ht="19.5" customHeight="1">
      <c r="B584" s="35"/>
      <c r="C584" s="35"/>
      <c r="D584" s="35"/>
      <c r="E584" s="231"/>
      <c r="F584" s="35"/>
      <c r="G584" s="231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</row>
    <row r="585" ht="19.5" customHeight="1">
      <c r="B585" s="35"/>
      <c r="C585" s="35"/>
      <c r="D585" s="35"/>
      <c r="E585" s="231"/>
      <c r="F585" s="35"/>
      <c r="G585" s="231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</row>
    <row r="586" ht="19.5" customHeight="1">
      <c r="B586" s="35"/>
      <c r="C586" s="35"/>
      <c r="D586" s="35"/>
      <c r="E586" s="231"/>
      <c r="F586" s="35"/>
      <c r="G586" s="231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</row>
    <row r="587" ht="19.5" customHeight="1">
      <c r="B587" s="35"/>
      <c r="C587" s="35"/>
      <c r="D587" s="35"/>
      <c r="E587" s="231"/>
      <c r="F587" s="35"/>
      <c r="G587" s="231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</row>
    <row r="588" ht="19.5" customHeight="1">
      <c r="B588" s="35"/>
      <c r="C588" s="35"/>
      <c r="D588" s="35"/>
      <c r="E588" s="231"/>
      <c r="F588" s="35"/>
      <c r="G588" s="231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</row>
    <row r="589" ht="19.5" customHeight="1">
      <c r="B589" s="35"/>
      <c r="C589" s="35"/>
      <c r="D589" s="35"/>
      <c r="E589" s="231"/>
      <c r="F589" s="35"/>
      <c r="G589" s="231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</row>
    <row r="590" ht="19.5" customHeight="1">
      <c r="B590" s="35"/>
      <c r="C590" s="35"/>
      <c r="D590" s="35"/>
      <c r="E590" s="231"/>
      <c r="F590" s="35"/>
      <c r="G590" s="231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</row>
    <row r="591" ht="19.5" customHeight="1">
      <c r="B591" s="35"/>
      <c r="C591" s="35"/>
      <c r="D591" s="35"/>
      <c r="E591" s="231"/>
      <c r="F591" s="35"/>
      <c r="G591" s="231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</row>
    <row r="592" ht="19.5" customHeight="1">
      <c r="B592" s="35"/>
      <c r="C592" s="35"/>
      <c r="D592" s="35"/>
      <c r="E592" s="231"/>
      <c r="F592" s="35"/>
      <c r="G592" s="231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</row>
    <row r="593" ht="19.5" customHeight="1">
      <c r="B593" s="35"/>
      <c r="C593" s="35"/>
      <c r="D593" s="35"/>
      <c r="E593" s="231"/>
      <c r="F593" s="35"/>
      <c r="G593" s="231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</row>
    <row r="594" ht="19.5" customHeight="1">
      <c r="B594" s="35"/>
      <c r="C594" s="35"/>
      <c r="D594" s="35"/>
      <c r="E594" s="231"/>
      <c r="F594" s="35"/>
      <c r="G594" s="231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</row>
    <row r="595" ht="19.5" customHeight="1">
      <c r="B595" s="35"/>
      <c r="C595" s="35"/>
      <c r="D595" s="35"/>
      <c r="E595" s="231"/>
      <c r="F595" s="35"/>
      <c r="G595" s="231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</row>
    <row r="596" ht="19.5" customHeight="1">
      <c r="B596" s="35"/>
      <c r="C596" s="35"/>
      <c r="D596" s="35"/>
      <c r="E596" s="231"/>
      <c r="F596" s="35"/>
      <c r="G596" s="231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</row>
    <row r="597" ht="19.5" customHeight="1">
      <c r="B597" s="35"/>
      <c r="C597" s="35"/>
      <c r="D597" s="35"/>
      <c r="E597" s="231"/>
      <c r="F597" s="35"/>
      <c r="G597" s="231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</row>
    <row r="598" ht="19.5" customHeight="1">
      <c r="B598" s="35"/>
      <c r="C598" s="35"/>
      <c r="D598" s="35"/>
      <c r="E598" s="231"/>
      <c r="F598" s="35"/>
      <c r="G598" s="231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</row>
    <row r="599" ht="19.5" customHeight="1">
      <c r="B599" s="35"/>
      <c r="C599" s="35"/>
      <c r="D599" s="35"/>
      <c r="E599" s="231"/>
      <c r="F599" s="35"/>
      <c r="G599" s="231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</row>
    <row r="600" ht="19.5" customHeight="1">
      <c r="B600" s="35"/>
      <c r="C600" s="35"/>
      <c r="D600" s="35"/>
      <c r="E600" s="231"/>
      <c r="F600" s="35"/>
      <c r="G600" s="231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</row>
    <row r="601" ht="19.5" customHeight="1">
      <c r="B601" s="35"/>
      <c r="C601" s="35"/>
      <c r="D601" s="35"/>
      <c r="E601" s="231"/>
      <c r="F601" s="35"/>
      <c r="G601" s="231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</row>
    <row r="602" ht="19.5" customHeight="1">
      <c r="B602" s="35"/>
      <c r="C602" s="35"/>
      <c r="D602" s="35"/>
      <c r="E602" s="231"/>
      <c r="F602" s="35"/>
      <c r="G602" s="231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</row>
    <row r="603" ht="19.5" customHeight="1">
      <c r="B603" s="35"/>
      <c r="C603" s="35"/>
      <c r="D603" s="35"/>
      <c r="E603" s="231"/>
      <c r="F603" s="35"/>
      <c r="G603" s="231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</row>
    <row r="604" ht="19.5" customHeight="1">
      <c r="B604" s="35"/>
      <c r="C604" s="35"/>
      <c r="D604" s="35"/>
      <c r="E604" s="231"/>
      <c r="F604" s="35"/>
      <c r="G604" s="231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</row>
    <row r="605" ht="19.5" customHeight="1">
      <c r="B605" s="35"/>
      <c r="C605" s="35"/>
      <c r="D605" s="35"/>
      <c r="E605" s="231"/>
      <c r="F605" s="35"/>
      <c r="G605" s="231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</row>
    <row r="606" ht="19.5" customHeight="1">
      <c r="B606" s="35"/>
      <c r="C606" s="35"/>
      <c r="D606" s="35"/>
      <c r="E606" s="231"/>
      <c r="F606" s="35"/>
      <c r="G606" s="231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</row>
    <row r="607" ht="19.5" customHeight="1">
      <c r="B607" s="35"/>
      <c r="C607" s="35"/>
      <c r="D607" s="35"/>
      <c r="E607" s="231"/>
      <c r="F607" s="35"/>
      <c r="G607" s="231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</row>
    <row r="608" ht="19.5" customHeight="1">
      <c r="B608" s="35"/>
      <c r="C608" s="35"/>
      <c r="D608" s="35"/>
      <c r="E608" s="231"/>
      <c r="F608" s="35"/>
      <c r="G608" s="231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</row>
    <row r="609" ht="19.5" customHeight="1">
      <c r="B609" s="35"/>
      <c r="C609" s="35"/>
      <c r="D609" s="35"/>
      <c r="E609" s="231"/>
      <c r="F609" s="35"/>
      <c r="G609" s="231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</row>
    <row r="610" ht="19.5" customHeight="1">
      <c r="B610" s="35"/>
      <c r="C610" s="35"/>
      <c r="D610" s="35"/>
      <c r="E610" s="231"/>
      <c r="F610" s="35"/>
      <c r="G610" s="231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</row>
    <row r="611" ht="19.5" customHeight="1">
      <c r="B611" s="35"/>
      <c r="C611" s="35"/>
      <c r="D611" s="35"/>
      <c r="E611" s="231"/>
      <c r="F611" s="35"/>
      <c r="G611" s="231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</row>
    <row r="612" ht="19.5" customHeight="1">
      <c r="B612" s="35"/>
      <c r="C612" s="35"/>
      <c r="D612" s="35"/>
      <c r="E612" s="231"/>
      <c r="F612" s="35"/>
      <c r="G612" s="231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</row>
    <row r="613" ht="19.5" customHeight="1">
      <c r="B613" s="35"/>
      <c r="C613" s="35"/>
      <c r="D613" s="35"/>
      <c r="E613" s="231"/>
      <c r="F613" s="35"/>
      <c r="G613" s="231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</row>
    <row r="614" ht="19.5" customHeight="1">
      <c r="B614" s="35"/>
      <c r="C614" s="35"/>
      <c r="D614" s="35"/>
      <c r="E614" s="231"/>
      <c r="F614" s="35"/>
      <c r="G614" s="231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</row>
    <row r="615" ht="19.5" customHeight="1">
      <c r="B615" s="35"/>
      <c r="C615" s="35"/>
      <c r="D615" s="35"/>
      <c r="E615" s="231"/>
      <c r="F615" s="35"/>
      <c r="G615" s="231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</row>
    <row r="616" ht="19.5" customHeight="1">
      <c r="B616" s="35"/>
      <c r="C616" s="35"/>
      <c r="D616" s="35"/>
      <c r="E616" s="231"/>
      <c r="F616" s="35"/>
      <c r="G616" s="231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</row>
    <row r="617" ht="19.5" customHeight="1">
      <c r="B617" s="35"/>
      <c r="C617" s="35"/>
      <c r="D617" s="35"/>
      <c r="E617" s="231"/>
      <c r="F617" s="35"/>
      <c r="G617" s="231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</row>
    <row r="618" ht="19.5" customHeight="1">
      <c r="B618" s="35"/>
      <c r="C618" s="35"/>
      <c r="D618" s="35"/>
      <c r="E618" s="231"/>
      <c r="F618" s="35"/>
      <c r="G618" s="231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</row>
    <row r="619" ht="19.5" customHeight="1">
      <c r="B619" s="35"/>
      <c r="C619" s="35"/>
      <c r="D619" s="35"/>
      <c r="E619" s="231"/>
      <c r="F619" s="35"/>
      <c r="G619" s="231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</row>
    <row r="620" ht="19.5" customHeight="1">
      <c r="B620" s="35"/>
      <c r="C620" s="35"/>
      <c r="D620" s="35"/>
      <c r="E620" s="231"/>
      <c r="F620" s="35"/>
      <c r="G620" s="231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</row>
    <row r="621" ht="19.5" customHeight="1">
      <c r="B621" s="35"/>
      <c r="C621" s="35"/>
      <c r="D621" s="35"/>
      <c r="E621" s="231"/>
      <c r="F621" s="35"/>
      <c r="G621" s="231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</row>
    <row r="622" ht="19.5" customHeight="1">
      <c r="B622" s="35"/>
      <c r="C622" s="35"/>
      <c r="D622" s="35"/>
      <c r="E622" s="231"/>
      <c r="F622" s="35"/>
      <c r="G622" s="231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</row>
    <row r="623" ht="19.5" customHeight="1">
      <c r="B623" s="35"/>
      <c r="C623" s="35"/>
      <c r="D623" s="35"/>
      <c r="E623" s="231"/>
      <c r="F623" s="35"/>
      <c r="G623" s="231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</row>
    <row r="624" ht="19.5" customHeight="1">
      <c r="B624" s="35"/>
      <c r="C624" s="35"/>
      <c r="D624" s="35"/>
      <c r="E624" s="231"/>
      <c r="F624" s="35"/>
      <c r="G624" s="231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</row>
    <row r="625" ht="19.5" customHeight="1">
      <c r="B625" s="35"/>
      <c r="C625" s="35"/>
      <c r="D625" s="35"/>
      <c r="E625" s="231"/>
      <c r="F625" s="35"/>
      <c r="G625" s="231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</row>
    <row r="626" ht="19.5" customHeight="1">
      <c r="B626" s="35"/>
      <c r="C626" s="35"/>
      <c r="D626" s="35"/>
      <c r="E626" s="231"/>
      <c r="F626" s="35"/>
      <c r="G626" s="231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</row>
    <row r="627" ht="19.5" customHeight="1">
      <c r="B627" s="35"/>
      <c r="C627" s="35"/>
      <c r="D627" s="35"/>
      <c r="E627" s="231"/>
      <c r="F627" s="35"/>
      <c r="G627" s="231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</row>
    <row r="628" ht="19.5" customHeight="1">
      <c r="B628" s="35"/>
      <c r="C628" s="35"/>
      <c r="D628" s="35"/>
      <c r="E628" s="231"/>
      <c r="F628" s="35"/>
      <c r="G628" s="231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</row>
    <row r="629" ht="19.5" customHeight="1">
      <c r="B629" s="35"/>
      <c r="C629" s="35"/>
      <c r="D629" s="35"/>
      <c r="E629" s="231"/>
      <c r="F629" s="35"/>
      <c r="G629" s="231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</row>
    <row r="630" ht="19.5" customHeight="1">
      <c r="B630" s="35"/>
      <c r="C630" s="35"/>
      <c r="D630" s="35"/>
      <c r="E630" s="231"/>
      <c r="F630" s="35"/>
      <c r="G630" s="231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</row>
    <row r="631" ht="19.5" customHeight="1">
      <c r="B631" s="35"/>
      <c r="C631" s="35"/>
      <c r="D631" s="35"/>
      <c r="E631" s="231"/>
      <c r="F631" s="35"/>
      <c r="G631" s="231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</row>
    <row r="632" ht="19.5" customHeight="1">
      <c r="B632" s="35"/>
      <c r="C632" s="35"/>
      <c r="D632" s="35"/>
      <c r="E632" s="231"/>
      <c r="F632" s="35"/>
      <c r="G632" s="231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</row>
    <row r="633" ht="19.5" customHeight="1">
      <c r="B633" s="35"/>
      <c r="C633" s="35"/>
      <c r="D633" s="35"/>
      <c r="E633" s="231"/>
      <c r="F633" s="35"/>
      <c r="G633" s="231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</row>
    <row r="634" ht="19.5" customHeight="1">
      <c r="B634" s="35"/>
      <c r="C634" s="35"/>
      <c r="D634" s="35"/>
      <c r="E634" s="231"/>
      <c r="F634" s="35"/>
      <c r="G634" s="231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</row>
    <row r="635" ht="19.5" customHeight="1">
      <c r="B635" s="35"/>
      <c r="C635" s="35"/>
      <c r="D635" s="35"/>
      <c r="E635" s="231"/>
      <c r="F635" s="35"/>
      <c r="G635" s="231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</row>
    <row r="636" ht="19.5" customHeight="1">
      <c r="B636" s="35"/>
      <c r="C636" s="35"/>
      <c r="D636" s="35"/>
      <c r="E636" s="231"/>
      <c r="F636" s="35"/>
      <c r="G636" s="231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</row>
    <row r="637" ht="19.5" customHeight="1">
      <c r="B637" s="35"/>
      <c r="C637" s="35"/>
      <c r="D637" s="35"/>
      <c r="E637" s="231"/>
      <c r="F637" s="35"/>
      <c r="G637" s="231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</row>
    <row r="638" ht="19.5" customHeight="1">
      <c r="B638" s="35"/>
      <c r="C638" s="35"/>
      <c r="D638" s="35"/>
      <c r="E638" s="231"/>
      <c r="F638" s="35"/>
      <c r="G638" s="231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</row>
    <row r="639" ht="19.5" customHeight="1">
      <c r="B639" s="35"/>
      <c r="C639" s="35"/>
      <c r="D639" s="35"/>
      <c r="E639" s="231"/>
      <c r="F639" s="35"/>
      <c r="G639" s="231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</row>
    <row r="640" ht="19.5" customHeight="1">
      <c r="B640" s="35"/>
      <c r="C640" s="35"/>
      <c r="D640" s="35"/>
      <c r="E640" s="231"/>
      <c r="F640" s="35"/>
      <c r="G640" s="231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</row>
    <row r="641" ht="19.5" customHeight="1">
      <c r="B641" s="35"/>
      <c r="C641" s="35"/>
      <c r="D641" s="35"/>
      <c r="E641" s="231"/>
      <c r="F641" s="35"/>
      <c r="G641" s="231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</row>
    <row r="642" ht="19.5" customHeight="1">
      <c r="B642" s="35"/>
      <c r="C642" s="35"/>
      <c r="D642" s="35"/>
      <c r="E642" s="231"/>
      <c r="F642" s="35"/>
      <c r="G642" s="231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</row>
    <row r="643" ht="19.5" customHeight="1">
      <c r="B643" s="35"/>
      <c r="C643" s="35"/>
      <c r="D643" s="35"/>
      <c r="E643" s="231"/>
      <c r="F643" s="35"/>
      <c r="G643" s="231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</row>
    <row r="644" ht="19.5" customHeight="1">
      <c r="B644" s="35"/>
      <c r="C644" s="35"/>
      <c r="D644" s="35"/>
      <c r="E644" s="231"/>
      <c r="F644" s="35"/>
      <c r="G644" s="231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</row>
    <row r="645" ht="19.5" customHeight="1">
      <c r="B645" s="35"/>
      <c r="C645" s="35"/>
      <c r="D645" s="35"/>
      <c r="E645" s="231"/>
      <c r="F645" s="35"/>
      <c r="G645" s="231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</row>
    <row r="646" ht="19.5" customHeight="1">
      <c r="B646" s="35"/>
      <c r="C646" s="35"/>
      <c r="D646" s="35"/>
      <c r="E646" s="231"/>
      <c r="F646" s="35"/>
      <c r="G646" s="231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</row>
    <row r="647" ht="19.5" customHeight="1">
      <c r="B647" s="35"/>
      <c r="C647" s="35"/>
      <c r="D647" s="35"/>
      <c r="E647" s="231"/>
      <c r="F647" s="35"/>
      <c r="G647" s="231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</row>
    <row r="648" ht="19.5" customHeight="1">
      <c r="B648" s="35"/>
      <c r="C648" s="35"/>
      <c r="D648" s="35"/>
      <c r="E648" s="231"/>
      <c r="F648" s="35"/>
      <c r="G648" s="231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</row>
    <row r="649" ht="19.5" customHeight="1">
      <c r="B649" s="35"/>
      <c r="C649" s="35"/>
      <c r="D649" s="35"/>
      <c r="E649" s="231"/>
      <c r="F649" s="35"/>
      <c r="G649" s="231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</row>
    <row r="650" ht="19.5" customHeight="1">
      <c r="B650" s="35"/>
      <c r="C650" s="35"/>
      <c r="D650" s="35"/>
      <c r="E650" s="231"/>
      <c r="F650" s="35"/>
      <c r="G650" s="231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</row>
    <row r="651" ht="19.5" customHeight="1">
      <c r="B651" s="35"/>
      <c r="C651" s="35"/>
      <c r="D651" s="35"/>
      <c r="E651" s="231"/>
      <c r="F651" s="35"/>
      <c r="G651" s="231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</row>
    <row r="652" ht="19.5" customHeight="1">
      <c r="B652" s="35"/>
      <c r="C652" s="35"/>
      <c r="D652" s="35"/>
      <c r="E652" s="231"/>
      <c r="F652" s="35"/>
      <c r="G652" s="231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</row>
    <row r="653" ht="19.5" customHeight="1">
      <c r="B653" s="35"/>
      <c r="C653" s="35"/>
      <c r="D653" s="35"/>
      <c r="E653" s="231"/>
      <c r="F653" s="35"/>
      <c r="G653" s="231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</row>
    <row r="654" ht="19.5" customHeight="1">
      <c r="B654" s="35"/>
      <c r="C654" s="35"/>
      <c r="D654" s="35"/>
      <c r="E654" s="231"/>
      <c r="F654" s="35"/>
      <c r="G654" s="231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</row>
    <row r="655" ht="19.5" customHeight="1">
      <c r="B655" s="35"/>
      <c r="C655" s="35"/>
      <c r="D655" s="35"/>
      <c r="E655" s="231"/>
      <c r="F655" s="35"/>
      <c r="G655" s="231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</row>
    <row r="656" ht="19.5" customHeight="1">
      <c r="B656" s="35"/>
      <c r="C656" s="35"/>
      <c r="D656" s="35"/>
      <c r="E656" s="231"/>
      <c r="F656" s="35"/>
      <c r="G656" s="231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</row>
    <row r="657" ht="19.5" customHeight="1">
      <c r="B657" s="35"/>
      <c r="C657" s="35"/>
      <c r="D657" s="35"/>
      <c r="E657" s="231"/>
      <c r="F657" s="35"/>
      <c r="G657" s="231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</row>
    <row r="658" ht="19.5" customHeight="1">
      <c r="B658" s="35"/>
      <c r="C658" s="35"/>
      <c r="D658" s="35"/>
      <c r="E658" s="231"/>
      <c r="F658" s="35"/>
      <c r="G658" s="231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</row>
    <row r="659" ht="19.5" customHeight="1">
      <c r="B659" s="35"/>
      <c r="C659" s="35"/>
      <c r="D659" s="35"/>
      <c r="E659" s="231"/>
      <c r="F659" s="35"/>
      <c r="G659" s="231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</row>
    <row r="660" ht="19.5" customHeight="1">
      <c r="B660" s="35"/>
      <c r="C660" s="35"/>
      <c r="D660" s="35"/>
      <c r="E660" s="231"/>
      <c r="F660" s="35"/>
      <c r="G660" s="231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</row>
    <row r="661" ht="19.5" customHeight="1">
      <c r="B661" s="35"/>
      <c r="C661" s="35"/>
      <c r="D661" s="35"/>
      <c r="E661" s="231"/>
      <c r="F661" s="35"/>
      <c r="G661" s="231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</row>
    <row r="662" ht="19.5" customHeight="1">
      <c r="B662" s="35"/>
      <c r="C662" s="35"/>
      <c r="D662" s="35"/>
      <c r="E662" s="231"/>
      <c r="F662" s="35"/>
      <c r="G662" s="231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</row>
    <row r="663" ht="19.5" customHeight="1">
      <c r="B663" s="35"/>
      <c r="C663" s="35"/>
      <c r="D663" s="35"/>
      <c r="E663" s="231"/>
      <c r="F663" s="35"/>
      <c r="G663" s="231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</row>
    <row r="664" ht="19.5" customHeight="1">
      <c r="B664" s="35"/>
      <c r="C664" s="35"/>
      <c r="D664" s="35"/>
      <c r="E664" s="231"/>
      <c r="F664" s="35"/>
      <c r="G664" s="231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</row>
    <row r="665" ht="19.5" customHeight="1">
      <c r="B665" s="35"/>
      <c r="C665" s="35"/>
      <c r="D665" s="35"/>
      <c r="E665" s="231"/>
      <c r="F665" s="35"/>
      <c r="G665" s="231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</row>
    <row r="666" ht="19.5" customHeight="1">
      <c r="B666" s="35"/>
      <c r="C666" s="35"/>
      <c r="D666" s="35"/>
      <c r="E666" s="231"/>
      <c r="F666" s="35"/>
      <c r="G666" s="231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</row>
    <row r="667" ht="19.5" customHeight="1">
      <c r="B667" s="35"/>
      <c r="C667" s="35"/>
      <c r="D667" s="35"/>
      <c r="E667" s="231"/>
      <c r="F667" s="35"/>
      <c r="G667" s="231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</row>
    <row r="668" ht="19.5" customHeight="1">
      <c r="B668" s="35"/>
      <c r="C668" s="35"/>
      <c r="D668" s="35"/>
      <c r="E668" s="231"/>
      <c r="F668" s="35"/>
      <c r="G668" s="231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</row>
    <row r="669" ht="19.5" customHeight="1">
      <c r="B669" s="35"/>
      <c r="C669" s="35"/>
      <c r="D669" s="35"/>
      <c r="E669" s="231"/>
      <c r="F669" s="35"/>
      <c r="G669" s="231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</row>
    <row r="670" ht="19.5" customHeight="1">
      <c r="B670" s="35"/>
      <c r="C670" s="35"/>
      <c r="D670" s="35"/>
      <c r="E670" s="231"/>
      <c r="F670" s="35"/>
      <c r="G670" s="231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</row>
    <row r="671" ht="19.5" customHeight="1">
      <c r="B671" s="35"/>
      <c r="C671" s="35"/>
      <c r="D671" s="35"/>
      <c r="E671" s="231"/>
      <c r="F671" s="35"/>
      <c r="G671" s="231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</row>
    <row r="672" ht="19.5" customHeight="1">
      <c r="B672" s="35"/>
      <c r="C672" s="35"/>
      <c r="D672" s="35"/>
      <c r="E672" s="231"/>
      <c r="F672" s="35"/>
      <c r="G672" s="231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</row>
    <row r="673" ht="19.5" customHeight="1">
      <c r="B673" s="35"/>
      <c r="C673" s="35"/>
      <c r="D673" s="35"/>
      <c r="E673" s="231"/>
      <c r="F673" s="35"/>
      <c r="G673" s="231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</row>
    <row r="674" ht="19.5" customHeight="1">
      <c r="B674" s="35"/>
      <c r="C674" s="35"/>
      <c r="D674" s="35"/>
      <c r="E674" s="231"/>
      <c r="F674" s="35"/>
      <c r="G674" s="231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</row>
    <row r="675" ht="19.5" customHeight="1">
      <c r="B675" s="35"/>
      <c r="C675" s="35"/>
      <c r="D675" s="35"/>
      <c r="E675" s="231"/>
      <c r="F675" s="35"/>
      <c r="G675" s="231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</row>
    <row r="676" ht="19.5" customHeight="1">
      <c r="B676" s="35"/>
      <c r="C676" s="35"/>
      <c r="D676" s="35"/>
      <c r="E676" s="231"/>
      <c r="F676" s="35"/>
      <c r="G676" s="231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</row>
    <row r="677" ht="19.5" customHeight="1">
      <c r="B677" s="35"/>
      <c r="C677" s="35"/>
      <c r="D677" s="35"/>
      <c r="E677" s="231"/>
      <c r="F677" s="35"/>
      <c r="G677" s="231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</row>
    <row r="678" ht="19.5" customHeight="1">
      <c r="B678" s="35"/>
      <c r="C678" s="35"/>
      <c r="D678" s="35"/>
      <c r="E678" s="231"/>
      <c r="F678" s="35"/>
      <c r="G678" s="231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</row>
    <row r="679" ht="19.5" customHeight="1">
      <c r="B679" s="35"/>
      <c r="C679" s="35"/>
      <c r="D679" s="35"/>
      <c r="E679" s="231"/>
      <c r="F679" s="35"/>
      <c r="G679" s="231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</row>
    <row r="680" ht="19.5" customHeight="1">
      <c r="B680" s="35"/>
      <c r="C680" s="35"/>
      <c r="D680" s="35"/>
      <c r="E680" s="231"/>
      <c r="F680" s="35"/>
      <c r="G680" s="231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</row>
    <row r="681" ht="19.5" customHeight="1">
      <c r="B681" s="35"/>
      <c r="C681" s="35"/>
      <c r="D681" s="35"/>
      <c r="E681" s="231"/>
      <c r="F681" s="35"/>
      <c r="G681" s="231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</row>
    <row r="682" ht="19.5" customHeight="1">
      <c r="B682" s="35"/>
      <c r="C682" s="35"/>
      <c r="D682" s="35"/>
      <c r="E682" s="231"/>
      <c r="F682" s="35"/>
      <c r="G682" s="231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</row>
    <row r="683" ht="19.5" customHeight="1">
      <c r="B683" s="35"/>
      <c r="C683" s="35"/>
      <c r="D683" s="35"/>
      <c r="E683" s="231"/>
      <c r="F683" s="35"/>
      <c r="G683" s="231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</row>
    <row r="684" ht="19.5" customHeight="1">
      <c r="B684" s="35"/>
      <c r="C684" s="35"/>
      <c r="D684" s="35"/>
      <c r="E684" s="231"/>
      <c r="F684" s="35"/>
      <c r="G684" s="231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</row>
    <row r="685" ht="19.5" customHeight="1">
      <c r="B685" s="35"/>
      <c r="C685" s="35"/>
      <c r="D685" s="35"/>
      <c r="E685" s="231"/>
      <c r="F685" s="35"/>
      <c r="G685" s="231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</row>
    <row r="686" ht="19.5" customHeight="1">
      <c r="B686" s="35"/>
      <c r="C686" s="35"/>
      <c r="D686" s="35"/>
      <c r="E686" s="231"/>
      <c r="F686" s="35"/>
      <c r="G686" s="231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</row>
    <row r="687" ht="19.5" customHeight="1">
      <c r="B687" s="35"/>
      <c r="C687" s="35"/>
      <c r="D687" s="35"/>
      <c r="E687" s="231"/>
      <c r="F687" s="35"/>
      <c r="G687" s="231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</row>
    <row r="688" ht="19.5" customHeight="1">
      <c r="B688" s="35"/>
      <c r="C688" s="35"/>
      <c r="D688" s="35"/>
      <c r="E688" s="231"/>
      <c r="F688" s="35"/>
      <c r="G688" s="231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</row>
    <row r="689" ht="19.5" customHeight="1">
      <c r="B689" s="35"/>
      <c r="C689" s="35"/>
      <c r="D689" s="35"/>
      <c r="E689" s="231"/>
      <c r="F689" s="35"/>
      <c r="G689" s="231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</row>
    <row r="690" ht="19.5" customHeight="1">
      <c r="B690" s="35"/>
      <c r="C690" s="35"/>
      <c r="D690" s="35"/>
      <c r="E690" s="231"/>
      <c r="F690" s="35"/>
      <c r="G690" s="231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</row>
    <row r="691" ht="19.5" customHeight="1">
      <c r="B691" s="35"/>
      <c r="C691" s="35"/>
      <c r="D691" s="35"/>
      <c r="E691" s="231"/>
      <c r="F691" s="35"/>
      <c r="G691" s="231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</row>
    <row r="692" ht="19.5" customHeight="1">
      <c r="B692" s="35"/>
      <c r="C692" s="35"/>
      <c r="D692" s="35"/>
      <c r="E692" s="231"/>
      <c r="F692" s="35"/>
      <c r="G692" s="231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</row>
    <row r="693" ht="19.5" customHeight="1">
      <c r="B693" s="35"/>
      <c r="C693" s="35"/>
      <c r="D693" s="35"/>
      <c r="E693" s="231"/>
      <c r="F693" s="35"/>
      <c r="G693" s="231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</row>
    <row r="694" ht="19.5" customHeight="1">
      <c r="B694" s="35"/>
      <c r="C694" s="35"/>
      <c r="D694" s="35"/>
      <c r="E694" s="231"/>
      <c r="F694" s="35"/>
      <c r="G694" s="231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</row>
    <row r="695" ht="19.5" customHeight="1">
      <c r="B695" s="35"/>
      <c r="C695" s="35"/>
      <c r="D695" s="35"/>
      <c r="E695" s="231"/>
      <c r="F695" s="35"/>
      <c r="G695" s="231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</row>
    <row r="696" ht="19.5" customHeight="1">
      <c r="B696" s="35"/>
      <c r="C696" s="35"/>
      <c r="D696" s="35"/>
      <c r="E696" s="231"/>
      <c r="F696" s="35"/>
      <c r="G696" s="231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</row>
    <row r="697" ht="19.5" customHeight="1">
      <c r="B697" s="35"/>
      <c r="C697" s="35"/>
      <c r="D697" s="35"/>
      <c r="E697" s="231"/>
      <c r="F697" s="35"/>
      <c r="G697" s="231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</row>
    <row r="698" ht="19.5" customHeight="1">
      <c r="B698" s="35"/>
      <c r="C698" s="35"/>
      <c r="D698" s="35"/>
      <c r="E698" s="231"/>
      <c r="F698" s="35"/>
      <c r="G698" s="231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</row>
    <row r="699" ht="19.5" customHeight="1">
      <c r="B699" s="35"/>
      <c r="C699" s="35"/>
      <c r="D699" s="35"/>
      <c r="E699" s="231"/>
      <c r="F699" s="35"/>
      <c r="G699" s="231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</row>
    <row r="700" ht="19.5" customHeight="1">
      <c r="B700" s="35"/>
      <c r="C700" s="35"/>
      <c r="D700" s="35"/>
      <c r="E700" s="231"/>
      <c r="F700" s="35"/>
      <c r="G700" s="231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</row>
    <row r="701" ht="19.5" customHeight="1">
      <c r="B701" s="35"/>
      <c r="C701" s="35"/>
      <c r="D701" s="35"/>
      <c r="E701" s="231"/>
      <c r="F701" s="35"/>
      <c r="G701" s="231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</row>
    <row r="702" ht="19.5" customHeight="1">
      <c r="B702" s="35"/>
      <c r="C702" s="35"/>
      <c r="D702" s="35"/>
      <c r="E702" s="231"/>
      <c r="F702" s="35"/>
      <c r="G702" s="231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</row>
    <row r="703" ht="19.5" customHeight="1">
      <c r="B703" s="35"/>
      <c r="C703" s="35"/>
      <c r="D703" s="35"/>
      <c r="E703" s="231"/>
      <c r="F703" s="35"/>
      <c r="G703" s="231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</row>
    <row r="704" ht="19.5" customHeight="1">
      <c r="B704" s="35"/>
      <c r="C704" s="35"/>
      <c r="D704" s="35"/>
      <c r="E704" s="231"/>
      <c r="F704" s="35"/>
      <c r="G704" s="231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</row>
    <row r="705" ht="19.5" customHeight="1">
      <c r="B705" s="35"/>
      <c r="C705" s="35"/>
      <c r="D705" s="35"/>
      <c r="E705" s="231"/>
      <c r="F705" s="35"/>
      <c r="G705" s="231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</row>
    <row r="706" ht="19.5" customHeight="1">
      <c r="B706" s="35"/>
      <c r="C706" s="35"/>
      <c r="D706" s="35"/>
      <c r="E706" s="231"/>
      <c r="F706" s="35"/>
      <c r="G706" s="231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</row>
    <row r="707" ht="19.5" customHeight="1">
      <c r="B707" s="35"/>
      <c r="C707" s="35"/>
      <c r="D707" s="35"/>
      <c r="E707" s="231"/>
      <c r="F707" s="35"/>
      <c r="G707" s="231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</row>
    <row r="708" ht="19.5" customHeight="1">
      <c r="B708" s="35"/>
      <c r="C708" s="35"/>
      <c r="D708" s="35"/>
      <c r="E708" s="231"/>
      <c r="F708" s="35"/>
      <c r="G708" s="231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</row>
    <row r="709" ht="19.5" customHeight="1">
      <c r="B709" s="35"/>
      <c r="C709" s="35"/>
      <c r="D709" s="35"/>
      <c r="E709" s="231"/>
      <c r="F709" s="35"/>
      <c r="G709" s="231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</row>
    <row r="710" ht="19.5" customHeight="1">
      <c r="B710" s="35"/>
      <c r="C710" s="35"/>
      <c r="D710" s="35"/>
      <c r="E710" s="231"/>
      <c r="F710" s="35"/>
      <c r="G710" s="231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</row>
    <row r="711" ht="19.5" customHeight="1">
      <c r="B711" s="35"/>
      <c r="C711" s="35"/>
      <c r="D711" s="35"/>
      <c r="E711" s="231"/>
      <c r="F711" s="35"/>
      <c r="G711" s="231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</row>
    <row r="712" ht="19.5" customHeight="1">
      <c r="B712" s="35"/>
      <c r="C712" s="35"/>
      <c r="D712" s="35"/>
      <c r="E712" s="231"/>
      <c r="F712" s="35"/>
      <c r="G712" s="231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</row>
    <row r="713" ht="19.5" customHeight="1">
      <c r="B713" s="35"/>
      <c r="C713" s="35"/>
      <c r="D713" s="35"/>
      <c r="E713" s="231"/>
      <c r="F713" s="35"/>
      <c r="G713" s="231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</row>
    <row r="714" ht="19.5" customHeight="1">
      <c r="B714" s="35"/>
      <c r="C714" s="35"/>
      <c r="D714" s="35"/>
      <c r="E714" s="231"/>
      <c r="F714" s="35"/>
      <c r="G714" s="231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</row>
    <row r="715" ht="19.5" customHeight="1">
      <c r="B715" s="35"/>
      <c r="C715" s="35"/>
      <c r="D715" s="35"/>
      <c r="E715" s="231"/>
      <c r="F715" s="35"/>
      <c r="G715" s="231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</row>
    <row r="716" ht="19.5" customHeight="1">
      <c r="B716" s="35"/>
      <c r="C716" s="35"/>
      <c r="D716" s="35"/>
      <c r="E716" s="231"/>
      <c r="F716" s="35"/>
      <c r="G716" s="231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</row>
    <row r="717" ht="19.5" customHeight="1">
      <c r="B717" s="35"/>
      <c r="C717" s="35"/>
      <c r="D717" s="35"/>
      <c r="E717" s="231"/>
      <c r="F717" s="35"/>
      <c r="G717" s="231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</row>
    <row r="718" ht="19.5" customHeight="1">
      <c r="B718" s="35"/>
      <c r="C718" s="35"/>
      <c r="D718" s="35"/>
      <c r="E718" s="231"/>
      <c r="F718" s="35"/>
      <c r="G718" s="231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</row>
    <row r="719" ht="19.5" customHeight="1">
      <c r="B719" s="35"/>
      <c r="C719" s="35"/>
      <c r="D719" s="35"/>
      <c r="E719" s="231"/>
      <c r="F719" s="35"/>
      <c r="G719" s="231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</row>
    <row r="720" ht="19.5" customHeight="1">
      <c r="B720" s="35"/>
      <c r="C720" s="35"/>
      <c r="D720" s="35"/>
      <c r="E720" s="231"/>
      <c r="F720" s="35"/>
      <c r="G720" s="231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</row>
    <row r="721" ht="19.5" customHeight="1">
      <c r="B721" s="35"/>
      <c r="C721" s="35"/>
      <c r="D721" s="35"/>
      <c r="E721" s="231"/>
      <c r="F721" s="35"/>
      <c r="G721" s="231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</row>
    <row r="722" ht="19.5" customHeight="1">
      <c r="B722" s="35"/>
      <c r="C722" s="35"/>
      <c r="D722" s="35"/>
      <c r="E722" s="231"/>
      <c r="F722" s="35"/>
      <c r="G722" s="231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</row>
    <row r="723" ht="19.5" customHeight="1">
      <c r="B723" s="35"/>
      <c r="C723" s="35"/>
      <c r="D723" s="35"/>
      <c r="E723" s="231"/>
      <c r="F723" s="35"/>
      <c r="G723" s="231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</row>
    <row r="724" ht="19.5" customHeight="1">
      <c r="B724" s="35"/>
      <c r="C724" s="35"/>
      <c r="D724" s="35"/>
      <c r="E724" s="231"/>
      <c r="F724" s="35"/>
      <c r="G724" s="231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</row>
    <row r="725" ht="19.5" customHeight="1">
      <c r="B725" s="35"/>
      <c r="C725" s="35"/>
      <c r="D725" s="35"/>
      <c r="E725" s="231"/>
      <c r="F725" s="35"/>
      <c r="G725" s="231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</row>
    <row r="726" ht="19.5" customHeight="1">
      <c r="B726" s="35"/>
      <c r="C726" s="35"/>
      <c r="D726" s="35"/>
      <c r="E726" s="231"/>
      <c r="F726" s="35"/>
      <c r="G726" s="231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</row>
    <row r="727" ht="19.5" customHeight="1">
      <c r="B727" s="35"/>
      <c r="C727" s="35"/>
      <c r="D727" s="35"/>
      <c r="E727" s="231"/>
      <c r="F727" s="35"/>
      <c r="G727" s="231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</row>
    <row r="728" ht="19.5" customHeight="1">
      <c r="B728" s="35"/>
      <c r="C728" s="35"/>
      <c r="D728" s="35"/>
      <c r="E728" s="231"/>
      <c r="F728" s="35"/>
      <c r="G728" s="231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</row>
    <row r="729" ht="19.5" customHeight="1">
      <c r="B729" s="35"/>
      <c r="C729" s="35"/>
      <c r="D729" s="35"/>
      <c r="E729" s="231"/>
      <c r="F729" s="35"/>
      <c r="G729" s="231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</row>
    <row r="730" ht="19.5" customHeight="1">
      <c r="B730" s="35"/>
      <c r="C730" s="35"/>
      <c r="D730" s="35"/>
      <c r="E730" s="231"/>
      <c r="F730" s="35"/>
      <c r="G730" s="231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</row>
    <row r="731" ht="19.5" customHeight="1">
      <c r="B731" s="35"/>
      <c r="C731" s="35"/>
      <c r="D731" s="35"/>
      <c r="E731" s="231"/>
      <c r="F731" s="35"/>
      <c r="G731" s="231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</row>
    <row r="732" ht="19.5" customHeight="1">
      <c r="B732" s="35"/>
      <c r="C732" s="35"/>
      <c r="D732" s="35"/>
      <c r="E732" s="231"/>
      <c r="F732" s="35"/>
      <c r="G732" s="231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</row>
    <row r="733" ht="19.5" customHeight="1">
      <c r="B733" s="35"/>
      <c r="C733" s="35"/>
      <c r="D733" s="35"/>
      <c r="E733" s="231"/>
      <c r="F733" s="35"/>
      <c r="G733" s="231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</row>
    <row r="734" ht="19.5" customHeight="1">
      <c r="B734" s="35"/>
      <c r="C734" s="35"/>
      <c r="D734" s="35"/>
      <c r="E734" s="231"/>
      <c r="F734" s="35"/>
      <c r="G734" s="231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</row>
    <row r="735" ht="19.5" customHeight="1">
      <c r="B735" s="35"/>
      <c r="C735" s="35"/>
      <c r="D735" s="35"/>
      <c r="E735" s="231"/>
      <c r="F735" s="35"/>
      <c r="G735" s="231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</row>
    <row r="736" ht="19.5" customHeight="1">
      <c r="B736" s="35"/>
      <c r="C736" s="35"/>
      <c r="D736" s="35"/>
      <c r="E736" s="231"/>
      <c r="F736" s="35"/>
      <c r="G736" s="231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</row>
    <row r="737" ht="19.5" customHeight="1">
      <c r="B737" s="35"/>
      <c r="C737" s="35"/>
      <c r="D737" s="35"/>
      <c r="E737" s="231"/>
      <c r="F737" s="35"/>
      <c r="G737" s="231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</row>
    <row r="738" ht="19.5" customHeight="1">
      <c r="B738" s="35"/>
      <c r="C738" s="35"/>
      <c r="D738" s="35"/>
      <c r="E738" s="231"/>
      <c r="F738" s="35"/>
      <c r="G738" s="231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</row>
    <row r="739" ht="19.5" customHeight="1">
      <c r="B739" s="35"/>
      <c r="C739" s="35"/>
      <c r="D739" s="35"/>
      <c r="E739" s="231"/>
      <c r="F739" s="35"/>
      <c r="G739" s="231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</row>
    <row r="740" ht="19.5" customHeight="1">
      <c r="B740" s="35"/>
      <c r="C740" s="35"/>
      <c r="D740" s="35"/>
      <c r="E740" s="231"/>
      <c r="F740" s="35"/>
      <c r="G740" s="231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</row>
    <row r="741" ht="19.5" customHeight="1">
      <c r="B741" s="35"/>
      <c r="C741" s="35"/>
      <c r="D741" s="35"/>
      <c r="E741" s="231"/>
      <c r="F741" s="35"/>
      <c r="G741" s="231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</row>
    <row r="742" ht="19.5" customHeight="1">
      <c r="B742" s="35"/>
      <c r="C742" s="35"/>
      <c r="D742" s="35"/>
      <c r="E742" s="231"/>
      <c r="F742" s="35"/>
      <c r="G742" s="231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</row>
    <row r="743" ht="19.5" customHeight="1">
      <c r="B743" s="35"/>
      <c r="C743" s="35"/>
      <c r="D743" s="35"/>
      <c r="E743" s="231"/>
      <c r="F743" s="35"/>
      <c r="G743" s="231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</row>
    <row r="744" ht="19.5" customHeight="1">
      <c r="B744" s="35"/>
      <c r="C744" s="35"/>
      <c r="D744" s="35"/>
      <c r="E744" s="231"/>
      <c r="F744" s="35"/>
      <c r="G744" s="231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</row>
    <row r="745" ht="19.5" customHeight="1">
      <c r="B745" s="35"/>
      <c r="C745" s="35"/>
      <c r="D745" s="35"/>
      <c r="E745" s="231"/>
      <c r="F745" s="35"/>
      <c r="G745" s="231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</row>
    <row r="746" ht="19.5" customHeight="1">
      <c r="B746" s="35"/>
      <c r="C746" s="35"/>
      <c r="D746" s="35"/>
      <c r="E746" s="231"/>
      <c r="F746" s="35"/>
      <c r="G746" s="231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</row>
    <row r="747" ht="19.5" customHeight="1">
      <c r="B747" s="35"/>
      <c r="C747" s="35"/>
      <c r="D747" s="35"/>
      <c r="E747" s="231"/>
      <c r="F747" s="35"/>
      <c r="G747" s="231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</row>
    <row r="748" ht="19.5" customHeight="1">
      <c r="B748" s="35"/>
      <c r="C748" s="35"/>
      <c r="D748" s="35"/>
      <c r="E748" s="231"/>
      <c r="F748" s="35"/>
      <c r="G748" s="231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</row>
    <row r="749" ht="19.5" customHeight="1">
      <c r="B749" s="35"/>
      <c r="C749" s="35"/>
      <c r="D749" s="35"/>
      <c r="E749" s="231"/>
      <c r="F749" s="35"/>
      <c r="G749" s="231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</row>
    <row r="750" ht="19.5" customHeight="1">
      <c r="B750" s="35"/>
      <c r="C750" s="35"/>
      <c r="D750" s="35"/>
      <c r="E750" s="231"/>
      <c r="F750" s="35"/>
      <c r="G750" s="231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</row>
    <row r="751" ht="19.5" customHeight="1">
      <c r="B751" s="35"/>
      <c r="C751" s="35"/>
      <c r="D751" s="35"/>
      <c r="E751" s="231"/>
      <c r="F751" s="35"/>
      <c r="G751" s="231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</row>
    <row r="752" ht="19.5" customHeight="1">
      <c r="B752" s="35"/>
      <c r="C752" s="35"/>
      <c r="D752" s="35"/>
      <c r="E752" s="231"/>
      <c r="F752" s="35"/>
      <c r="G752" s="231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</row>
    <row r="753" ht="19.5" customHeight="1">
      <c r="B753" s="35"/>
      <c r="C753" s="35"/>
      <c r="D753" s="35"/>
      <c r="E753" s="231"/>
      <c r="F753" s="35"/>
      <c r="G753" s="231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</row>
    <row r="754" ht="19.5" customHeight="1">
      <c r="B754" s="35"/>
      <c r="C754" s="35"/>
      <c r="D754" s="35"/>
      <c r="E754" s="231"/>
      <c r="F754" s="35"/>
      <c r="G754" s="231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</row>
    <row r="755" ht="19.5" customHeight="1">
      <c r="B755" s="35"/>
      <c r="C755" s="35"/>
      <c r="D755" s="35"/>
      <c r="E755" s="231"/>
      <c r="F755" s="35"/>
      <c r="G755" s="231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</row>
    <row r="756" ht="19.5" customHeight="1">
      <c r="B756" s="35"/>
      <c r="C756" s="35"/>
      <c r="D756" s="35"/>
      <c r="E756" s="231"/>
      <c r="F756" s="35"/>
      <c r="G756" s="231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</row>
    <row r="757" ht="19.5" customHeight="1">
      <c r="B757" s="35"/>
      <c r="C757" s="35"/>
      <c r="D757" s="35"/>
      <c r="E757" s="231"/>
      <c r="F757" s="35"/>
      <c r="G757" s="231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</row>
    <row r="758" ht="19.5" customHeight="1">
      <c r="B758" s="35"/>
      <c r="C758" s="35"/>
      <c r="D758" s="35"/>
      <c r="E758" s="231"/>
      <c r="F758" s="35"/>
      <c r="G758" s="231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</row>
    <row r="759" ht="19.5" customHeight="1">
      <c r="B759" s="35"/>
      <c r="C759" s="35"/>
      <c r="D759" s="35"/>
      <c r="E759" s="231"/>
      <c r="F759" s="35"/>
      <c r="G759" s="231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</row>
    <row r="760" ht="19.5" customHeight="1">
      <c r="B760" s="35"/>
      <c r="C760" s="35"/>
      <c r="D760" s="35"/>
      <c r="E760" s="231"/>
      <c r="F760" s="35"/>
      <c r="G760" s="231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</row>
    <row r="761" ht="19.5" customHeight="1">
      <c r="B761" s="35"/>
      <c r="C761" s="35"/>
      <c r="D761" s="35"/>
      <c r="E761" s="231"/>
      <c r="F761" s="35"/>
      <c r="G761" s="231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</row>
    <row r="762" ht="19.5" customHeight="1">
      <c r="B762" s="35"/>
      <c r="C762" s="35"/>
      <c r="D762" s="35"/>
      <c r="E762" s="231"/>
      <c r="F762" s="35"/>
      <c r="G762" s="231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</row>
    <row r="763" ht="19.5" customHeight="1">
      <c r="B763" s="35"/>
      <c r="C763" s="35"/>
      <c r="D763" s="35"/>
      <c r="E763" s="231"/>
      <c r="F763" s="35"/>
      <c r="G763" s="231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</row>
    <row r="764" ht="19.5" customHeight="1">
      <c r="B764" s="35"/>
      <c r="C764" s="35"/>
      <c r="D764" s="35"/>
      <c r="E764" s="231"/>
      <c r="F764" s="35"/>
      <c r="G764" s="231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</row>
    <row r="765" ht="19.5" customHeight="1">
      <c r="B765" s="35"/>
      <c r="C765" s="35"/>
      <c r="D765" s="35"/>
      <c r="E765" s="231"/>
      <c r="F765" s="35"/>
      <c r="G765" s="231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</row>
    <row r="766" ht="19.5" customHeight="1">
      <c r="B766" s="35"/>
      <c r="C766" s="35"/>
      <c r="D766" s="35"/>
      <c r="E766" s="231"/>
      <c r="F766" s="35"/>
      <c r="G766" s="231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</row>
    <row r="767" ht="19.5" customHeight="1">
      <c r="B767" s="35"/>
      <c r="C767" s="35"/>
      <c r="D767" s="35"/>
      <c r="E767" s="231"/>
      <c r="F767" s="35"/>
      <c r="G767" s="231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</row>
    <row r="768" ht="19.5" customHeight="1">
      <c r="B768" s="35"/>
      <c r="C768" s="35"/>
      <c r="D768" s="35"/>
      <c r="E768" s="231"/>
      <c r="F768" s="35"/>
      <c r="G768" s="231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</row>
    <row r="769" ht="19.5" customHeight="1">
      <c r="B769" s="35"/>
      <c r="C769" s="35"/>
      <c r="D769" s="35"/>
      <c r="E769" s="231"/>
      <c r="F769" s="35"/>
      <c r="G769" s="231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</row>
    <row r="770" ht="19.5" customHeight="1">
      <c r="B770" s="35"/>
      <c r="C770" s="35"/>
      <c r="D770" s="35"/>
      <c r="E770" s="231"/>
      <c r="F770" s="35"/>
      <c r="G770" s="231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</row>
    <row r="771" ht="19.5" customHeight="1">
      <c r="B771" s="35"/>
      <c r="C771" s="35"/>
      <c r="D771" s="35"/>
      <c r="E771" s="231"/>
      <c r="F771" s="35"/>
      <c r="G771" s="231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</row>
    <row r="772" ht="19.5" customHeight="1">
      <c r="B772" s="35"/>
      <c r="C772" s="35"/>
      <c r="D772" s="35"/>
      <c r="E772" s="231"/>
      <c r="F772" s="35"/>
      <c r="G772" s="231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</row>
    <row r="773" ht="19.5" customHeight="1">
      <c r="B773" s="35"/>
      <c r="C773" s="35"/>
      <c r="D773" s="35"/>
      <c r="E773" s="231"/>
      <c r="F773" s="35"/>
      <c r="G773" s="231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</row>
    <row r="774" ht="19.5" customHeight="1">
      <c r="B774" s="35"/>
      <c r="C774" s="35"/>
      <c r="D774" s="35"/>
      <c r="E774" s="231"/>
      <c r="F774" s="35"/>
      <c r="G774" s="231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</row>
    <row r="775" ht="19.5" customHeight="1">
      <c r="B775" s="35"/>
      <c r="C775" s="35"/>
      <c r="D775" s="35"/>
      <c r="E775" s="231"/>
      <c r="F775" s="35"/>
      <c r="G775" s="231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</row>
    <row r="776" ht="19.5" customHeight="1">
      <c r="B776" s="35"/>
      <c r="C776" s="35"/>
      <c r="D776" s="35"/>
      <c r="E776" s="231"/>
      <c r="F776" s="35"/>
      <c r="G776" s="231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</row>
    <row r="777" ht="19.5" customHeight="1">
      <c r="B777" s="35"/>
      <c r="C777" s="35"/>
      <c r="D777" s="35"/>
      <c r="E777" s="231"/>
      <c r="F777" s="35"/>
      <c r="G777" s="231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</row>
    <row r="778" ht="19.5" customHeight="1">
      <c r="B778" s="35"/>
      <c r="C778" s="35"/>
      <c r="D778" s="35"/>
      <c r="E778" s="231"/>
      <c r="F778" s="35"/>
      <c r="G778" s="231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</row>
    <row r="779" ht="19.5" customHeight="1">
      <c r="B779" s="35"/>
      <c r="C779" s="35"/>
      <c r="D779" s="35"/>
      <c r="E779" s="231"/>
      <c r="F779" s="35"/>
      <c r="G779" s="231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</row>
    <row r="780" ht="19.5" customHeight="1">
      <c r="B780" s="35"/>
      <c r="C780" s="35"/>
      <c r="D780" s="35"/>
      <c r="E780" s="231"/>
      <c r="F780" s="35"/>
      <c r="G780" s="231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</row>
    <row r="781" ht="19.5" customHeight="1">
      <c r="B781" s="35"/>
      <c r="C781" s="35"/>
      <c r="D781" s="35"/>
      <c r="E781" s="231"/>
      <c r="F781" s="35"/>
      <c r="G781" s="231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</row>
    <row r="782" ht="19.5" customHeight="1">
      <c r="B782" s="35"/>
      <c r="C782" s="35"/>
      <c r="D782" s="35"/>
      <c r="E782" s="231"/>
      <c r="F782" s="35"/>
      <c r="G782" s="231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</row>
    <row r="783" ht="19.5" customHeight="1">
      <c r="B783" s="35"/>
      <c r="C783" s="35"/>
      <c r="D783" s="35"/>
      <c r="E783" s="231"/>
      <c r="F783" s="35"/>
      <c r="G783" s="231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</row>
    <row r="784" ht="19.5" customHeight="1">
      <c r="B784" s="35"/>
      <c r="C784" s="35"/>
      <c r="D784" s="35"/>
      <c r="E784" s="231"/>
      <c r="F784" s="35"/>
      <c r="G784" s="231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</row>
    <row r="785" ht="19.5" customHeight="1">
      <c r="B785" s="35"/>
      <c r="C785" s="35"/>
      <c r="D785" s="35"/>
      <c r="E785" s="231"/>
      <c r="F785" s="35"/>
      <c r="G785" s="231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</row>
    <row r="786" ht="19.5" customHeight="1">
      <c r="B786" s="35"/>
      <c r="C786" s="35"/>
      <c r="D786" s="35"/>
      <c r="E786" s="231"/>
      <c r="F786" s="35"/>
      <c r="G786" s="231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</row>
    <row r="787" ht="19.5" customHeight="1">
      <c r="B787" s="35"/>
      <c r="C787" s="35"/>
      <c r="D787" s="35"/>
      <c r="E787" s="231"/>
      <c r="F787" s="35"/>
      <c r="G787" s="231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</row>
    <row r="788" ht="19.5" customHeight="1">
      <c r="B788" s="35"/>
      <c r="C788" s="35"/>
      <c r="D788" s="35"/>
      <c r="E788" s="231"/>
      <c r="F788" s="35"/>
      <c r="G788" s="231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</row>
    <row r="789" ht="19.5" customHeight="1">
      <c r="B789" s="35"/>
      <c r="C789" s="35"/>
      <c r="D789" s="35"/>
      <c r="E789" s="231"/>
      <c r="F789" s="35"/>
      <c r="G789" s="231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</row>
    <row r="790" ht="19.5" customHeight="1">
      <c r="B790" s="35"/>
      <c r="C790" s="35"/>
      <c r="D790" s="35"/>
      <c r="E790" s="231"/>
      <c r="F790" s="35"/>
      <c r="G790" s="231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</row>
    <row r="791" ht="19.5" customHeight="1">
      <c r="B791" s="35"/>
      <c r="C791" s="35"/>
      <c r="D791" s="35"/>
      <c r="E791" s="231"/>
      <c r="F791" s="35"/>
      <c r="G791" s="231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</row>
    <row r="792" ht="19.5" customHeight="1">
      <c r="B792" s="35"/>
      <c r="C792" s="35"/>
      <c r="D792" s="35"/>
      <c r="E792" s="231"/>
      <c r="F792" s="35"/>
      <c r="G792" s="231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</row>
    <row r="793" ht="19.5" customHeight="1">
      <c r="B793" s="35"/>
      <c r="C793" s="35"/>
      <c r="D793" s="35"/>
      <c r="E793" s="231"/>
      <c r="F793" s="35"/>
      <c r="G793" s="231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</row>
    <row r="794" ht="19.5" customHeight="1">
      <c r="B794" s="35"/>
      <c r="C794" s="35"/>
      <c r="D794" s="35"/>
      <c r="E794" s="231"/>
      <c r="F794" s="35"/>
      <c r="G794" s="231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</row>
    <row r="795" ht="19.5" customHeight="1">
      <c r="B795" s="35"/>
      <c r="C795" s="35"/>
      <c r="D795" s="35"/>
      <c r="E795" s="231"/>
      <c r="F795" s="35"/>
      <c r="G795" s="231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</row>
    <row r="796" ht="19.5" customHeight="1">
      <c r="B796" s="35"/>
      <c r="C796" s="35"/>
      <c r="D796" s="35"/>
      <c r="E796" s="231"/>
      <c r="F796" s="35"/>
      <c r="G796" s="231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</row>
    <row r="797" ht="19.5" customHeight="1">
      <c r="B797" s="35"/>
      <c r="C797" s="35"/>
      <c r="D797" s="35"/>
      <c r="E797" s="231"/>
      <c r="F797" s="35"/>
      <c r="G797" s="231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</row>
    <row r="798" ht="19.5" customHeight="1">
      <c r="B798" s="35"/>
      <c r="C798" s="35"/>
      <c r="D798" s="35"/>
      <c r="E798" s="231"/>
      <c r="F798" s="35"/>
      <c r="G798" s="231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</row>
    <row r="799" ht="19.5" customHeight="1">
      <c r="B799" s="35"/>
      <c r="C799" s="35"/>
      <c r="D799" s="35"/>
      <c r="E799" s="231"/>
      <c r="F799" s="35"/>
      <c r="G799" s="231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</row>
    <row r="800" ht="19.5" customHeight="1">
      <c r="B800" s="35"/>
      <c r="C800" s="35"/>
      <c r="D800" s="35"/>
      <c r="E800" s="231"/>
      <c r="F800" s="35"/>
      <c r="G800" s="231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</row>
    <row r="801" ht="19.5" customHeight="1">
      <c r="B801" s="35"/>
      <c r="C801" s="35"/>
      <c r="D801" s="35"/>
      <c r="E801" s="231"/>
      <c r="F801" s="35"/>
      <c r="G801" s="231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</row>
    <row r="802" ht="19.5" customHeight="1">
      <c r="B802" s="35"/>
      <c r="C802" s="35"/>
      <c r="D802" s="35"/>
      <c r="E802" s="231"/>
      <c r="F802" s="35"/>
      <c r="G802" s="231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</row>
    <row r="803" ht="19.5" customHeight="1">
      <c r="B803" s="35"/>
      <c r="C803" s="35"/>
      <c r="D803" s="35"/>
      <c r="E803" s="231"/>
      <c r="F803" s="35"/>
      <c r="G803" s="231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</row>
    <row r="804" ht="19.5" customHeight="1">
      <c r="B804" s="35"/>
      <c r="C804" s="35"/>
      <c r="D804" s="35"/>
      <c r="E804" s="231"/>
      <c r="F804" s="35"/>
      <c r="G804" s="231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</row>
    <row r="805" ht="19.5" customHeight="1">
      <c r="B805" s="35"/>
      <c r="C805" s="35"/>
      <c r="D805" s="35"/>
      <c r="E805" s="231"/>
      <c r="F805" s="35"/>
      <c r="G805" s="231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</row>
    <row r="806" ht="19.5" customHeight="1">
      <c r="B806" s="35"/>
      <c r="C806" s="35"/>
      <c r="D806" s="35"/>
      <c r="E806" s="231"/>
      <c r="F806" s="35"/>
      <c r="G806" s="231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</row>
    <row r="807" ht="19.5" customHeight="1">
      <c r="B807" s="35"/>
      <c r="C807" s="35"/>
      <c r="D807" s="35"/>
      <c r="E807" s="231"/>
      <c r="F807" s="35"/>
      <c r="G807" s="231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</row>
    <row r="808" ht="19.5" customHeight="1">
      <c r="B808" s="35"/>
      <c r="C808" s="35"/>
      <c r="D808" s="35"/>
      <c r="E808" s="231"/>
      <c r="F808" s="35"/>
      <c r="G808" s="231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</row>
    <row r="809" ht="19.5" customHeight="1">
      <c r="B809" s="35"/>
      <c r="C809" s="35"/>
      <c r="D809" s="35"/>
      <c r="E809" s="231"/>
      <c r="F809" s="35"/>
      <c r="G809" s="231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</row>
    <row r="810" ht="19.5" customHeight="1">
      <c r="B810" s="35"/>
      <c r="C810" s="35"/>
      <c r="D810" s="35"/>
      <c r="E810" s="231"/>
      <c r="F810" s="35"/>
      <c r="G810" s="231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</row>
    <row r="811" ht="19.5" customHeight="1">
      <c r="B811" s="35"/>
      <c r="C811" s="35"/>
      <c r="D811" s="35"/>
      <c r="E811" s="231"/>
      <c r="F811" s="35"/>
      <c r="G811" s="231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</row>
    <row r="812" ht="19.5" customHeight="1">
      <c r="B812" s="35"/>
      <c r="C812" s="35"/>
      <c r="D812" s="35"/>
      <c r="E812" s="231"/>
      <c r="F812" s="35"/>
      <c r="G812" s="231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</row>
    <row r="813" ht="19.5" customHeight="1">
      <c r="B813" s="35"/>
      <c r="C813" s="35"/>
      <c r="D813" s="35"/>
      <c r="E813" s="231"/>
      <c r="F813" s="35"/>
      <c r="G813" s="231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</row>
    <row r="814" ht="19.5" customHeight="1">
      <c r="B814" s="35"/>
      <c r="C814" s="35"/>
      <c r="D814" s="35"/>
      <c r="E814" s="231"/>
      <c r="F814" s="35"/>
      <c r="G814" s="231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</row>
    <row r="815" ht="19.5" customHeight="1">
      <c r="B815" s="35"/>
      <c r="C815" s="35"/>
      <c r="D815" s="35"/>
      <c r="E815" s="231"/>
      <c r="F815" s="35"/>
      <c r="G815" s="231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</row>
    <row r="816" ht="19.5" customHeight="1">
      <c r="B816" s="35"/>
      <c r="C816" s="35"/>
      <c r="D816" s="35"/>
      <c r="E816" s="231"/>
      <c r="F816" s="35"/>
      <c r="G816" s="231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</row>
    <row r="817" ht="19.5" customHeight="1">
      <c r="B817" s="35"/>
      <c r="C817" s="35"/>
      <c r="D817" s="35"/>
      <c r="E817" s="231"/>
      <c r="F817" s="35"/>
      <c r="G817" s="231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</row>
    <row r="818" ht="19.5" customHeight="1">
      <c r="B818" s="35"/>
      <c r="C818" s="35"/>
      <c r="D818" s="35"/>
      <c r="E818" s="231"/>
      <c r="F818" s="35"/>
      <c r="G818" s="231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</row>
    <row r="819" ht="19.5" customHeight="1">
      <c r="B819" s="35"/>
      <c r="C819" s="35"/>
      <c r="D819" s="35"/>
      <c r="E819" s="231"/>
      <c r="F819" s="35"/>
      <c r="G819" s="231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</row>
    <row r="820" ht="19.5" customHeight="1">
      <c r="B820" s="35"/>
      <c r="C820" s="35"/>
      <c r="D820" s="35"/>
      <c r="E820" s="231"/>
      <c r="F820" s="35"/>
      <c r="G820" s="231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</row>
    <row r="821" ht="19.5" customHeight="1">
      <c r="B821" s="35"/>
      <c r="C821" s="35"/>
      <c r="D821" s="35"/>
      <c r="E821" s="231"/>
      <c r="F821" s="35"/>
      <c r="G821" s="231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</row>
    <row r="822" ht="19.5" customHeight="1">
      <c r="B822" s="35"/>
      <c r="C822" s="35"/>
      <c r="D822" s="35"/>
      <c r="E822" s="231"/>
      <c r="F822" s="35"/>
      <c r="G822" s="231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</row>
    <row r="823" ht="19.5" customHeight="1">
      <c r="B823" s="35"/>
      <c r="C823" s="35"/>
      <c r="D823" s="35"/>
      <c r="E823" s="231"/>
      <c r="F823" s="35"/>
      <c r="G823" s="231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</row>
    <row r="824" ht="19.5" customHeight="1">
      <c r="B824" s="35"/>
      <c r="C824" s="35"/>
      <c r="D824" s="35"/>
      <c r="E824" s="231"/>
      <c r="F824" s="35"/>
      <c r="G824" s="231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</row>
    <row r="825" ht="19.5" customHeight="1">
      <c r="B825" s="35"/>
      <c r="C825" s="35"/>
      <c r="D825" s="35"/>
      <c r="E825" s="231"/>
      <c r="F825" s="35"/>
      <c r="G825" s="231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</row>
    <row r="826" ht="19.5" customHeight="1">
      <c r="B826" s="35"/>
      <c r="C826" s="35"/>
      <c r="D826" s="35"/>
      <c r="E826" s="231"/>
      <c r="F826" s="35"/>
      <c r="G826" s="231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</row>
    <row r="827" ht="19.5" customHeight="1">
      <c r="B827" s="35"/>
      <c r="C827" s="35"/>
      <c r="D827" s="35"/>
      <c r="E827" s="231"/>
      <c r="F827" s="35"/>
      <c r="G827" s="231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</row>
    <row r="828" ht="19.5" customHeight="1">
      <c r="B828" s="35"/>
      <c r="C828" s="35"/>
      <c r="D828" s="35"/>
      <c r="E828" s="231"/>
      <c r="F828" s="35"/>
      <c r="G828" s="231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</row>
    <row r="829" ht="19.5" customHeight="1">
      <c r="B829" s="35"/>
      <c r="C829" s="35"/>
      <c r="D829" s="35"/>
      <c r="E829" s="231"/>
      <c r="F829" s="35"/>
      <c r="G829" s="231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</row>
    <row r="830" ht="19.5" customHeight="1">
      <c r="B830" s="35"/>
      <c r="C830" s="35"/>
      <c r="D830" s="35"/>
      <c r="E830" s="231"/>
      <c r="F830" s="35"/>
      <c r="G830" s="231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</row>
    <row r="831" ht="19.5" customHeight="1">
      <c r="B831" s="35"/>
      <c r="C831" s="35"/>
      <c r="D831" s="35"/>
      <c r="E831" s="231"/>
      <c r="F831" s="35"/>
      <c r="G831" s="231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</row>
    <row r="832" ht="19.5" customHeight="1">
      <c r="B832" s="35"/>
      <c r="C832" s="35"/>
      <c r="D832" s="35"/>
      <c r="E832" s="231"/>
      <c r="F832" s="35"/>
      <c r="G832" s="231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</row>
    <row r="833" ht="19.5" customHeight="1">
      <c r="B833" s="35"/>
      <c r="C833" s="35"/>
      <c r="D833" s="35"/>
      <c r="E833" s="231"/>
      <c r="F833" s="35"/>
      <c r="G833" s="231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</row>
    <row r="834" ht="19.5" customHeight="1">
      <c r="B834" s="35"/>
      <c r="C834" s="35"/>
      <c r="D834" s="35"/>
      <c r="E834" s="231"/>
      <c r="F834" s="35"/>
      <c r="G834" s="231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</row>
    <row r="835" ht="19.5" customHeight="1">
      <c r="B835" s="35"/>
      <c r="C835" s="35"/>
      <c r="D835" s="35"/>
      <c r="E835" s="231"/>
      <c r="F835" s="35"/>
      <c r="G835" s="231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</row>
    <row r="836" ht="19.5" customHeight="1">
      <c r="B836" s="35"/>
      <c r="C836" s="35"/>
      <c r="D836" s="35"/>
      <c r="E836" s="231"/>
      <c r="F836" s="35"/>
      <c r="G836" s="231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</row>
    <row r="837" ht="19.5" customHeight="1">
      <c r="B837" s="35"/>
      <c r="C837" s="35"/>
      <c r="D837" s="35"/>
      <c r="E837" s="231"/>
      <c r="F837" s="35"/>
      <c r="G837" s="231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</row>
    <row r="838" ht="19.5" customHeight="1">
      <c r="B838" s="35"/>
      <c r="C838" s="35"/>
      <c r="D838" s="35"/>
      <c r="E838" s="231"/>
      <c r="F838" s="35"/>
      <c r="G838" s="231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</row>
    <row r="839" ht="19.5" customHeight="1">
      <c r="B839" s="35"/>
      <c r="C839" s="35"/>
      <c r="D839" s="35"/>
      <c r="E839" s="231"/>
      <c r="F839" s="35"/>
      <c r="G839" s="231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</row>
    <row r="840" ht="19.5" customHeight="1">
      <c r="B840" s="35"/>
      <c r="C840" s="35"/>
      <c r="D840" s="35"/>
      <c r="E840" s="231"/>
      <c r="F840" s="35"/>
      <c r="G840" s="231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</row>
    <row r="841" ht="19.5" customHeight="1">
      <c r="B841" s="35"/>
      <c r="C841" s="35"/>
      <c r="D841" s="35"/>
      <c r="E841" s="231"/>
      <c r="F841" s="35"/>
      <c r="G841" s="231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</row>
    <row r="842" ht="19.5" customHeight="1">
      <c r="B842" s="35"/>
      <c r="C842" s="35"/>
      <c r="D842" s="35"/>
      <c r="E842" s="231"/>
      <c r="F842" s="35"/>
      <c r="G842" s="231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</row>
    <row r="843" ht="19.5" customHeight="1">
      <c r="B843" s="35"/>
      <c r="C843" s="35"/>
      <c r="D843" s="35"/>
      <c r="E843" s="231"/>
      <c r="F843" s="35"/>
      <c r="G843" s="231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</row>
    <row r="844" ht="19.5" customHeight="1">
      <c r="B844" s="35"/>
      <c r="C844" s="35"/>
      <c r="D844" s="35"/>
      <c r="E844" s="231"/>
      <c r="F844" s="35"/>
      <c r="G844" s="231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</row>
    <row r="845" ht="19.5" customHeight="1">
      <c r="B845" s="35"/>
      <c r="C845" s="35"/>
      <c r="D845" s="35"/>
      <c r="E845" s="231"/>
      <c r="F845" s="35"/>
      <c r="G845" s="231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</row>
    <row r="846" ht="19.5" customHeight="1">
      <c r="B846" s="35"/>
      <c r="C846" s="35"/>
      <c r="D846" s="35"/>
      <c r="E846" s="231"/>
      <c r="F846" s="35"/>
      <c r="G846" s="231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</row>
    <row r="847" ht="19.5" customHeight="1">
      <c r="B847" s="35"/>
      <c r="C847" s="35"/>
      <c r="D847" s="35"/>
      <c r="E847" s="231"/>
      <c r="F847" s="35"/>
      <c r="G847" s="231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</row>
    <row r="848" ht="19.5" customHeight="1">
      <c r="B848" s="35"/>
      <c r="C848" s="35"/>
      <c r="D848" s="35"/>
      <c r="E848" s="231"/>
      <c r="F848" s="35"/>
      <c r="G848" s="231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</row>
    <row r="849" ht="19.5" customHeight="1">
      <c r="B849" s="35"/>
      <c r="C849" s="35"/>
      <c r="D849" s="35"/>
      <c r="E849" s="231"/>
      <c r="F849" s="35"/>
      <c r="G849" s="231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</row>
    <row r="850" ht="19.5" customHeight="1">
      <c r="B850" s="35"/>
      <c r="C850" s="35"/>
      <c r="D850" s="35"/>
      <c r="E850" s="231"/>
      <c r="F850" s="35"/>
      <c r="G850" s="231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</row>
    <row r="851" ht="19.5" customHeight="1">
      <c r="B851" s="35"/>
      <c r="C851" s="35"/>
      <c r="D851" s="35"/>
      <c r="E851" s="231"/>
      <c r="F851" s="35"/>
      <c r="G851" s="231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</row>
    <row r="852" ht="19.5" customHeight="1">
      <c r="B852" s="35"/>
      <c r="C852" s="35"/>
      <c r="D852" s="35"/>
      <c r="E852" s="231"/>
      <c r="F852" s="35"/>
      <c r="G852" s="231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</row>
    <row r="853" ht="19.5" customHeight="1">
      <c r="B853" s="35"/>
      <c r="C853" s="35"/>
      <c r="D853" s="35"/>
      <c r="E853" s="231"/>
      <c r="F853" s="35"/>
      <c r="G853" s="231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</row>
    <row r="854" ht="19.5" customHeight="1">
      <c r="B854" s="35"/>
      <c r="C854" s="35"/>
      <c r="D854" s="35"/>
      <c r="E854" s="231"/>
      <c r="F854" s="35"/>
      <c r="G854" s="231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</row>
    <row r="855" ht="19.5" customHeight="1">
      <c r="B855" s="35"/>
      <c r="C855" s="35"/>
      <c r="D855" s="35"/>
      <c r="E855" s="231"/>
      <c r="F855" s="35"/>
      <c r="G855" s="231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</row>
    <row r="856" ht="19.5" customHeight="1">
      <c r="B856" s="35"/>
      <c r="C856" s="35"/>
      <c r="D856" s="35"/>
      <c r="E856" s="231"/>
      <c r="F856" s="35"/>
      <c r="G856" s="231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</row>
    <row r="857" ht="19.5" customHeight="1">
      <c r="B857" s="35"/>
      <c r="C857" s="35"/>
      <c r="D857" s="35"/>
      <c r="E857" s="231"/>
      <c r="F857" s="35"/>
      <c r="G857" s="231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</row>
    <row r="858" ht="19.5" customHeight="1">
      <c r="B858" s="35"/>
      <c r="C858" s="35"/>
      <c r="D858" s="35"/>
      <c r="E858" s="231"/>
      <c r="F858" s="35"/>
      <c r="G858" s="231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</row>
    <row r="859" ht="19.5" customHeight="1">
      <c r="B859" s="35"/>
      <c r="C859" s="35"/>
      <c r="D859" s="35"/>
      <c r="E859" s="231"/>
      <c r="F859" s="35"/>
      <c r="G859" s="231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</row>
    <row r="860" ht="19.5" customHeight="1">
      <c r="B860" s="35"/>
      <c r="C860" s="35"/>
      <c r="D860" s="35"/>
      <c r="E860" s="231"/>
      <c r="F860" s="35"/>
      <c r="G860" s="231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</row>
    <row r="861" ht="19.5" customHeight="1">
      <c r="B861" s="35"/>
      <c r="C861" s="35"/>
      <c r="D861" s="35"/>
      <c r="E861" s="231"/>
      <c r="F861" s="35"/>
      <c r="G861" s="231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</row>
    <row r="862" ht="19.5" customHeight="1">
      <c r="B862" s="35"/>
      <c r="C862" s="35"/>
      <c r="D862" s="35"/>
      <c r="E862" s="231"/>
      <c r="F862" s="35"/>
      <c r="G862" s="231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</row>
    <row r="863" ht="19.5" customHeight="1">
      <c r="B863" s="35"/>
      <c r="C863" s="35"/>
      <c r="D863" s="35"/>
      <c r="E863" s="231"/>
      <c r="F863" s="35"/>
      <c r="G863" s="231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</row>
    <row r="864" ht="19.5" customHeight="1">
      <c r="B864" s="35"/>
      <c r="C864" s="35"/>
      <c r="D864" s="35"/>
      <c r="E864" s="231"/>
      <c r="F864" s="35"/>
      <c r="G864" s="231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</row>
    <row r="865" ht="19.5" customHeight="1">
      <c r="B865" s="35"/>
      <c r="C865" s="35"/>
      <c r="D865" s="35"/>
      <c r="E865" s="231"/>
      <c r="F865" s="35"/>
      <c r="G865" s="231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</row>
    <row r="866" ht="19.5" customHeight="1">
      <c r="B866" s="35"/>
      <c r="C866" s="35"/>
      <c r="D866" s="35"/>
      <c r="E866" s="231"/>
      <c r="F866" s="35"/>
      <c r="G866" s="231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</row>
    <row r="867" ht="19.5" customHeight="1">
      <c r="B867" s="35"/>
      <c r="C867" s="35"/>
      <c r="D867" s="35"/>
      <c r="E867" s="231"/>
      <c r="F867" s="35"/>
      <c r="G867" s="231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</row>
    <row r="868" ht="19.5" customHeight="1">
      <c r="B868" s="35"/>
      <c r="C868" s="35"/>
      <c r="D868" s="35"/>
      <c r="E868" s="231"/>
      <c r="F868" s="35"/>
      <c r="G868" s="231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</row>
    <row r="869" ht="19.5" customHeight="1">
      <c r="B869" s="35"/>
      <c r="C869" s="35"/>
      <c r="D869" s="35"/>
      <c r="E869" s="231"/>
      <c r="F869" s="35"/>
      <c r="G869" s="231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</row>
    <row r="870" ht="19.5" customHeight="1">
      <c r="B870" s="35"/>
      <c r="C870" s="35"/>
      <c r="D870" s="35"/>
      <c r="E870" s="231"/>
      <c r="F870" s="35"/>
      <c r="G870" s="231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</row>
    <row r="871" ht="19.5" customHeight="1">
      <c r="B871" s="35"/>
      <c r="C871" s="35"/>
      <c r="D871" s="35"/>
      <c r="E871" s="231"/>
      <c r="F871" s="35"/>
      <c r="G871" s="231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</row>
    <row r="872" ht="19.5" customHeight="1">
      <c r="B872" s="35"/>
      <c r="C872" s="35"/>
      <c r="D872" s="35"/>
      <c r="E872" s="231"/>
      <c r="F872" s="35"/>
      <c r="G872" s="231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</row>
    <row r="873" ht="19.5" customHeight="1">
      <c r="B873" s="35"/>
      <c r="C873" s="35"/>
      <c r="D873" s="35"/>
      <c r="E873" s="231"/>
      <c r="F873" s="35"/>
      <c r="G873" s="231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</row>
    <row r="874" ht="19.5" customHeight="1">
      <c r="B874" s="35"/>
      <c r="C874" s="35"/>
      <c r="D874" s="35"/>
      <c r="E874" s="231"/>
      <c r="F874" s="35"/>
      <c r="G874" s="231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</row>
    <row r="875" ht="19.5" customHeight="1">
      <c r="B875" s="35"/>
      <c r="C875" s="35"/>
      <c r="D875" s="35"/>
      <c r="E875" s="231"/>
      <c r="F875" s="35"/>
      <c r="G875" s="231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</row>
    <row r="876" ht="19.5" customHeight="1">
      <c r="B876" s="35"/>
      <c r="C876" s="35"/>
      <c r="D876" s="35"/>
      <c r="E876" s="231"/>
      <c r="F876" s="35"/>
      <c r="G876" s="231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</row>
    <row r="877" ht="19.5" customHeight="1">
      <c r="B877" s="35"/>
      <c r="C877" s="35"/>
      <c r="D877" s="35"/>
      <c r="E877" s="231"/>
      <c r="F877" s="35"/>
      <c r="G877" s="231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</row>
    <row r="878" ht="19.5" customHeight="1">
      <c r="B878" s="35"/>
      <c r="C878" s="35"/>
      <c r="D878" s="35"/>
      <c r="E878" s="231"/>
      <c r="F878" s="35"/>
      <c r="G878" s="231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</row>
    <row r="879" ht="19.5" customHeight="1">
      <c r="B879" s="35"/>
      <c r="C879" s="35"/>
      <c r="D879" s="35"/>
      <c r="E879" s="231"/>
      <c r="F879" s="35"/>
      <c r="G879" s="231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</row>
    <row r="880" ht="19.5" customHeight="1">
      <c r="B880" s="35"/>
      <c r="C880" s="35"/>
      <c r="D880" s="35"/>
      <c r="E880" s="231"/>
      <c r="F880" s="35"/>
      <c r="G880" s="231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</row>
    <row r="881" ht="19.5" customHeight="1">
      <c r="B881" s="35"/>
      <c r="C881" s="35"/>
      <c r="D881" s="35"/>
      <c r="E881" s="231"/>
      <c r="F881" s="35"/>
      <c r="G881" s="231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</row>
    <row r="882" ht="19.5" customHeight="1">
      <c r="B882" s="35"/>
      <c r="C882" s="35"/>
      <c r="D882" s="35"/>
      <c r="E882" s="231"/>
      <c r="F882" s="35"/>
      <c r="G882" s="231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</row>
    <row r="883" ht="19.5" customHeight="1">
      <c r="B883" s="35"/>
      <c r="C883" s="35"/>
      <c r="D883" s="35"/>
      <c r="E883" s="231"/>
      <c r="F883" s="35"/>
      <c r="G883" s="231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</row>
    <row r="884" ht="19.5" customHeight="1">
      <c r="B884" s="35"/>
      <c r="C884" s="35"/>
      <c r="D884" s="35"/>
      <c r="E884" s="231"/>
      <c r="F884" s="35"/>
      <c r="G884" s="231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</row>
    <row r="885" ht="19.5" customHeight="1">
      <c r="B885" s="35"/>
      <c r="C885" s="35"/>
      <c r="D885" s="35"/>
      <c r="E885" s="231"/>
      <c r="F885" s="35"/>
      <c r="G885" s="231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</row>
    <row r="886" ht="19.5" customHeight="1">
      <c r="B886" s="35"/>
      <c r="C886" s="35"/>
      <c r="D886" s="35"/>
      <c r="E886" s="231"/>
      <c r="F886" s="35"/>
      <c r="G886" s="231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</row>
    <row r="887" ht="19.5" customHeight="1">
      <c r="B887" s="35"/>
      <c r="C887" s="35"/>
      <c r="D887" s="35"/>
      <c r="E887" s="231"/>
      <c r="F887" s="35"/>
      <c r="G887" s="231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</row>
    <row r="888" ht="19.5" customHeight="1">
      <c r="B888" s="35"/>
      <c r="C888" s="35"/>
      <c r="D888" s="35"/>
      <c r="E888" s="231"/>
      <c r="F888" s="35"/>
      <c r="G888" s="231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</row>
    <row r="889" ht="19.5" customHeight="1">
      <c r="B889" s="35"/>
      <c r="C889" s="35"/>
      <c r="D889" s="35"/>
      <c r="E889" s="231"/>
      <c r="F889" s="35"/>
      <c r="G889" s="231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</row>
    <row r="890" ht="19.5" customHeight="1">
      <c r="B890" s="35"/>
      <c r="C890" s="35"/>
      <c r="D890" s="35"/>
      <c r="E890" s="231"/>
      <c r="F890" s="35"/>
      <c r="G890" s="231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</row>
    <row r="891" ht="19.5" customHeight="1">
      <c r="B891" s="35"/>
      <c r="C891" s="35"/>
      <c r="D891" s="35"/>
      <c r="E891" s="231"/>
      <c r="F891" s="35"/>
      <c r="G891" s="231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</row>
    <row r="892" ht="19.5" customHeight="1">
      <c r="B892" s="35"/>
      <c r="C892" s="35"/>
      <c r="D892" s="35"/>
      <c r="E892" s="231"/>
      <c r="F892" s="35"/>
      <c r="G892" s="231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</row>
    <row r="893" ht="19.5" customHeight="1">
      <c r="B893" s="35"/>
      <c r="C893" s="35"/>
      <c r="D893" s="35"/>
      <c r="E893" s="231"/>
      <c r="F893" s="35"/>
      <c r="G893" s="231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</row>
    <row r="894" ht="19.5" customHeight="1">
      <c r="B894" s="35"/>
      <c r="C894" s="35"/>
      <c r="D894" s="35"/>
      <c r="E894" s="231"/>
      <c r="F894" s="35"/>
      <c r="G894" s="231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</row>
    <row r="895" ht="19.5" customHeight="1">
      <c r="B895" s="35"/>
      <c r="C895" s="35"/>
      <c r="D895" s="35"/>
      <c r="E895" s="231"/>
      <c r="F895" s="35"/>
      <c r="G895" s="231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</row>
    <row r="896" ht="19.5" customHeight="1">
      <c r="B896" s="35"/>
      <c r="C896" s="35"/>
      <c r="D896" s="35"/>
      <c r="E896" s="231"/>
      <c r="F896" s="35"/>
      <c r="G896" s="231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</row>
    <row r="897" ht="19.5" customHeight="1">
      <c r="B897" s="35"/>
      <c r="C897" s="35"/>
      <c r="D897" s="35"/>
      <c r="E897" s="231"/>
      <c r="F897" s="35"/>
      <c r="G897" s="231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</row>
    <row r="898" ht="19.5" customHeight="1">
      <c r="B898" s="35"/>
      <c r="C898" s="35"/>
      <c r="D898" s="35"/>
      <c r="E898" s="231"/>
      <c r="F898" s="35"/>
      <c r="G898" s="231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</row>
    <row r="899" ht="19.5" customHeight="1">
      <c r="B899" s="35"/>
      <c r="C899" s="35"/>
      <c r="D899" s="35"/>
      <c r="E899" s="231"/>
      <c r="F899" s="35"/>
      <c r="G899" s="231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</row>
    <row r="900" ht="19.5" customHeight="1">
      <c r="B900" s="35"/>
      <c r="C900" s="35"/>
      <c r="D900" s="35"/>
      <c r="E900" s="231"/>
      <c r="F900" s="35"/>
      <c r="G900" s="231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</row>
    <row r="901" ht="19.5" customHeight="1">
      <c r="B901" s="35"/>
      <c r="C901" s="35"/>
      <c r="D901" s="35"/>
      <c r="E901" s="231"/>
      <c r="F901" s="35"/>
      <c r="G901" s="231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</row>
    <row r="902" ht="19.5" customHeight="1">
      <c r="B902" s="35"/>
      <c r="C902" s="35"/>
      <c r="D902" s="35"/>
      <c r="E902" s="231"/>
      <c r="F902" s="35"/>
      <c r="G902" s="231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</row>
    <row r="903" ht="19.5" customHeight="1">
      <c r="B903" s="35"/>
      <c r="C903" s="35"/>
      <c r="D903" s="35"/>
      <c r="E903" s="231"/>
      <c r="F903" s="35"/>
      <c r="G903" s="231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</row>
    <row r="904" ht="19.5" customHeight="1">
      <c r="B904" s="35"/>
      <c r="C904" s="35"/>
      <c r="D904" s="35"/>
      <c r="E904" s="231"/>
      <c r="F904" s="35"/>
      <c r="G904" s="231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</row>
    <row r="905" ht="19.5" customHeight="1">
      <c r="B905" s="35"/>
      <c r="C905" s="35"/>
      <c r="D905" s="35"/>
      <c r="E905" s="231"/>
      <c r="F905" s="35"/>
      <c r="G905" s="231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</row>
    <row r="906" ht="19.5" customHeight="1">
      <c r="B906" s="35"/>
      <c r="C906" s="35"/>
      <c r="D906" s="35"/>
      <c r="E906" s="231"/>
      <c r="F906" s="35"/>
      <c r="G906" s="231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</row>
    <row r="907" ht="19.5" customHeight="1">
      <c r="B907" s="35"/>
      <c r="C907" s="35"/>
      <c r="D907" s="35"/>
      <c r="E907" s="231"/>
      <c r="F907" s="35"/>
      <c r="G907" s="231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</row>
    <row r="908" ht="19.5" customHeight="1">
      <c r="B908" s="35"/>
      <c r="C908" s="35"/>
      <c r="D908" s="35"/>
      <c r="E908" s="231"/>
      <c r="F908" s="35"/>
      <c r="G908" s="231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</row>
    <row r="909" ht="19.5" customHeight="1">
      <c r="B909" s="35"/>
      <c r="C909" s="35"/>
      <c r="D909" s="35"/>
      <c r="E909" s="231"/>
      <c r="F909" s="35"/>
      <c r="G909" s="231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</row>
    <row r="910" ht="19.5" customHeight="1">
      <c r="B910" s="35"/>
      <c r="C910" s="35"/>
      <c r="D910" s="35"/>
      <c r="E910" s="231"/>
      <c r="F910" s="35"/>
      <c r="G910" s="231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</row>
    <row r="911" ht="19.5" customHeight="1">
      <c r="B911" s="35"/>
      <c r="C911" s="35"/>
      <c r="D911" s="35"/>
      <c r="E911" s="231"/>
      <c r="F911" s="35"/>
      <c r="G911" s="231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</row>
    <row r="912" ht="19.5" customHeight="1">
      <c r="B912" s="35"/>
      <c r="C912" s="35"/>
      <c r="D912" s="35"/>
      <c r="E912" s="231"/>
      <c r="F912" s="35"/>
      <c r="G912" s="231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</row>
    <row r="913" ht="19.5" customHeight="1">
      <c r="B913" s="35"/>
      <c r="C913" s="35"/>
      <c r="D913" s="35"/>
      <c r="E913" s="231"/>
      <c r="F913" s="35"/>
      <c r="G913" s="231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</row>
    <row r="914" ht="19.5" customHeight="1">
      <c r="B914" s="35"/>
      <c r="C914" s="35"/>
      <c r="D914" s="35"/>
      <c r="E914" s="231"/>
      <c r="F914" s="35"/>
      <c r="G914" s="231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</row>
    <row r="915" ht="19.5" customHeight="1">
      <c r="B915" s="35"/>
      <c r="C915" s="35"/>
      <c r="D915" s="35"/>
      <c r="E915" s="231"/>
      <c r="F915" s="35"/>
      <c r="G915" s="231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</row>
    <row r="916" ht="19.5" customHeight="1">
      <c r="B916" s="35"/>
      <c r="C916" s="35"/>
      <c r="D916" s="35"/>
      <c r="E916" s="231"/>
      <c r="F916" s="35"/>
      <c r="G916" s="231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</row>
    <row r="917" ht="19.5" customHeight="1">
      <c r="B917" s="35"/>
      <c r="C917" s="35"/>
      <c r="D917" s="35"/>
      <c r="E917" s="231"/>
      <c r="F917" s="35"/>
      <c r="G917" s="231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</row>
    <row r="918" ht="19.5" customHeight="1">
      <c r="B918" s="35"/>
      <c r="C918" s="35"/>
      <c r="D918" s="35"/>
      <c r="E918" s="231"/>
      <c r="F918" s="35"/>
      <c r="G918" s="231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</row>
    <row r="919" ht="19.5" customHeight="1">
      <c r="B919" s="35"/>
      <c r="C919" s="35"/>
      <c r="D919" s="35"/>
      <c r="E919" s="231"/>
      <c r="F919" s="35"/>
      <c r="G919" s="231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</row>
    <row r="920" ht="19.5" customHeight="1">
      <c r="B920" s="35"/>
      <c r="C920" s="35"/>
      <c r="D920" s="35"/>
      <c r="E920" s="231"/>
      <c r="F920" s="35"/>
      <c r="G920" s="231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</row>
    <row r="921" ht="19.5" customHeight="1">
      <c r="B921" s="35"/>
      <c r="C921" s="35"/>
      <c r="D921" s="35"/>
      <c r="E921" s="231"/>
      <c r="F921" s="35"/>
      <c r="G921" s="231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</row>
    <row r="922" ht="19.5" customHeight="1">
      <c r="B922" s="35"/>
      <c r="C922" s="35"/>
      <c r="D922" s="35"/>
      <c r="E922" s="231"/>
      <c r="F922" s="35"/>
      <c r="G922" s="231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</row>
    <row r="923" ht="19.5" customHeight="1">
      <c r="B923" s="35"/>
      <c r="C923" s="35"/>
      <c r="D923" s="35"/>
      <c r="E923" s="231"/>
      <c r="F923" s="35"/>
      <c r="G923" s="231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</row>
    <row r="924" ht="19.5" customHeight="1">
      <c r="B924" s="35"/>
      <c r="C924" s="35"/>
      <c r="D924" s="35"/>
      <c r="E924" s="231"/>
      <c r="F924" s="35"/>
      <c r="G924" s="231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</row>
    <row r="925" ht="19.5" customHeight="1">
      <c r="B925" s="35"/>
      <c r="C925" s="35"/>
      <c r="D925" s="35"/>
      <c r="E925" s="231"/>
      <c r="F925" s="35"/>
      <c r="G925" s="231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</row>
    <row r="926" ht="19.5" customHeight="1">
      <c r="B926" s="35"/>
      <c r="C926" s="35"/>
      <c r="D926" s="35"/>
      <c r="E926" s="231"/>
      <c r="F926" s="35"/>
      <c r="G926" s="231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</row>
    <row r="927" ht="19.5" customHeight="1">
      <c r="B927" s="35"/>
      <c r="C927" s="35"/>
      <c r="D927" s="35"/>
      <c r="E927" s="231"/>
      <c r="F927" s="35"/>
      <c r="G927" s="231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</row>
    <row r="928" ht="19.5" customHeight="1">
      <c r="B928" s="35"/>
      <c r="C928" s="35"/>
      <c r="D928" s="35"/>
      <c r="E928" s="231"/>
      <c r="F928" s="35"/>
      <c r="G928" s="231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</row>
    <row r="929" ht="19.5" customHeight="1">
      <c r="B929" s="35"/>
      <c r="C929" s="35"/>
      <c r="D929" s="35"/>
      <c r="E929" s="231"/>
      <c r="F929" s="35"/>
      <c r="G929" s="231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</row>
    <row r="930" ht="19.5" customHeight="1">
      <c r="B930" s="35"/>
      <c r="C930" s="35"/>
      <c r="D930" s="35"/>
      <c r="E930" s="231"/>
      <c r="F930" s="35"/>
      <c r="G930" s="231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</row>
    <row r="931" ht="19.5" customHeight="1">
      <c r="B931" s="35"/>
      <c r="C931" s="35"/>
      <c r="D931" s="35"/>
      <c r="E931" s="231"/>
      <c r="F931" s="35"/>
      <c r="G931" s="231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</row>
    <row r="932" ht="19.5" customHeight="1">
      <c r="B932" s="35"/>
      <c r="C932" s="35"/>
      <c r="D932" s="35"/>
      <c r="E932" s="231"/>
      <c r="F932" s="35"/>
      <c r="G932" s="231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</row>
    <row r="933" ht="19.5" customHeight="1">
      <c r="B933" s="35"/>
      <c r="C933" s="35"/>
      <c r="D933" s="35"/>
      <c r="E933" s="231"/>
      <c r="F933" s="35"/>
      <c r="G933" s="231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</row>
    <row r="934" ht="19.5" customHeight="1">
      <c r="B934" s="35"/>
      <c r="C934" s="35"/>
      <c r="D934" s="35"/>
      <c r="E934" s="231"/>
      <c r="F934" s="35"/>
      <c r="G934" s="231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</row>
    <row r="935" ht="19.5" customHeight="1">
      <c r="B935" s="35"/>
      <c r="C935" s="35"/>
      <c r="D935" s="35"/>
      <c r="E935" s="231"/>
      <c r="F935" s="35"/>
      <c r="G935" s="231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</row>
    <row r="936" ht="19.5" customHeight="1">
      <c r="B936" s="35"/>
      <c r="C936" s="35"/>
      <c r="D936" s="35"/>
      <c r="E936" s="231"/>
      <c r="F936" s="35"/>
      <c r="G936" s="231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</row>
    <row r="937" ht="19.5" customHeight="1">
      <c r="B937" s="35"/>
      <c r="C937" s="35"/>
      <c r="D937" s="35"/>
      <c r="E937" s="231"/>
      <c r="F937" s="35"/>
      <c r="G937" s="231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</row>
    <row r="938" ht="19.5" customHeight="1">
      <c r="B938" s="35"/>
      <c r="C938" s="35"/>
      <c r="D938" s="35"/>
      <c r="E938" s="231"/>
      <c r="F938" s="35"/>
      <c r="G938" s="231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</row>
    <row r="939" ht="19.5" customHeight="1">
      <c r="B939" s="35"/>
      <c r="C939" s="35"/>
      <c r="D939" s="35"/>
      <c r="E939" s="231"/>
      <c r="F939" s="35"/>
      <c r="G939" s="231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</row>
    <row r="940" ht="19.5" customHeight="1">
      <c r="B940" s="35"/>
      <c r="C940" s="35"/>
      <c r="D940" s="35"/>
      <c r="E940" s="231"/>
      <c r="F940" s="35"/>
      <c r="G940" s="231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</row>
    <row r="941" ht="19.5" customHeight="1">
      <c r="B941" s="35"/>
      <c r="C941" s="35"/>
      <c r="D941" s="35"/>
      <c r="E941" s="231"/>
      <c r="F941" s="35"/>
      <c r="G941" s="231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</row>
    <row r="942" ht="19.5" customHeight="1">
      <c r="B942" s="35"/>
      <c r="C942" s="35"/>
      <c r="D942" s="35"/>
      <c r="E942" s="231"/>
      <c r="F942" s="35"/>
      <c r="G942" s="231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</row>
    <row r="943" ht="19.5" customHeight="1">
      <c r="B943" s="35"/>
      <c r="C943" s="35"/>
      <c r="D943" s="35"/>
      <c r="E943" s="231"/>
      <c r="F943" s="35"/>
      <c r="G943" s="231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</row>
    <row r="944" ht="19.5" customHeight="1">
      <c r="B944" s="35"/>
      <c r="C944" s="35"/>
      <c r="D944" s="35"/>
      <c r="E944" s="231"/>
      <c r="F944" s="35"/>
      <c r="G944" s="231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</row>
    <row r="945" ht="19.5" customHeight="1">
      <c r="B945" s="35"/>
      <c r="C945" s="35"/>
      <c r="D945" s="35"/>
      <c r="E945" s="231"/>
      <c r="F945" s="35"/>
      <c r="G945" s="231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</row>
    <row r="946" ht="19.5" customHeight="1">
      <c r="B946" s="35"/>
      <c r="C946" s="35"/>
      <c r="D946" s="35"/>
      <c r="E946" s="231"/>
      <c r="F946" s="35"/>
      <c r="G946" s="231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</row>
    <row r="947" ht="19.5" customHeight="1">
      <c r="B947" s="35"/>
      <c r="C947" s="35"/>
      <c r="D947" s="35"/>
      <c r="E947" s="231"/>
      <c r="F947" s="35"/>
      <c r="G947" s="231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</row>
    <row r="948" ht="19.5" customHeight="1">
      <c r="B948" s="35"/>
      <c r="C948" s="35"/>
      <c r="D948" s="35"/>
      <c r="E948" s="231"/>
      <c r="F948" s="35"/>
      <c r="G948" s="231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</row>
    <row r="949" ht="19.5" customHeight="1">
      <c r="B949" s="35"/>
      <c r="C949" s="35"/>
      <c r="D949" s="35"/>
      <c r="E949" s="231"/>
      <c r="F949" s="35"/>
      <c r="G949" s="231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</row>
    <row r="950" ht="19.5" customHeight="1">
      <c r="B950" s="35"/>
      <c r="C950" s="35"/>
      <c r="D950" s="35"/>
      <c r="E950" s="231"/>
      <c r="F950" s="35"/>
      <c r="G950" s="231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</row>
    <row r="951" ht="19.5" customHeight="1">
      <c r="B951" s="35"/>
      <c r="C951" s="35"/>
      <c r="D951" s="35"/>
      <c r="E951" s="231"/>
      <c r="F951" s="35"/>
      <c r="G951" s="231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</row>
    <row r="952" ht="19.5" customHeight="1">
      <c r="B952" s="35"/>
      <c r="C952" s="35"/>
      <c r="D952" s="35"/>
      <c r="E952" s="231"/>
      <c r="F952" s="35"/>
      <c r="G952" s="231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</row>
    <row r="953" ht="19.5" customHeight="1">
      <c r="B953" s="35"/>
      <c r="C953" s="35"/>
      <c r="D953" s="35"/>
      <c r="E953" s="231"/>
      <c r="F953" s="35"/>
      <c r="G953" s="231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</row>
    <row r="954" ht="19.5" customHeight="1">
      <c r="B954" s="35"/>
      <c r="C954" s="35"/>
      <c r="D954" s="35"/>
      <c r="E954" s="231"/>
      <c r="F954" s="35"/>
      <c r="G954" s="231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</row>
    <row r="955" ht="19.5" customHeight="1">
      <c r="B955" s="35"/>
      <c r="C955" s="35"/>
      <c r="D955" s="35"/>
      <c r="E955" s="231"/>
      <c r="F955" s="35"/>
      <c r="G955" s="231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</row>
    <row r="956" ht="19.5" customHeight="1">
      <c r="B956" s="35"/>
      <c r="C956" s="35"/>
      <c r="D956" s="35"/>
      <c r="E956" s="231"/>
      <c r="F956" s="35"/>
      <c r="G956" s="231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</row>
    <row r="957" ht="19.5" customHeight="1">
      <c r="B957" s="35"/>
      <c r="C957" s="35"/>
      <c r="D957" s="35"/>
      <c r="E957" s="231"/>
      <c r="F957" s="35"/>
      <c r="G957" s="231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</row>
    <row r="958" ht="19.5" customHeight="1">
      <c r="B958" s="35"/>
      <c r="C958" s="35"/>
      <c r="D958" s="35"/>
      <c r="E958" s="231"/>
      <c r="F958" s="35"/>
      <c r="G958" s="231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</row>
    <row r="959" ht="19.5" customHeight="1">
      <c r="B959" s="35"/>
      <c r="C959" s="35"/>
      <c r="D959" s="35"/>
      <c r="E959" s="231"/>
      <c r="F959" s="35"/>
      <c r="G959" s="231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</row>
    <row r="960" ht="19.5" customHeight="1">
      <c r="B960" s="35"/>
      <c r="C960" s="35"/>
      <c r="D960" s="35"/>
      <c r="E960" s="231"/>
      <c r="F960" s="35"/>
      <c r="G960" s="231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</row>
    <row r="961" ht="19.5" customHeight="1">
      <c r="B961" s="35"/>
      <c r="C961" s="35"/>
      <c r="D961" s="35"/>
      <c r="E961" s="231"/>
      <c r="F961" s="35"/>
      <c r="G961" s="231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</row>
    <row r="962" ht="19.5" customHeight="1">
      <c r="B962" s="35"/>
      <c r="C962" s="35"/>
      <c r="D962" s="35"/>
      <c r="E962" s="231"/>
      <c r="F962" s="35"/>
      <c r="G962" s="231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</row>
    <row r="963" ht="19.5" customHeight="1">
      <c r="B963" s="35"/>
      <c r="C963" s="35"/>
      <c r="D963" s="35"/>
      <c r="E963" s="231"/>
      <c r="F963" s="35"/>
      <c r="G963" s="231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</row>
    <row r="964" ht="19.5" customHeight="1">
      <c r="B964" s="35"/>
      <c r="C964" s="35"/>
      <c r="D964" s="35"/>
      <c r="E964" s="231"/>
      <c r="F964" s="35"/>
      <c r="G964" s="231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</row>
    <row r="965" ht="19.5" customHeight="1">
      <c r="B965" s="35"/>
      <c r="C965" s="35"/>
      <c r="D965" s="35"/>
      <c r="E965" s="231"/>
      <c r="F965" s="35"/>
      <c r="G965" s="231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</row>
    <row r="966" ht="19.5" customHeight="1">
      <c r="B966" s="35"/>
      <c r="C966" s="35"/>
      <c r="D966" s="35"/>
      <c r="E966" s="231"/>
      <c r="F966" s="35"/>
      <c r="G966" s="231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</row>
    <row r="967" ht="19.5" customHeight="1">
      <c r="B967" s="35"/>
      <c r="C967" s="35"/>
      <c r="D967" s="35"/>
      <c r="E967" s="231"/>
      <c r="F967" s="35"/>
      <c r="G967" s="231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</row>
    <row r="968" ht="19.5" customHeight="1">
      <c r="B968" s="35"/>
      <c r="C968" s="35"/>
      <c r="D968" s="35"/>
      <c r="E968" s="231"/>
      <c r="F968" s="35"/>
      <c r="G968" s="231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</row>
    <row r="969" ht="19.5" customHeight="1">
      <c r="B969" s="35"/>
      <c r="C969" s="35"/>
      <c r="D969" s="35"/>
      <c r="E969" s="231"/>
      <c r="F969" s="35"/>
      <c r="G969" s="231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</row>
  </sheetData>
  <mergeCells count="1">
    <mergeCell ref="C3:E3"/>
  </mergeCells>
  <printOptions/>
  <pageMargins bottom="0.5" footer="0.0" header="0.0" left="0.7" right="0.45" top="0.5"/>
  <pageSetup orientation="portrait"/>
  <headerFooter>
    <oddFooter>&amp;L&amp;F&amp;R&amp;A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63.5"/>
    <col customWidth="1" min="3" max="3" width="16.0"/>
    <col customWidth="1" min="4" max="4" width="26.63"/>
    <col customWidth="1" min="5" max="5" width="14.5"/>
    <col customWidth="1" min="6" max="6" width="11.0"/>
    <col customWidth="1" min="7" max="8" width="15.5"/>
    <col customWidth="1" min="9" max="9" width="20.13"/>
    <col customWidth="1" min="10" max="10" width="13.5"/>
    <col customWidth="1" min="11" max="11" width="15.88"/>
  </cols>
  <sheetData>
    <row r="1" ht="12.75" customHeight="1">
      <c r="A1" s="234" t="s">
        <v>1222</v>
      </c>
      <c r="C1" s="235"/>
      <c r="D1" s="236"/>
      <c r="E1" s="235"/>
      <c r="F1" s="235"/>
      <c r="G1" s="237"/>
      <c r="H1" s="235"/>
      <c r="I1" s="235"/>
      <c r="J1" s="235"/>
      <c r="K1" s="66"/>
    </row>
    <row r="2" ht="12.75" customHeight="1">
      <c r="A2" s="238"/>
      <c r="B2" s="235"/>
      <c r="C2" s="235"/>
      <c r="D2" s="236"/>
      <c r="E2" s="235"/>
      <c r="F2" s="235"/>
      <c r="G2" s="237"/>
      <c r="H2" s="235"/>
      <c r="I2" s="235"/>
      <c r="J2" s="235"/>
      <c r="K2" s="66"/>
    </row>
    <row r="3" ht="12.75" customHeight="1">
      <c r="A3" s="238"/>
      <c r="B3" s="235"/>
      <c r="C3" s="235"/>
      <c r="D3" s="236"/>
      <c r="E3" s="235"/>
      <c r="F3" s="235"/>
      <c r="G3" s="237"/>
      <c r="H3" s="235"/>
      <c r="I3" s="235"/>
      <c r="J3" s="235"/>
      <c r="K3" s="66"/>
    </row>
    <row r="4" ht="12.75" customHeight="1">
      <c r="A4" s="238"/>
      <c r="B4" s="239" t="s">
        <v>1223</v>
      </c>
      <c r="C4" s="240" t="s">
        <v>1224</v>
      </c>
      <c r="D4" s="240" t="s">
        <v>1225</v>
      </c>
      <c r="E4" s="240" t="s">
        <v>1226</v>
      </c>
      <c r="F4" s="240" t="s">
        <v>1227</v>
      </c>
      <c r="G4" s="240" t="s">
        <v>1228</v>
      </c>
      <c r="H4" s="240" t="s">
        <v>1229</v>
      </c>
      <c r="I4" s="240" t="s">
        <v>1230</v>
      </c>
      <c r="J4" s="240" t="s">
        <v>1231</v>
      </c>
      <c r="K4" s="241" t="s">
        <v>96</v>
      </c>
    </row>
    <row r="5" ht="22.5" customHeight="1">
      <c r="A5" s="238"/>
      <c r="B5" s="242"/>
      <c r="C5" s="243"/>
      <c r="D5" s="243"/>
      <c r="E5" s="243"/>
      <c r="F5" s="243"/>
      <c r="G5" s="243"/>
      <c r="H5" s="243"/>
      <c r="I5" s="243"/>
      <c r="J5" s="243"/>
      <c r="K5" s="244"/>
    </row>
    <row r="6" ht="24.0" customHeight="1">
      <c r="A6" s="245" t="s">
        <v>1232</v>
      </c>
      <c r="B6" s="246" t="s">
        <v>1233</v>
      </c>
      <c r="C6" s="247"/>
      <c r="D6" s="248"/>
      <c r="E6" s="247"/>
      <c r="F6" s="247"/>
      <c r="G6" s="247"/>
      <c r="H6" s="247"/>
      <c r="I6" s="249"/>
      <c r="J6" s="250"/>
      <c r="K6" s="251"/>
    </row>
    <row r="7" ht="12.75" customHeight="1">
      <c r="A7" s="238"/>
      <c r="B7" s="252"/>
      <c r="C7" s="253"/>
      <c r="D7" s="254"/>
      <c r="E7" s="255"/>
      <c r="F7" s="255"/>
      <c r="G7" s="255"/>
      <c r="H7" s="255"/>
      <c r="I7" s="256"/>
      <c r="J7" s="257"/>
      <c r="K7" s="258"/>
    </row>
    <row r="8" ht="12.75" customHeight="1">
      <c r="A8" s="238"/>
      <c r="B8" s="252"/>
      <c r="C8" s="253"/>
      <c r="D8" s="254"/>
      <c r="E8" s="255"/>
      <c r="F8" s="255"/>
      <c r="G8" s="255"/>
      <c r="H8" s="255"/>
      <c r="I8" s="256"/>
      <c r="J8" s="257"/>
      <c r="K8" s="258"/>
    </row>
    <row r="9" ht="12.75" customHeight="1">
      <c r="A9" s="238"/>
      <c r="B9" s="252"/>
      <c r="C9" s="253"/>
      <c r="D9" s="254"/>
      <c r="E9" s="255"/>
      <c r="F9" s="255"/>
      <c r="G9" s="255"/>
      <c r="H9" s="255"/>
      <c r="I9" s="256"/>
      <c r="J9" s="257"/>
      <c r="K9" s="258"/>
    </row>
    <row r="10" ht="12.75" customHeight="1">
      <c r="A10" s="238"/>
      <c r="B10" s="252"/>
      <c r="C10" s="253"/>
      <c r="D10" s="254"/>
      <c r="E10" s="255"/>
      <c r="F10" s="255"/>
      <c r="G10" s="255"/>
      <c r="H10" s="255"/>
      <c r="I10" s="256"/>
      <c r="J10" s="257"/>
      <c r="K10" s="258"/>
    </row>
    <row r="11" ht="12.75" customHeight="1">
      <c r="A11" s="238"/>
      <c r="B11" s="252"/>
      <c r="C11" s="253"/>
      <c r="D11" s="254"/>
      <c r="E11" s="255"/>
      <c r="F11" s="255"/>
      <c r="G11" s="255"/>
      <c r="H11" s="255"/>
      <c r="I11" s="256"/>
      <c r="J11" s="257"/>
      <c r="K11" s="258"/>
    </row>
    <row r="12" ht="12.75" customHeight="1">
      <c r="A12" s="238"/>
      <c r="B12" s="252"/>
      <c r="C12" s="253"/>
      <c r="D12" s="254"/>
      <c r="E12" s="255"/>
      <c r="F12" s="255"/>
      <c r="G12" s="255"/>
      <c r="H12" s="255"/>
      <c r="I12" s="256"/>
      <c r="J12" s="257"/>
      <c r="K12" s="258"/>
    </row>
    <row r="13" ht="12.75" customHeight="1">
      <c r="A13" s="238"/>
      <c r="B13" s="252"/>
      <c r="C13" s="253"/>
      <c r="D13" s="254"/>
      <c r="E13" s="255"/>
      <c r="F13" s="255"/>
      <c r="G13" s="255"/>
      <c r="H13" s="255"/>
      <c r="I13" s="256"/>
      <c r="J13" s="257"/>
      <c r="K13" s="258"/>
    </row>
    <row r="14" ht="12.75" customHeight="1">
      <c r="A14" s="238"/>
      <c r="B14" s="259"/>
      <c r="C14" s="260"/>
      <c r="D14" s="261"/>
      <c r="E14" s="262"/>
      <c r="F14" s="262"/>
      <c r="G14" s="262"/>
      <c r="H14" s="262"/>
      <c r="I14" s="263"/>
      <c r="J14" s="264"/>
      <c r="K14" s="265"/>
    </row>
    <row r="15" ht="12.75" customHeight="1">
      <c r="A15" s="238"/>
      <c r="B15" s="266"/>
      <c r="C15" s="267"/>
      <c r="D15" s="268"/>
      <c r="E15" s="269"/>
      <c r="F15" s="269"/>
      <c r="G15" s="269"/>
      <c r="H15" s="269"/>
      <c r="I15" s="270"/>
      <c r="J15" s="271" t="s">
        <v>1221</v>
      </c>
      <c r="K15" s="272">
        <f>SUM(K7:K14)</f>
        <v>0</v>
      </c>
    </row>
    <row r="16" ht="12.75" customHeight="1">
      <c r="A16" s="238"/>
      <c r="B16" s="273"/>
      <c r="C16" s="274"/>
      <c r="D16" s="275"/>
      <c r="E16" s="276"/>
      <c r="F16" s="276"/>
      <c r="G16" s="277"/>
      <c r="H16" s="277"/>
      <c r="I16" s="278"/>
      <c r="J16" s="278"/>
      <c r="K16" s="279"/>
    </row>
    <row r="17" ht="9.0" customHeight="1">
      <c r="A17" s="245"/>
      <c r="B17" s="280"/>
      <c r="C17" s="281"/>
      <c r="D17" s="281"/>
      <c r="E17" s="281"/>
      <c r="F17" s="281"/>
      <c r="G17" s="282"/>
      <c r="H17" s="282"/>
      <c r="I17" s="283"/>
      <c r="J17" s="284"/>
      <c r="K17" s="285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</row>
    <row r="18" ht="24.0" customHeight="1">
      <c r="A18" s="245" t="s">
        <v>1232</v>
      </c>
      <c r="B18" s="246" t="s">
        <v>1233</v>
      </c>
      <c r="C18" s="247"/>
      <c r="D18" s="248"/>
      <c r="E18" s="247"/>
      <c r="F18" s="247"/>
      <c r="G18" s="247"/>
      <c r="H18" s="247"/>
      <c r="I18" s="249"/>
      <c r="J18" s="250"/>
      <c r="K18" s="251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</row>
    <row r="19" ht="12.75" customHeight="1">
      <c r="A19" s="238"/>
      <c r="B19" s="252"/>
      <c r="C19" s="253"/>
      <c r="D19" s="254"/>
      <c r="E19" s="255"/>
      <c r="F19" s="255"/>
      <c r="G19" s="255"/>
      <c r="H19" s="255"/>
      <c r="I19" s="256"/>
      <c r="J19" s="257"/>
      <c r="K19" s="258"/>
    </row>
    <row r="20" ht="12.75" customHeight="1">
      <c r="A20" s="238"/>
      <c r="B20" s="252"/>
      <c r="C20" s="253"/>
      <c r="D20" s="254"/>
      <c r="E20" s="255"/>
      <c r="F20" s="255"/>
      <c r="G20" s="255"/>
      <c r="H20" s="255"/>
      <c r="I20" s="256"/>
      <c r="J20" s="257"/>
      <c r="K20" s="258"/>
    </row>
    <row r="21" ht="12.75" customHeight="1">
      <c r="A21" s="238"/>
      <c r="B21" s="252"/>
      <c r="C21" s="253"/>
      <c r="D21" s="254"/>
      <c r="E21" s="255"/>
      <c r="F21" s="255"/>
      <c r="G21" s="255"/>
      <c r="H21" s="255"/>
      <c r="I21" s="256"/>
      <c r="J21" s="257"/>
      <c r="K21" s="258"/>
    </row>
    <row r="22" ht="12.75" customHeight="1">
      <c r="A22" s="238"/>
      <c r="B22" s="252"/>
      <c r="C22" s="253"/>
      <c r="D22" s="254"/>
      <c r="E22" s="255"/>
      <c r="F22" s="255"/>
      <c r="G22" s="255"/>
      <c r="H22" s="255"/>
      <c r="I22" s="256"/>
      <c r="J22" s="257"/>
      <c r="K22" s="258"/>
    </row>
    <row r="23" ht="12.75" customHeight="1">
      <c r="A23" s="238"/>
      <c r="B23" s="252"/>
      <c r="C23" s="253"/>
      <c r="D23" s="254"/>
      <c r="E23" s="255"/>
      <c r="F23" s="255"/>
      <c r="G23" s="255"/>
      <c r="H23" s="255"/>
      <c r="I23" s="256"/>
      <c r="J23" s="257"/>
      <c r="K23" s="258"/>
    </row>
    <row r="24" ht="12.75" customHeight="1">
      <c r="A24" s="238"/>
      <c r="B24" s="252"/>
      <c r="C24" s="253"/>
      <c r="D24" s="254"/>
      <c r="E24" s="255"/>
      <c r="F24" s="255"/>
      <c r="G24" s="255"/>
      <c r="H24" s="255"/>
      <c r="I24" s="256"/>
      <c r="J24" s="257"/>
      <c r="K24" s="258"/>
    </row>
    <row r="25" ht="12.75" customHeight="1">
      <c r="A25" s="238"/>
      <c r="B25" s="252"/>
      <c r="C25" s="253"/>
      <c r="D25" s="254"/>
      <c r="E25" s="255"/>
      <c r="F25" s="255"/>
      <c r="G25" s="255"/>
      <c r="H25" s="255"/>
      <c r="I25" s="256"/>
      <c r="J25" s="257"/>
      <c r="K25" s="258"/>
    </row>
    <row r="26" ht="12.75" customHeight="1">
      <c r="A26" s="238"/>
      <c r="B26" s="259"/>
      <c r="C26" s="260"/>
      <c r="D26" s="261"/>
      <c r="E26" s="262"/>
      <c r="F26" s="262"/>
      <c r="G26" s="262"/>
      <c r="H26" s="262"/>
      <c r="I26" s="263"/>
      <c r="J26" s="264"/>
      <c r="K26" s="265"/>
    </row>
    <row r="27" ht="12.75" customHeight="1">
      <c r="A27" s="238"/>
      <c r="B27" s="266"/>
      <c r="C27" s="267"/>
      <c r="D27" s="268"/>
      <c r="E27" s="269"/>
      <c r="F27" s="269"/>
      <c r="G27" s="269"/>
      <c r="H27" s="269"/>
      <c r="I27" s="270"/>
      <c r="J27" s="271" t="s">
        <v>1221</v>
      </c>
      <c r="K27" s="272">
        <f>SUM(K19:K26)</f>
        <v>0</v>
      </c>
    </row>
    <row r="28" ht="12.75" customHeight="1">
      <c r="A28" s="238"/>
      <c r="B28" s="273"/>
      <c r="C28" s="274"/>
      <c r="D28" s="275"/>
      <c r="E28" s="276"/>
      <c r="F28" s="276"/>
      <c r="G28" s="277"/>
      <c r="H28" s="277"/>
      <c r="I28" s="278"/>
      <c r="J28" s="278"/>
      <c r="K28" s="279"/>
    </row>
    <row r="29" ht="9.0" customHeight="1">
      <c r="A29" s="245"/>
      <c r="B29" s="280"/>
      <c r="C29" s="281"/>
      <c r="D29" s="281"/>
      <c r="E29" s="281"/>
      <c r="F29" s="281"/>
      <c r="G29" s="282"/>
      <c r="H29" s="282"/>
      <c r="I29" s="283"/>
      <c r="J29" s="284"/>
      <c r="K29" s="285"/>
      <c r="L29" s="286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  <c r="AA29" s="286"/>
      <c r="AB29" s="286"/>
      <c r="AC29" s="286"/>
      <c r="AD29" s="286"/>
      <c r="AE29" s="286"/>
    </row>
    <row r="30" ht="24.0" customHeight="1">
      <c r="A30" s="245" t="s">
        <v>1232</v>
      </c>
      <c r="B30" s="246" t="s">
        <v>1233</v>
      </c>
      <c r="C30" s="247"/>
      <c r="D30" s="248"/>
      <c r="E30" s="247"/>
      <c r="F30" s="247"/>
      <c r="G30" s="247"/>
      <c r="H30" s="247"/>
      <c r="I30" s="249"/>
      <c r="J30" s="250"/>
      <c r="K30" s="251"/>
      <c r="L30" s="286"/>
      <c r="M30" s="286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86"/>
      <c r="AB30" s="286"/>
      <c r="AC30" s="286"/>
      <c r="AD30" s="286"/>
      <c r="AE30" s="286"/>
    </row>
    <row r="31" ht="12.75" customHeight="1">
      <c r="A31" s="238"/>
      <c r="B31" s="252"/>
      <c r="C31" s="253"/>
      <c r="D31" s="254"/>
      <c r="E31" s="255"/>
      <c r="F31" s="255"/>
      <c r="G31" s="255"/>
      <c r="H31" s="255"/>
      <c r="I31" s="256"/>
      <c r="J31" s="257"/>
      <c r="K31" s="258"/>
    </row>
    <row r="32" ht="12.75" customHeight="1">
      <c r="A32" s="238"/>
      <c r="B32" s="252"/>
      <c r="C32" s="253"/>
      <c r="D32" s="254"/>
      <c r="E32" s="255"/>
      <c r="F32" s="255"/>
      <c r="G32" s="255"/>
      <c r="H32" s="255"/>
      <c r="I32" s="256"/>
      <c r="J32" s="257"/>
      <c r="K32" s="258"/>
    </row>
    <row r="33" ht="12.75" customHeight="1">
      <c r="A33" s="238"/>
      <c r="B33" s="252"/>
      <c r="C33" s="253"/>
      <c r="D33" s="254"/>
      <c r="E33" s="255"/>
      <c r="F33" s="255"/>
      <c r="G33" s="255"/>
      <c r="H33" s="255"/>
      <c r="I33" s="256"/>
      <c r="J33" s="257"/>
      <c r="K33" s="258"/>
    </row>
    <row r="34" ht="12.75" customHeight="1">
      <c r="A34" s="238"/>
      <c r="B34" s="252"/>
      <c r="C34" s="253"/>
      <c r="D34" s="254"/>
      <c r="E34" s="255"/>
      <c r="F34" s="255"/>
      <c r="G34" s="255"/>
      <c r="H34" s="255"/>
      <c r="I34" s="256"/>
      <c r="J34" s="257"/>
      <c r="K34" s="258"/>
    </row>
    <row r="35" ht="12.75" customHeight="1">
      <c r="A35" s="238"/>
      <c r="B35" s="252"/>
      <c r="C35" s="253"/>
      <c r="D35" s="254"/>
      <c r="E35" s="255"/>
      <c r="F35" s="255"/>
      <c r="G35" s="255"/>
      <c r="H35" s="255"/>
      <c r="I35" s="256"/>
      <c r="J35" s="257"/>
      <c r="K35" s="258"/>
    </row>
    <row r="36" ht="12.75" customHeight="1">
      <c r="A36" s="238"/>
      <c r="B36" s="252"/>
      <c r="C36" s="253"/>
      <c r="D36" s="254"/>
      <c r="E36" s="255"/>
      <c r="F36" s="255"/>
      <c r="G36" s="255"/>
      <c r="H36" s="255"/>
      <c r="I36" s="256"/>
      <c r="J36" s="257"/>
      <c r="K36" s="258"/>
    </row>
    <row r="37" ht="12.75" customHeight="1">
      <c r="A37" s="238"/>
      <c r="B37" s="252"/>
      <c r="C37" s="253"/>
      <c r="D37" s="254"/>
      <c r="E37" s="255"/>
      <c r="F37" s="255"/>
      <c r="G37" s="255"/>
      <c r="H37" s="255"/>
      <c r="I37" s="256"/>
      <c r="J37" s="257"/>
      <c r="K37" s="258"/>
    </row>
    <row r="38" ht="12.75" customHeight="1">
      <c r="A38" s="238"/>
      <c r="B38" s="259"/>
      <c r="C38" s="260"/>
      <c r="D38" s="261"/>
      <c r="E38" s="262"/>
      <c r="F38" s="262"/>
      <c r="G38" s="262"/>
      <c r="H38" s="262"/>
      <c r="I38" s="263"/>
      <c r="J38" s="264"/>
      <c r="K38" s="265"/>
    </row>
    <row r="39" ht="12.75" customHeight="1">
      <c r="A39" s="238"/>
      <c r="B39" s="266"/>
      <c r="C39" s="267"/>
      <c r="D39" s="268"/>
      <c r="E39" s="269"/>
      <c r="F39" s="269"/>
      <c r="G39" s="269"/>
      <c r="H39" s="269"/>
      <c r="I39" s="270"/>
      <c r="J39" s="271" t="s">
        <v>1221</v>
      </c>
      <c r="K39" s="272">
        <f>SUM(K31:K38)</f>
        <v>0</v>
      </c>
    </row>
    <row r="40" ht="12.75" customHeight="1">
      <c r="A40" s="238"/>
      <c r="B40" s="273"/>
      <c r="C40" s="274"/>
      <c r="D40" s="275"/>
      <c r="E40" s="276"/>
      <c r="F40" s="276"/>
      <c r="G40" s="277"/>
      <c r="H40" s="277"/>
      <c r="I40" s="278"/>
      <c r="J40" s="278"/>
      <c r="K40" s="279"/>
    </row>
    <row r="41" ht="9.0" customHeight="1">
      <c r="A41" s="245"/>
      <c r="B41" s="280"/>
      <c r="C41" s="281"/>
      <c r="D41" s="281"/>
      <c r="E41" s="281"/>
      <c r="F41" s="281"/>
      <c r="G41" s="282"/>
      <c r="H41" s="282"/>
      <c r="I41" s="283"/>
      <c r="J41" s="284"/>
      <c r="K41" s="285"/>
      <c r="L41" s="286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</row>
    <row r="42" ht="24.0" customHeight="1">
      <c r="A42" s="245" t="s">
        <v>1232</v>
      </c>
      <c r="B42" s="246" t="s">
        <v>1233</v>
      </c>
      <c r="C42" s="247"/>
      <c r="D42" s="248"/>
      <c r="E42" s="247"/>
      <c r="F42" s="247"/>
      <c r="G42" s="247"/>
      <c r="H42" s="247"/>
      <c r="I42" s="249"/>
      <c r="J42" s="250"/>
      <c r="K42" s="251"/>
      <c r="L42" s="286"/>
      <c r="M42" s="286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  <c r="AD42" s="286"/>
      <c r="AE42" s="286"/>
    </row>
    <row r="43" ht="12.75" customHeight="1">
      <c r="A43" s="238"/>
      <c r="B43" s="252"/>
      <c r="C43" s="253"/>
      <c r="D43" s="254"/>
      <c r="E43" s="255"/>
      <c r="F43" s="255"/>
      <c r="G43" s="255"/>
      <c r="H43" s="255"/>
      <c r="I43" s="256"/>
      <c r="J43" s="257"/>
      <c r="K43" s="258"/>
    </row>
    <row r="44" ht="12.75" customHeight="1">
      <c r="A44" s="238"/>
      <c r="B44" s="252"/>
      <c r="C44" s="253"/>
      <c r="D44" s="254"/>
      <c r="E44" s="255"/>
      <c r="F44" s="255"/>
      <c r="G44" s="255"/>
      <c r="H44" s="255"/>
      <c r="I44" s="256"/>
      <c r="J44" s="257"/>
      <c r="K44" s="258"/>
    </row>
    <row r="45" ht="12.75" customHeight="1">
      <c r="A45" s="238"/>
      <c r="B45" s="252"/>
      <c r="C45" s="253"/>
      <c r="D45" s="254"/>
      <c r="E45" s="255"/>
      <c r="F45" s="255"/>
      <c r="G45" s="255"/>
      <c r="H45" s="255"/>
      <c r="I45" s="256"/>
      <c r="J45" s="257"/>
      <c r="K45" s="258"/>
    </row>
    <row r="46" ht="12.75" customHeight="1">
      <c r="A46" s="238"/>
      <c r="B46" s="252"/>
      <c r="C46" s="253"/>
      <c r="D46" s="254"/>
      <c r="E46" s="255"/>
      <c r="F46" s="255"/>
      <c r="G46" s="255"/>
      <c r="H46" s="255"/>
      <c r="I46" s="256"/>
      <c r="J46" s="257"/>
      <c r="K46" s="258"/>
    </row>
    <row r="47" ht="12.75" customHeight="1">
      <c r="A47" s="238"/>
      <c r="B47" s="252"/>
      <c r="C47" s="253"/>
      <c r="D47" s="254"/>
      <c r="E47" s="255"/>
      <c r="F47" s="255"/>
      <c r="G47" s="255"/>
      <c r="H47" s="255"/>
      <c r="I47" s="256"/>
      <c r="J47" s="257"/>
      <c r="K47" s="258"/>
    </row>
    <row r="48" ht="12.75" customHeight="1">
      <c r="A48" s="238"/>
      <c r="B48" s="252"/>
      <c r="C48" s="253"/>
      <c r="D48" s="254"/>
      <c r="E48" s="255"/>
      <c r="F48" s="255"/>
      <c r="G48" s="255"/>
      <c r="H48" s="255"/>
      <c r="I48" s="256"/>
      <c r="J48" s="257"/>
      <c r="K48" s="258"/>
    </row>
    <row r="49" ht="12.75" customHeight="1">
      <c r="A49" s="238"/>
      <c r="B49" s="252"/>
      <c r="C49" s="253"/>
      <c r="D49" s="254"/>
      <c r="E49" s="255"/>
      <c r="F49" s="255"/>
      <c r="G49" s="255"/>
      <c r="H49" s="255"/>
      <c r="I49" s="256"/>
      <c r="J49" s="257"/>
      <c r="K49" s="258"/>
    </row>
    <row r="50" ht="12.75" customHeight="1">
      <c r="A50" s="238"/>
      <c r="B50" s="259"/>
      <c r="C50" s="260"/>
      <c r="D50" s="261"/>
      <c r="E50" s="262"/>
      <c r="F50" s="262"/>
      <c r="G50" s="262"/>
      <c r="H50" s="262"/>
      <c r="I50" s="263"/>
      <c r="J50" s="264"/>
      <c r="K50" s="265"/>
    </row>
    <row r="51" ht="12.75" customHeight="1">
      <c r="A51" s="238"/>
      <c r="B51" s="266"/>
      <c r="C51" s="267"/>
      <c r="D51" s="268"/>
      <c r="E51" s="269"/>
      <c r="F51" s="269"/>
      <c r="G51" s="269"/>
      <c r="H51" s="269"/>
      <c r="I51" s="270"/>
      <c r="J51" s="271" t="s">
        <v>1221</v>
      </c>
      <c r="K51" s="272">
        <f>SUM(K43:K50)</f>
        <v>0</v>
      </c>
    </row>
    <row r="52" ht="12.75" customHeight="1">
      <c r="A52" s="238"/>
      <c r="B52" s="273"/>
      <c r="C52" s="274"/>
      <c r="D52" s="275"/>
      <c r="E52" s="276"/>
      <c r="F52" s="276"/>
      <c r="G52" s="277"/>
      <c r="H52" s="277"/>
      <c r="I52" s="278"/>
      <c r="J52" s="278"/>
      <c r="K52" s="279"/>
    </row>
    <row r="53" ht="12.75" customHeight="1">
      <c r="A53" s="238"/>
      <c r="B53" s="287"/>
      <c r="C53" s="288"/>
      <c r="D53" s="289"/>
      <c r="E53" s="288"/>
      <c r="F53" s="288"/>
      <c r="G53" s="288"/>
      <c r="H53" s="288"/>
      <c r="I53" s="290"/>
      <c r="J53" s="291" t="s">
        <v>1234</v>
      </c>
      <c r="K53" s="292">
        <f>K51+K39+K27+K15</f>
        <v>0</v>
      </c>
    </row>
    <row r="54" ht="16.5" customHeight="1">
      <c r="A54" s="238"/>
      <c r="B54" s="293"/>
      <c r="C54" s="294"/>
      <c r="D54" s="295"/>
      <c r="E54" s="294"/>
      <c r="F54" s="294"/>
      <c r="G54" s="296"/>
      <c r="H54" s="294"/>
      <c r="I54" s="294"/>
      <c r="J54" s="294"/>
      <c r="K54" s="297"/>
    </row>
    <row r="55" ht="12.75" customHeight="1">
      <c r="A55" s="238"/>
      <c r="B55" s="239" t="s">
        <v>1235</v>
      </c>
      <c r="C55" s="298" t="s">
        <v>1224</v>
      </c>
      <c r="D55" s="298" t="s">
        <v>1225</v>
      </c>
      <c r="E55" s="298" t="s">
        <v>1226</v>
      </c>
      <c r="F55" s="298" t="s">
        <v>1227</v>
      </c>
      <c r="G55" s="299" t="s">
        <v>1228</v>
      </c>
      <c r="H55" s="298" t="s">
        <v>1229</v>
      </c>
      <c r="I55" s="298" t="s">
        <v>1230</v>
      </c>
      <c r="J55" s="298" t="s">
        <v>1231</v>
      </c>
      <c r="K55" s="300" t="s">
        <v>96</v>
      </c>
    </row>
    <row r="56" ht="21.75" customHeight="1">
      <c r="A56" s="238"/>
      <c r="B56" s="242"/>
      <c r="C56" s="243"/>
      <c r="D56" s="243"/>
      <c r="E56" s="243"/>
      <c r="F56" s="243"/>
      <c r="G56" s="243"/>
      <c r="H56" s="243"/>
      <c r="I56" s="243"/>
      <c r="J56" s="243"/>
      <c r="K56" s="244"/>
    </row>
    <row r="57" ht="24.0" customHeight="1">
      <c r="A57" s="245" t="s">
        <v>1232</v>
      </c>
      <c r="B57" s="246" t="s">
        <v>1233</v>
      </c>
      <c r="C57" s="247"/>
      <c r="D57" s="248"/>
      <c r="E57" s="247"/>
      <c r="F57" s="247"/>
      <c r="G57" s="247"/>
      <c r="H57" s="247"/>
      <c r="I57" s="249"/>
      <c r="J57" s="250"/>
      <c r="K57" s="251"/>
    </row>
    <row r="58" ht="12.75" customHeight="1">
      <c r="A58" s="238"/>
      <c r="B58" s="252"/>
      <c r="C58" s="253"/>
      <c r="D58" s="254"/>
      <c r="E58" s="255"/>
      <c r="F58" s="255"/>
      <c r="G58" s="255"/>
      <c r="H58" s="255"/>
      <c r="I58" s="256"/>
      <c r="J58" s="257"/>
      <c r="K58" s="258"/>
    </row>
    <row r="59" ht="12.75" customHeight="1">
      <c r="A59" s="238"/>
      <c r="B59" s="252"/>
      <c r="C59" s="253"/>
      <c r="D59" s="254"/>
      <c r="E59" s="255"/>
      <c r="F59" s="255"/>
      <c r="G59" s="255"/>
      <c r="H59" s="255"/>
      <c r="I59" s="256"/>
      <c r="J59" s="257"/>
      <c r="K59" s="258"/>
    </row>
    <row r="60" ht="12.75" customHeight="1">
      <c r="A60" s="238"/>
      <c r="B60" s="252"/>
      <c r="C60" s="253"/>
      <c r="D60" s="254"/>
      <c r="E60" s="255"/>
      <c r="F60" s="255"/>
      <c r="G60" s="255"/>
      <c r="H60" s="255"/>
      <c r="I60" s="256"/>
      <c r="J60" s="257"/>
      <c r="K60" s="258"/>
    </row>
    <row r="61" ht="12.75" customHeight="1">
      <c r="A61" s="238"/>
      <c r="B61" s="252"/>
      <c r="C61" s="253"/>
      <c r="D61" s="254"/>
      <c r="E61" s="255"/>
      <c r="F61" s="255"/>
      <c r="G61" s="255"/>
      <c r="H61" s="255"/>
      <c r="I61" s="256"/>
      <c r="J61" s="257"/>
      <c r="K61" s="258"/>
    </row>
    <row r="62" ht="12.75" customHeight="1">
      <c r="A62" s="238"/>
      <c r="B62" s="252"/>
      <c r="C62" s="253"/>
      <c r="D62" s="254"/>
      <c r="E62" s="255"/>
      <c r="F62" s="255"/>
      <c r="G62" s="255"/>
      <c r="H62" s="255"/>
      <c r="I62" s="256"/>
      <c r="J62" s="257"/>
      <c r="K62" s="258"/>
    </row>
    <row r="63" ht="12.75" customHeight="1">
      <c r="A63" s="238"/>
      <c r="B63" s="252"/>
      <c r="C63" s="253"/>
      <c r="D63" s="254"/>
      <c r="E63" s="255"/>
      <c r="F63" s="255"/>
      <c r="G63" s="255"/>
      <c r="H63" s="255"/>
      <c r="I63" s="256"/>
      <c r="J63" s="257"/>
      <c r="K63" s="258"/>
    </row>
    <row r="64" ht="12.75" customHeight="1">
      <c r="A64" s="238"/>
      <c r="B64" s="252"/>
      <c r="C64" s="253"/>
      <c r="D64" s="254"/>
      <c r="E64" s="255"/>
      <c r="F64" s="255"/>
      <c r="G64" s="255"/>
      <c r="H64" s="255"/>
      <c r="I64" s="256"/>
      <c r="J64" s="257"/>
      <c r="K64" s="258"/>
    </row>
    <row r="65" ht="12.75" customHeight="1">
      <c r="A65" s="238"/>
      <c r="B65" s="259"/>
      <c r="C65" s="260"/>
      <c r="D65" s="261"/>
      <c r="E65" s="262"/>
      <c r="F65" s="262"/>
      <c r="G65" s="262"/>
      <c r="H65" s="262"/>
      <c r="I65" s="263"/>
      <c r="J65" s="264"/>
      <c r="K65" s="265"/>
    </row>
    <row r="66" ht="12.75" customHeight="1">
      <c r="A66" s="238"/>
      <c r="B66" s="266"/>
      <c r="C66" s="267"/>
      <c r="D66" s="268"/>
      <c r="E66" s="269"/>
      <c r="F66" s="269"/>
      <c r="G66" s="269"/>
      <c r="H66" s="269"/>
      <c r="I66" s="270"/>
      <c r="J66" s="271" t="s">
        <v>1221</v>
      </c>
      <c r="K66" s="272">
        <f>SUM(K58:K65)</f>
        <v>0</v>
      </c>
    </row>
    <row r="67" ht="12.75" customHeight="1">
      <c r="A67" s="238"/>
      <c r="B67" s="273"/>
      <c r="C67" s="274"/>
      <c r="D67" s="275"/>
      <c r="E67" s="276"/>
      <c r="F67" s="276"/>
      <c r="G67" s="277"/>
      <c r="H67" s="277"/>
      <c r="I67" s="278"/>
      <c r="J67" s="278"/>
      <c r="K67" s="279"/>
    </row>
    <row r="68" ht="9.0" customHeight="1">
      <c r="A68" s="245"/>
      <c r="B68" s="280"/>
      <c r="C68" s="281"/>
      <c r="D68" s="281"/>
      <c r="E68" s="281"/>
      <c r="F68" s="281"/>
      <c r="G68" s="282"/>
      <c r="H68" s="282"/>
      <c r="I68" s="283"/>
      <c r="J68" s="284"/>
      <c r="K68" s="285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  <c r="AA68" s="286"/>
      <c r="AB68" s="286"/>
      <c r="AC68" s="286"/>
      <c r="AD68" s="286"/>
      <c r="AE68" s="286"/>
    </row>
    <row r="69" ht="24.0" customHeight="1">
      <c r="A69" s="245" t="s">
        <v>1232</v>
      </c>
      <c r="B69" s="246" t="s">
        <v>1233</v>
      </c>
      <c r="C69" s="247"/>
      <c r="D69" s="248"/>
      <c r="E69" s="247"/>
      <c r="F69" s="247"/>
      <c r="G69" s="247"/>
      <c r="H69" s="247"/>
      <c r="I69" s="249"/>
      <c r="J69" s="250"/>
      <c r="K69" s="251"/>
    </row>
    <row r="70" ht="12.75" customHeight="1">
      <c r="A70" s="238"/>
      <c r="B70" s="252"/>
      <c r="C70" s="253"/>
      <c r="D70" s="254"/>
      <c r="E70" s="255"/>
      <c r="F70" s="255"/>
      <c r="G70" s="255"/>
      <c r="H70" s="255"/>
      <c r="I70" s="256"/>
      <c r="J70" s="257"/>
      <c r="K70" s="258"/>
    </row>
    <row r="71" ht="12.75" customHeight="1">
      <c r="A71" s="238"/>
      <c r="B71" s="252"/>
      <c r="C71" s="253"/>
      <c r="D71" s="254"/>
      <c r="E71" s="255"/>
      <c r="F71" s="255"/>
      <c r="G71" s="255"/>
      <c r="H71" s="255"/>
      <c r="I71" s="256"/>
      <c r="J71" s="257"/>
      <c r="K71" s="258"/>
    </row>
    <row r="72" ht="12.75" customHeight="1">
      <c r="A72" s="238"/>
      <c r="B72" s="252"/>
      <c r="C72" s="253"/>
      <c r="D72" s="254"/>
      <c r="E72" s="255"/>
      <c r="F72" s="255"/>
      <c r="G72" s="255"/>
      <c r="H72" s="255"/>
      <c r="I72" s="256"/>
      <c r="J72" s="257"/>
      <c r="K72" s="258"/>
    </row>
    <row r="73" ht="12.75" customHeight="1">
      <c r="A73" s="238"/>
      <c r="B73" s="252"/>
      <c r="C73" s="253"/>
      <c r="D73" s="254"/>
      <c r="E73" s="255"/>
      <c r="F73" s="255"/>
      <c r="G73" s="255"/>
      <c r="H73" s="255"/>
      <c r="I73" s="256"/>
      <c r="J73" s="257"/>
      <c r="K73" s="258"/>
    </row>
    <row r="74" ht="12.75" customHeight="1">
      <c r="A74" s="238"/>
      <c r="B74" s="252"/>
      <c r="C74" s="253"/>
      <c r="D74" s="254"/>
      <c r="E74" s="255"/>
      <c r="F74" s="255"/>
      <c r="G74" s="255"/>
      <c r="H74" s="255"/>
      <c r="I74" s="256"/>
      <c r="J74" s="257"/>
      <c r="K74" s="258"/>
    </row>
    <row r="75" ht="12.75" customHeight="1">
      <c r="A75" s="238"/>
      <c r="B75" s="252"/>
      <c r="C75" s="253"/>
      <c r="D75" s="254"/>
      <c r="E75" s="255"/>
      <c r="F75" s="255"/>
      <c r="G75" s="255"/>
      <c r="H75" s="255"/>
      <c r="I75" s="256"/>
      <c r="J75" s="257"/>
      <c r="K75" s="258"/>
    </row>
    <row r="76" ht="12.75" customHeight="1">
      <c r="A76" s="238"/>
      <c r="B76" s="252"/>
      <c r="C76" s="253"/>
      <c r="D76" s="254"/>
      <c r="E76" s="255"/>
      <c r="F76" s="255"/>
      <c r="G76" s="255"/>
      <c r="H76" s="255"/>
      <c r="I76" s="256"/>
      <c r="J76" s="257"/>
      <c r="K76" s="258"/>
    </row>
    <row r="77" ht="12.75" customHeight="1">
      <c r="A77" s="238"/>
      <c r="B77" s="259"/>
      <c r="C77" s="260"/>
      <c r="D77" s="261"/>
      <c r="E77" s="262"/>
      <c r="F77" s="262"/>
      <c r="G77" s="262"/>
      <c r="H77" s="262"/>
      <c r="I77" s="263"/>
      <c r="J77" s="264"/>
      <c r="K77" s="265"/>
    </row>
    <row r="78" ht="12.75" customHeight="1">
      <c r="A78" s="238"/>
      <c r="B78" s="266"/>
      <c r="C78" s="267"/>
      <c r="D78" s="268"/>
      <c r="E78" s="269"/>
      <c r="F78" s="269"/>
      <c r="G78" s="269"/>
      <c r="H78" s="269"/>
      <c r="I78" s="270"/>
      <c r="J78" s="271" t="s">
        <v>1221</v>
      </c>
      <c r="K78" s="272">
        <f>SUM(K70:K77)</f>
        <v>0</v>
      </c>
    </row>
    <row r="79" ht="12.75" customHeight="1">
      <c r="A79" s="238"/>
      <c r="B79" s="273"/>
      <c r="C79" s="274"/>
      <c r="D79" s="275"/>
      <c r="E79" s="276"/>
      <c r="F79" s="276"/>
      <c r="G79" s="277"/>
      <c r="H79" s="277"/>
      <c r="I79" s="278"/>
      <c r="J79" s="278"/>
      <c r="K79" s="279"/>
    </row>
    <row r="80" ht="9.0" customHeight="1">
      <c r="A80" s="245"/>
      <c r="B80" s="280"/>
      <c r="C80" s="281"/>
      <c r="D80" s="281"/>
      <c r="E80" s="281"/>
      <c r="F80" s="281"/>
      <c r="G80" s="282"/>
      <c r="H80" s="282"/>
      <c r="I80" s="283"/>
      <c r="J80" s="284"/>
      <c r="K80" s="285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86"/>
      <c r="AB80" s="286"/>
      <c r="AC80" s="286"/>
      <c r="AD80" s="286"/>
      <c r="AE80" s="286"/>
    </row>
    <row r="81" ht="24.0" customHeight="1">
      <c r="A81" s="245" t="s">
        <v>1232</v>
      </c>
      <c r="B81" s="246" t="s">
        <v>1233</v>
      </c>
      <c r="C81" s="247"/>
      <c r="D81" s="248"/>
      <c r="E81" s="247"/>
      <c r="F81" s="247"/>
      <c r="G81" s="247"/>
      <c r="H81" s="247"/>
      <c r="I81" s="249"/>
      <c r="J81" s="250"/>
      <c r="K81" s="251"/>
    </row>
    <row r="82" ht="12.75" customHeight="1">
      <c r="A82" s="238"/>
      <c r="B82" s="252"/>
      <c r="C82" s="253"/>
      <c r="D82" s="254"/>
      <c r="E82" s="255"/>
      <c r="F82" s="255"/>
      <c r="G82" s="255"/>
      <c r="H82" s="255"/>
      <c r="I82" s="256"/>
      <c r="J82" s="257"/>
      <c r="K82" s="258"/>
    </row>
    <row r="83" ht="12.75" customHeight="1">
      <c r="A83" s="238"/>
      <c r="B83" s="252"/>
      <c r="C83" s="253"/>
      <c r="D83" s="254"/>
      <c r="E83" s="255"/>
      <c r="F83" s="255"/>
      <c r="G83" s="255"/>
      <c r="H83" s="255"/>
      <c r="I83" s="256"/>
      <c r="J83" s="257"/>
      <c r="K83" s="258"/>
    </row>
    <row r="84" ht="12.75" customHeight="1">
      <c r="A84" s="238"/>
      <c r="B84" s="252"/>
      <c r="C84" s="253"/>
      <c r="D84" s="254"/>
      <c r="E84" s="255"/>
      <c r="F84" s="255"/>
      <c r="G84" s="255"/>
      <c r="H84" s="255"/>
      <c r="I84" s="256"/>
      <c r="J84" s="257"/>
      <c r="K84" s="258"/>
    </row>
    <row r="85" ht="12.75" customHeight="1">
      <c r="A85" s="238"/>
      <c r="B85" s="252"/>
      <c r="C85" s="253"/>
      <c r="D85" s="254"/>
      <c r="E85" s="255"/>
      <c r="F85" s="255"/>
      <c r="G85" s="255"/>
      <c r="H85" s="255"/>
      <c r="I85" s="256"/>
      <c r="J85" s="257"/>
      <c r="K85" s="258"/>
    </row>
    <row r="86" ht="12.75" customHeight="1">
      <c r="A86" s="238"/>
      <c r="B86" s="252"/>
      <c r="C86" s="253"/>
      <c r="D86" s="254"/>
      <c r="E86" s="255"/>
      <c r="F86" s="255"/>
      <c r="G86" s="255"/>
      <c r="H86" s="255"/>
      <c r="I86" s="256"/>
      <c r="J86" s="257"/>
      <c r="K86" s="258"/>
    </row>
    <row r="87" ht="12.75" customHeight="1">
      <c r="A87" s="238"/>
      <c r="B87" s="252"/>
      <c r="C87" s="253"/>
      <c r="D87" s="254"/>
      <c r="E87" s="255"/>
      <c r="F87" s="255"/>
      <c r="G87" s="255"/>
      <c r="H87" s="255"/>
      <c r="I87" s="256"/>
      <c r="J87" s="257"/>
      <c r="K87" s="258"/>
    </row>
    <row r="88" ht="12.75" customHeight="1">
      <c r="A88" s="238"/>
      <c r="B88" s="252"/>
      <c r="C88" s="253"/>
      <c r="D88" s="254"/>
      <c r="E88" s="255"/>
      <c r="F88" s="255"/>
      <c r="G88" s="255"/>
      <c r="H88" s="255"/>
      <c r="I88" s="256"/>
      <c r="J88" s="257"/>
      <c r="K88" s="258"/>
    </row>
    <row r="89" ht="12.75" customHeight="1">
      <c r="A89" s="238"/>
      <c r="B89" s="259"/>
      <c r="C89" s="260"/>
      <c r="D89" s="261"/>
      <c r="E89" s="262"/>
      <c r="F89" s="262"/>
      <c r="G89" s="262"/>
      <c r="H89" s="262"/>
      <c r="I89" s="263"/>
      <c r="J89" s="264"/>
      <c r="K89" s="265"/>
    </row>
    <row r="90" ht="12.75" customHeight="1">
      <c r="A90" s="238"/>
      <c r="B90" s="266"/>
      <c r="C90" s="267"/>
      <c r="D90" s="268"/>
      <c r="E90" s="269"/>
      <c r="F90" s="269"/>
      <c r="G90" s="269"/>
      <c r="H90" s="269"/>
      <c r="I90" s="270"/>
      <c r="J90" s="271" t="s">
        <v>1221</v>
      </c>
      <c r="K90" s="272">
        <f>SUM(K82:K89)</f>
        <v>0</v>
      </c>
    </row>
    <row r="91" ht="12.75" customHeight="1">
      <c r="A91" s="238"/>
      <c r="B91" s="273"/>
      <c r="C91" s="274"/>
      <c r="D91" s="275"/>
      <c r="E91" s="276"/>
      <c r="F91" s="276"/>
      <c r="G91" s="277"/>
      <c r="H91" s="277"/>
      <c r="I91" s="278"/>
      <c r="J91" s="278"/>
      <c r="K91" s="279"/>
    </row>
    <row r="92" ht="9.0" customHeight="1">
      <c r="A92" s="245"/>
      <c r="B92" s="280"/>
      <c r="C92" s="281"/>
      <c r="D92" s="281"/>
      <c r="E92" s="281"/>
      <c r="F92" s="281"/>
      <c r="G92" s="282"/>
      <c r="H92" s="282"/>
      <c r="I92" s="283"/>
      <c r="J92" s="284"/>
      <c r="K92" s="285"/>
      <c r="L92" s="286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</row>
    <row r="93" ht="24.0" customHeight="1">
      <c r="A93" s="245" t="s">
        <v>1232</v>
      </c>
      <c r="B93" s="246" t="s">
        <v>1233</v>
      </c>
      <c r="C93" s="247"/>
      <c r="D93" s="248"/>
      <c r="E93" s="247"/>
      <c r="F93" s="247"/>
      <c r="G93" s="247"/>
      <c r="H93" s="247"/>
      <c r="I93" s="249"/>
      <c r="J93" s="250"/>
      <c r="K93" s="251"/>
    </row>
    <row r="94" ht="12.75" customHeight="1">
      <c r="A94" s="238"/>
      <c r="B94" s="252"/>
      <c r="C94" s="253"/>
      <c r="D94" s="254"/>
      <c r="E94" s="255"/>
      <c r="F94" s="255"/>
      <c r="G94" s="255"/>
      <c r="H94" s="255"/>
      <c r="I94" s="256"/>
      <c r="J94" s="257"/>
      <c r="K94" s="258"/>
    </row>
    <row r="95" ht="12.75" customHeight="1">
      <c r="A95" s="238"/>
      <c r="B95" s="252"/>
      <c r="C95" s="253"/>
      <c r="D95" s="254"/>
      <c r="E95" s="255"/>
      <c r="F95" s="255"/>
      <c r="G95" s="255"/>
      <c r="H95" s="255"/>
      <c r="I95" s="256"/>
      <c r="J95" s="257"/>
      <c r="K95" s="258"/>
    </row>
    <row r="96" ht="12.75" customHeight="1">
      <c r="A96" s="238"/>
      <c r="B96" s="252"/>
      <c r="C96" s="253"/>
      <c r="D96" s="254"/>
      <c r="E96" s="255"/>
      <c r="F96" s="255"/>
      <c r="G96" s="255"/>
      <c r="H96" s="255"/>
      <c r="I96" s="256"/>
      <c r="J96" s="257"/>
      <c r="K96" s="258"/>
    </row>
    <row r="97" ht="12.75" customHeight="1">
      <c r="A97" s="238"/>
      <c r="B97" s="252"/>
      <c r="C97" s="253"/>
      <c r="D97" s="254"/>
      <c r="E97" s="255"/>
      <c r="F97" s="255"/>
      <c r="G97" s="255"/>
      <c r="H97" s="255"/>
      <c r="I97" s="256"/>
      <c r="J97" s="257"/>
      <c r="K97" s="258"/>
    </row>
    <row r="98" ht="12.75" customHeight="1">
      <c r="A98" s="238"/>
      <c r="B98" s="252"/>
      <c r="C98" s="253"/>
      <c r="D98" s="254"/>
      <c r="E98" s="255"/>
      <c r="F98" s="255"/>
      <c r="G98" s="255"/>
      <c r="H98" s="255"/>
      <c r="I98" s="256"/>
      <c r="J98" s="257"/>
      <c r="K98" s="258"/>
    </row>
    <row r="99" ht="12.75" customHeight="1">
      <c r="A99" s="238"/>
      <c r="B99" s="252"/>
      <c r="C99" s="253"/>
      <c r="D99" s="254"/>
      <c r="E99" s="255"/>
      <c r="F99" s="255"/>
      <c r="G99" s="255"/>
      <c r="H99" s="255"/>
      <c r="I99" s="256"/>
      <c r="J99" s="257"/>
      <c r="K99" s="258"/>
    </row>
    <row r="100" ht="12.75" customHeight="1">
      <c r="A100" s="238"/>
      <c r="B100" s="252"/>
      <c r="C100" s="253"/>
      <c r="D100" s="254"/>
      <c r="E100" s="255"/>
      <c r="F100" s="255"/>
      <c r="G100" s="255"/>
      <c r="H100" s="255"/>
      <c r="I100" s="256"/>
      <c r="J100" s="257"/>
      <c r="K100" s="258"/>
    </row>
    <row r="101" ht="12.75" customHeight="1">
      <c r="A101" s="238"/>
      <c r="B101" s="259"/>
      <c r="C101" s="260"/>
      <c r="D101" s="261"/>
      <c r="E101" s="262"/>
      <c r="F101" s="262"/>
      <c r="G101" s="262"/>
      <c r="H101" s="262"/>
      <c r="I101" s="263"/>
      <c r="J101" s="264"/>
      <c r="K101" s="265"/>
    </row>
    <row r="102" ht="12.75" customHeight="1">
      <c r="A102" s="238"/>
      <c r="B102" s="266"/>
      <c r="C102" s="267"/>
      <c r="D102" s="268"/>
      <c r="E102" s="269"/>
      <c r="F102" s="269"/>
      <c r="G102" s="269"/>
      <c r="H102" s="269"/>
      <c r="I102" s="270"/>
      <c r="J102" s="271" t="s">
        <v>1221</v>
      </c>
      <c r="K102" s="272">
        <f>SUM(K94:K101)</f>
        <v>0</v>
      </c>
    </row>
    <row r="103" ht="12.75" customHeight="1">
      <c r="A103" s="238"/>
      <c r="B103" s="273"/>
      <c r="C103" s="274"/>
      <c r="D103" s="275"/>
      <c r="E103" s="276"/>
      <c r="F103" s="276"/>
      <c r="G103" s="277"/>
      <c r="H103" s="277"/>
      <c r="I103" s="278"/>
      <c r="J103" s="278"/>
      <c r="K103" s="279"/>
    </row>
    <row r="104" ht="12.75" customHeight="1">
      <c r="A104" s="238"/>
      <c r="B104" s="301"/>
      <c r="C104" s="302"/>
      <c r="D104" s="302"/>
      <c r="E104" s="302"/>
      <c r="F104" s="302"/>
      <c r="G104" s="303"/>
      <c r="H104" s="302"/>
      <c r="I104" s="303"/>
      <c r="J104" s="304" t="s">
        <v>1234</v>
      </c>
      <c r="K104" s="305">
        <f>K102+K90+K78+K66</f>
        <v>0</v>
      </c>
    </row>
    <row r="105" ht="12.75" customHeight="1">
      <c r="A105" s="238"/>
      <c r="B105" s="306"/>
      <c r="C105" s="307"/>
      <c r="D105" s="307"/>
      <c r="E105" s="307"/>
      <c r="F105" s="307"/>
      <c r="G105" s="308"/>
      <c r="H105" s="307"/>
      <c r="I105" s="308"/>
      <c r="J105" s="307"/>
      <c r="K105" s="309"/>
    </row>
    <row r="106" ht="12.75" customHeight="1">
      <c r="A106" s="245" t="s">
        <v>1232</v>
      </c>
      <c r="B106" s="310"/>
      <c r="C106" s="311"/>
      <c r="D106" s="311"/>
      <c r="E106" s="311"/>
      <c r="F106" s="311"/>
      <c r="G106" s="312"/>
      <c r="H106" s="311"/>
      <c r="I106" s="312"/>
      <c r="J106" s="313" t="s">
        <v>1236</v>
      </c>
      <c r="K106" s="314">
        <f>K104+K53</f>
        <v>0</v>
      </c>
    </row>
    <row r="107" ht="12.75" customHeight="1">
      <c r="A107" s="238"/>
      <c r="B107" s="235"/>
      <c r="C107" s="235"/>
      <c r="D107" s="236"/>
      <c r="E107" s="235"/>
      <c r="F107" s="235"/>
      <c r="G107" s="237"/>
      <c r="H107" s="235"/>
      <c r="I107" s="235"/>
      <c r="J107" s="235"/>
      <c r="K107" s="66"/>
    </row>
    <row r="108" ht="12.75" customHeight="1">
      <c r="A108" s="238"/>
      <c r="B108" s="235"/>
      <c r="C108" s="235"/>
      <c r="D108" s="236"/>
      <c r="E108" s="235"/>
      <c r="F108" s="235"/>
      <c r="G108" s="237"/>
      <c r="H108" s="235"/>
      <c r="I108" s="235"/>
      <c r="J108" s="235"/>
      <c r="K108" s="66"/>
    </row>
    <row r="109" ht="12.75" customHeight="1">
      <c r="A109" s="238"/>
      <c r="B109" s="235"/>
      <c r="C109" s="235"/>
      <c r="D109" s="236"/>
      <c r="E109" s="235"/>
      <c r="F109" s="235"/>
      <c r="G109" s="237"/>
      <c r="H109" s="235"/>
      <c r="I109" s="235"/>
      <c r="J109" s="235"/>
      <c r="K109" s="66"/>
    </row>
    <row r="110" ht="12.75" customHeight="1">
      <c r="A110" s="238"/>
      <c r="B110" s="235"/>
      <c r="C110" s="235"/>
      <c r="D110" s="236"/>
      <c r="E110" s="235"/>
      <c r="F110" s="235"/>
      <c r="G110" s="237"/>
      <c r="H110" s="235"/>
      <c r="I110" s="235"/>
      <c r="J110" s="235"/>
      <c r="K110" s="66"/>
    </row>
    <row r="111" ht="12.75" customHeight="1">
      <c r="A111" s="238"/>
      <c r="B111" s="235"/>
      <c r="C111" s="235"/>
      <c r="D111" s="236"/>
      <c r="E111" s="235"/>
      <c r="F111" s="235"/>
      <c r="G111" s="237"/>
      <c r="H111" s="235"/>
      <c r="I111" s="235"/>
      <c r="J111" s="235"/>
      <c r="K111" s="66"/>
    </row>
    <row r="112" ht="12.75" customHeight="1">
      <c r="A112" s="238"/>
      <c r="B112" s="235"/>
      <c r="C112" s="235"/>
      <c r="D112" s="236"/>
      <c r="E112" s="235"/>
      <c r="F112" s="235"/>
      <c r="G112" s="237"/>
      <c r="H112" s="235"/>
      <c r="I112" s="235"/>
      <c r="J112" s="235"/>
      <c r="K112" s="66"/>
    </row>
    <row r="113" ht="12.75" customHeight="1">
      <c r="A113" s="238"/>
      <c r="B113" s="235"/>
      <c r="C113" s="235"/>
      <c r="D113" s="236"/>
      <c r="E113" s="235"/>
      <c r="F113" s="235"/>
      <c r="G113" s="237"/>
      <c r="H113" s="235"/>
      <c r="I113" s="235"/>
      <c r="J113" s="235"/>
      <c r="K113" s="66"/>
    </row>
    <row r="114" ht="12.75" customHeight="1">
      <c r="A114" s="238"/>
      <c r="B114" s="235"/>
      <c r="C114" s="235"/>
      <c r="D114" s="236"/>
      <c r="E114" s="235"/>
      <c r="F114" s="235"/>
      <c r="G114" s="237"/>
      <c r="H114" s="235"/>
      <c r="I114" s="235"/>
      <c r="J114" s="235"/>
      <c r="K114" s="66"/>
    </row>
    <row r="115" ht="12.75" customHeight="1">
      <c r="A115" s="238"/>
      <c r="B115" s="235"/>
      <c r="C115" s="235"/>
      <c r="D115" s="236"/>
      <c r="E115" s="235"/>
      <c r="F115" s="235"/>
      <c r="G115" s="237"/>
      <c r="H115" s="235"/>
      <c r="I115" s="235"/>
      <c r="J115" s="235"/>
      <c r="K115" s="66"/>
    </row>
    <row r="116" ht="12.75" customHeight="1">
      <c r="A116" s="238"/>
      <c r="B116" s="235"/>
      <c r="C116" s="235"/>
      <c r="D116" s="236"/>
      <c r="E116" s="235"/>
      <c r="F116" s="235"/>
      <c r="G116" s="237"/>
      <c r="H116" s="235"/>
      <c r="I116" s="235"/>
      <c r="J116" s="235"/>
      <c r="K116" s="66"/>
    </row>
    <row r="117" ht="12.75" customHeight="1">
      <c r="A117" s="238"/>
      <c r="B117" s="235"/>
      <c r="C117" s="235"/>
      <c r="D117" s="236"/>
      <c r="E117" s="235"/>
      <c r="F117" s="235"/>
      <c r="G117" s="237"/>
      <c r="H117" s="235"/>
      <c r="I117" s="235"/>
      <c r="J117" s="235"/>
      <c r="K117" s="66"/>
    </row>
    <row r="118" ht="12.75" customHeight="1">
      <c r="A118" s="238"/>
      <c r="B118" s="235"/>
      <c r="C118" s="235"/>
      <c r="D118" s="236"/>
      <c r="E118" s="235"/>
      <c r="F118" s="235"/>
      <c r="G118" s="237"/>
      <c r="H118" s="235"/>
      <c r="I118" s="235"/>
      <c r="J118" s="235"/>
      <c r="K118" s="66"/>
    </row>
    <row r="119" ht="12.75" customHeight="1">
      <c r="A119" s="238"/>
      <c r="B119" s="235"/>
      <c r="C119" s="235"/>
      <c r="D119" s="236"/>
      <c r="E119" s="235"/>
      <c r="F119" s="235"/>
      <c r="G119" s="237"/>
      <c r="H119" s="235"/>
      <c r="I119" s="235"/>
      <c r="J119" s="235"/>
      <c r="K119" s="66"/>
    </row>
    <row r="120" ht="12.75" customHeight="1">
      <c r="A120" s="238"/>
      <c r="B120" s="235"/>
      <c r="C120" s="235"/>
      <c r="D120" s="236"/>
      <c r="E120" s="235"/>
      <c r="F120" s="235"/>
      <c r="G120" s="237"/>
      <c r="H120" s="235"/>
      <c r="I120" s="235"/>
      <c r="J120" s="235"/>
      <c r="K120" s="66"/>
    </row>
    <row r="121" ht="12.75" customHeight="1">
      <c r="A121" s="238"/>
      <c r="B121" s="235"/>
      <c r="C121" s="235"/>
      <c r="D121" s="236"/>
      <c r="E121" s="235"/>
      <c r="F121" s="235"/>
      <c r="G121" s="237"/>
      <c r="H121" s="235"/>
      <c r="I121" s="235"/>
      <c r="J121" s="235"/>
      <c r="K121" s="66"/>
    </row>
    <row r="122" ht="12.75" customHeight="1">
      <c r="A122" s="238"/>
      <c r="B122" s="235"/>
      <c r="C122" s="235"/>
      <c r="D122" s="236"/>
      <c r="E122" s="235"/>
      <c r="F122" s="235"/>
      <c r="G122" s="237"/>
      <c r="H122" s="235"/>
      <c r="I122" s="235"/>
      <c r="J122" s="235"/>
      <c r="K122" s="66"/>
    </row>
    <row r="123" ht="12.75" customHeight="1">
      <c r="A123" s="238"/>
      <c r="B123" s="235"/>
      <c r="C123" s="235"/>
      <c r="D123" s="236"/>
      <c r="E123" s="235"/>
      <c r="F123" s="235"/>
      <c r="G123" s="237"/>
      <c r="H123" s="235"/>
      <c r="I123" s="235"/>
      <c r="J123" s="235"/>
      <c r="K123" s="66"/>
    </row>
    <row r="124" ht="12.75" customHeight="1">
      <c r="A124" s="238"/>
      <c r="B124" s="235"/>
      <c r="C124" s="235"/>
      <c r="D124" s="236"/>
      <c r="E124" s="235"/>
      <c r="F124" s="235"/>
      <c r="G124" s="237"/>
      <c r="H124" s="235"/>
      <c r="I124" s="235"/>
      <c r="J124" s="235"/>
      <c r="K124" s="66"/>
    </row>
    <row r="125" ht="12.75" customHeight="1">
      <c r="A125" s="238"/>
      <c r="B125" s="235"/>
      <c r="C125" s="235"/>
      <c r="D125" s="236"/>
      <c r="E125" s="235"/>
      <c r="F125" s="235"/>
      <c r="G125" s="237"/>
      <c r="H125" s="235"/>
      <c r="I125" s="235"/>
      <c r="J125" s="235"/>
      <c r="K125" s="66"/>
    </row>
    <row r="126" ht="12.75" customHeight="1">
      <c r="A126" s="238"/>
      <c r="B126" s="235"/>
      <c r="C126" s="235"/>
      <c r="D126" s="236"/>
      <c r="E126" s="235"/>
      <c r="F126" s="235"/>
      <c r="G126" s="237"/>
      <c r="H126" s="235"/>
      <c r="I126" s="235"/>
      <c r="J126" s="235"/>
      <c r="K126" s="66"/>
    </row>
    <row r="127" ht="12.75" customHeight="1">
      <c r="A127" s="238"/>
      <c r="B127" s="235"/>
      <c r="C127" s="235"/>
      <c r="D127" s="236"/>
      <c r="E127" s="235"/>
      <c r="F127" s="235"/>
      <c r="G127" s="237"/>
      <c r="H127" s="235"/>
      <c r="I127" s="235"/>
      <c r="J127" s="235"/>
      <c r="K127" s="66"/>
    </row>
    <row r="128" ht="12.75" customHeight="1">
      <c r="A128" s="238"/>
      <c r="B128" s="235"/>
      <c r="C128" s="235"/>
      <c r="D128" s="236"/>
      <c r="E128" s="235"/>
      <c r="F128" s="235"/>
      <c r="G128" s="237"/>
      <c r="H128" s="235"/>
      <c r="I128" s="235"/>
      <c r="J128" s="235"/>
      <c r="K128" s="66"/>
    </row>
    <row r="129" ht="12.75" customHeight="1">
      <c r="A129" s="238"/>
      <c r="B129" s="235"/>
      <c r="C129" s="235"/>
      <c r="D129" s="236"/>
      <c r="E129" s="235"/>
      <c r="F129" s="235"/>
      <c r="G129" s="237"/>
      <c r="H129" s="235"/>
      <c r="I129" s="235"/>
      <c r="J129" s="235"/>
      <c r="K129" s="66"/>
    </row>
    <row r="130" ht="12.75" customHeight="1">
      <c r="A130" s="238"/>
      <c r="B130" s="235"/>
      <c r="C130" s="235"/>
      <c r="D130" s="236"/>
      <c r="E130" s="235"/>
      <c r="F130" s="235"/>
      <c r="G130" s="237"/>
      <c r="H130" s="235"/>
      <c r="I130" s="235"/>
      <c r="J130" s="235"/>
      <c r="K130" s="66"/>
    </row>
    <row r="131" ht="12.75" customHeight="1">
      <c r="A131" s="238"/>
      <c r="B131" s="235"/>
      <c r="C131" s="235"/>
      <c r="D131" s="236"/>
      <c r="E131" s="235"/>
      <c r="F131" s="235"/>
      <c r="G131" s="237"/>
      <c r="H131" s="235"/>
      <c r="I131" s="235"/>
      <c r="J131" s="235"/>
      <c r="K131" s="66"/>
    </row>
    <row r="132" ht="12.75" customHeight="1">
      <c r="A132" s="238"/>
      <c r="B132" s="235"/>
      <c r="C132" s="235"/>
      <c r="D132" s="236"/>
      <c r="E132" s="235"/>
      <c r="F132" s="235"/>
      <c r="G132" s="237"/>
      <c r="H132" s="235"/>
      <c r="I132" s="235"/>
      <c r="J132" s="235"/>
      <c r="K132" s="66"/>
    </row>
    <row r="133" ht="12.75" customHeight="1">
      <c r="A133" s="238"/>
      <c r="B133" s="235"/>
      <c r="C133" s="235"/>
      <c r="D133" s="236"/>
      <c r="E133" s="235"/>
      <c r="F133" s="235"/>
      <c r="G133" s="237"/>
      <c r="H133" s="235"/>
      <c r="I133" s="235"/>
      <c r="J133" s="235"/>
      <c r="K133" s="66"/>
    </row>
    <row r="134" ht="12.75" customHeight="1">
      <c r="A134" s="238"/>
      <c r="B134" s="235"/>
      <c r="C134" s="235"/>
      <c r="D134" s="236"/>
      <c r="E134" s="235"/>
      <c r="F134" s="235"/>
      <c r="G134" s="237"/>
      <c r="H134" s="235"/>
      <c r="I134" s="235"/>
      <c r="J134" s="235"/>
      <c r="K134" s="66"/>
    </row>
    <row r="135" ht="12.75" customHeight="1">
      <c r="A135" s="238"/>
      <c r="B135" s="235"/>
      <c r="C135" s="235"/>
      <c r="D135" s="236"/>
      <c r="E135" s="235"/>
      <c r="F135" s="235"/>
      <c r="G135" s="237"/>
      <c r="H135" s="235"/>
      <c r="I135" s="235"/>
      <c r="J135" s="235"/>
      <c r="K135" s="66"/>
    </row>
    <row r="136" ht="12.75" customHeight="1">
      <c r="A136" s="238"/>
      <c r="B136" s="235"/>
      <c r="C136" s="235"/>
      <c r="D136" s="236"/>
      <c r="E136" s="235"/>
      <c r="F136" s="235"/>
      <c r="G136" s="237"/>
      <c r="H136" s="235"/>
      <c r="I136" s="235"/>
      <c r="J136" s="235"/>
      <c r="K136" s="66"/>
    </row>
    <row r="137" ht="12.75" customHeight="1">
      <c r="A137" s="238"/>
      <c r="B137" s="235"/>
      <c r="C137" s="235"/>
      <c r="D137" s="236"/>
      <c r="E137" s="235"/>
      <c r="F137" s="235"/>
      <c r="G137" s="237"/>
      <c r="H137" s="235"/>
      <c r="I137" s="235"/>
      <c r="J137" s="235"/>
      <c r="K137" s="66"/>
    </row>
    <row r="138" ht="12.75" customHeight="1">
      <c r="A138" s="238"/>
      <c r="B138" s="235"/>
      <c r="C138" s="235"/>
      <c r="D138" s="236"/>
      <c r="E138" s="235"/>
      <c r="F138" s="235"/>
      <c r="G138" s="237"/>
      <c r="H138" s="235"/>
      <c r="I138" s="235"/>
      <c r="J138" s="235"/>
      <c r="K138" s="66"/>
    </row>
    <row r="139" ht="12.75" customHeight="1">
      <c r="A139" s="238"/>
      <c r="B139" s="235"/>
      <c r="C139" s="235"/>
      <c r="D139" s="236"/>
      <c r="E139" s="235"/>
      <c r="F139" s="235"/>
      <c r="G139" s="237"/>
      <c r="H139" s="235"/>
      <c r="I139" s="235"/>
      <c r="J139" s="235"/>
      <c r="K139" s="66"/>
    </row>
    <row r="140" ht="12.75" customHeight="1">
      <c r="A140" s="238"/>
      <c r="B140" s="235"/>
      <c r="C140" s="235"/>
      <c r="D140" s="236"/>
      <c r="E140" s="235"/>
      <c r="F140" s="235"/>
      <c r="G140" s="237"/>
      <c r="H140" s="235"/>
      <c r="I140" s="235"/>
      <c r="J140" s="235"/>
      <c r="K140" s="66"/>
    </row>
    <row r="141" ht="12.75" customHeight="1">
      <c r="A141" s="238"/>
      <c r="B141" s="235"/>
      <c r="C141" s="235"/>
      <c r="D141" s="236"/>
      <c r="E141" s="235"/>
      <c r="F141" s="235"/>
      <c r="G141" s="237"/>
      <c r="H141" s="235"/>
      <c r="I141" s="235"/>
      <c r="J141" s="235"/>
      <c r="K141" s="66"/>
    </row>
    <row r="142" ht="12.75" customHeight="1">
      <c r="A142" s="238"/>
      <c r="B142" s="235"/>
      <c r="C142" s="235"/>
      <c r="D142" s="236"/>
      <c r="E142" s="235"/>
      <c r="F142" s="235"/>
      <c r="G142" s="237"/>
      <c r="H142" s="235"/>
      <c r="I142" s="235"/>
      <c r="J142" s="235"/>
      <c r="K142" s="66"/>
    </row>
    <row r="143" ht="12.75" customHeight="1">
      <c r="A143" s="238"/>
      <c r="B143" s="235"/>
      <c r="C143" s="235"/>
      <c r="D143" s="236"/>
      <c r="E143" s="235"/>
      <c r="F143" s="235"/>
      <c r="G143" s="237"/>
      <c r="H143" s="235"/>
      <c r="I143" s="235"/>
      <c r="J143" s="235"/>
      <c r="K143" s="66"/>
    </row>
    <row r="144" ht="12.75" customHeight="1">
      <c r="A144" s="238"/>
      <c r="B144" s="235"/>
      <c r="C144" s="235"/>
      <c r="D144" s="236"/>
      <c r="E144" s="235"/>
      <c r="F144" s="235"/>
      <c r="G144" s="237"/>
      <c r="H144" s="235"/>
      <c r="I144" s="235"/>
      <c r="J144" s="235"/>
      <c r="K144" s="66"/>
    </row>
    <row r="145" ht="12.75" customHeight="1">
      <c r="A145" s="238"/>
      <c r="B145" s="235"/>
      <c r="C145" s="235"/>
      <c r="D145" s="236"/>
      <c r="E145" s="235"/>
      <c r="F145" s="235"/>
      <c r="G145" s="237"/>
      <c r="H145" s="235"/>
      <c r="I145" s="235"/>
      <c r="J145" s="235"/>
      <c r="K145" s="66"/>
    </row>
    <row r="146" ht="12.75" customHeight="1">
      <c r="A146" s="238"/>
      <c r="B146" s="235"/>
      <c r="C146" s="235"/>
      <c r="D146" s="236"/>
      <c r="E146" s="235"/>
      <c r="F146" s="235"/>
      <c r="G146" s="237"/>
      <c r="H146" s="235"/>
      <c r="I146" s="235"/>
      <c r="J146" s="235"/>
      <c r="K146" s="66"/>
    </row>
    <row r="147" ht="12.75" customHeight="1">
      <c r="A147" s="238"/>
      <c r="B147" s="235"/>
      <c r="C147" s="235"/>
      <c r="D147" s="236"/>
      <c r="E147" s="235"/>
      <c r="F147" s="235"/>
      <c r="G147" s="237"/>
      <c r="H147" s="235"/>
      <c r="I147" s="235"/>
      <c r="J147" s="235"/>
      <c r="K147" s="66"/>
    </row>
    <row r="148" ht="12.75" customHeight="1">
      <c r="A148" s="238"/>
      <c r="B148" s="235"/>
      <c r="C148" s="235"/>
      <c r="D148" s="236"/>
      <c r="E148" s="235"/>
      <c r="F148" s="235"/>
      <c r="G148" s="237"/>
      <c r="H148" s="235"/>
      <c r="I148" s="235"/>
      <c r="J148" s="235"/>
      <c r="K148" s="66"/>
    </row>
    <row r="149" ht="12.75" customHeight="1">
      <c r="A149" s="238"/>
      <c r="B149" s="235"/>
      <c r="C149" s="235"/>
      <c r="D149" s="236"/>
      <c r="E149" s="235"/>
      <c r="F149" s="235"/>
      <c r="G149" s="237"/>
      <c r="H149" s="235"/>
      <c r="I149" s="235"/>
      <c r="J149" s="235"/>
      <c r="K149" s="66"/>
    </row>
    <row r="150" ht="12.75" customHeight="1">
      <c r="A150" s="238"/>
      <c r="B150" s="235"/>
      <c r="C150" s="235"/>
      <c r="D150" s="236"/>
      <c r="E150" s="235"/>
      <c r="F150" s="235"/>
      <c r="G150" s="237"/>
      <c r="H150" s="235"/>
      <c r="I150" s="235"/>
      <c r="J150" s="235"/>
      <c r="K150" s="66"/>
    </row>
    <row r="151" ht="12.75" customHeight="1">
      <c r="A151" s="238"/>
      <c r="B151" s="235"/>
      <c r="C151" s="235"/>
      <c r="D151" s="236"/>
      <c r="E151" s="235"/>
      <c r="F151" s="235"/>
      <c r="G151" s="237"/>
      <c r="H151" s="235"/>
      <c r="I151" s="235"/>
      <c r="J151" s="235"/>
      <c r="K151" s="66"/>
    </row>
    <row r="152" ht="12.75" customHeight="1">
      <c r="A152" s="238"/>
      <c r="B152" s="235"/>
      <c r="C152" s="235"/>
      <c r="D152" s="236"/>
      <c r="E152" s="235"/>
      <c r="F152" s="235"/>
      <c r="G152" s="237"/>
      <c r="H152" s="235"/>
      <c r="I152" s="235"/>
      <c r="J152" s="235"/>
      <c r="K152" s="66"/>
    </row>
    <row r="153" ht="12.75" customHeight="1">
      <c r="A153" s="238"/>
      <c r="B153" s="235"/>
      <c r="C153" s="235"/>
      <c r="D153" s="236"/>
      <c r="E153" s="235"/>
      <c r="F153" s="235"/>
      <c r="G153" s="237"/>
      <c r="H153" s="235"/>
      <c r="I153" s="235"/>
      <c r="J153" s="235"/>
      <c r="K153" s="66"/>
    </row>
    <row r="154" ht="12.75" customHeight="1">
      <c r="A154" s="238"/>
      <c r="B154" s="235"/>
      <c r="C154" s="235"/>
      <c r="D154" s="236"/>
      <c r="E154" s="235"/>
      <c r="F154" s="235"/>
      <c r="G154" s="237"/>
      <c r="H154" s="235"/>
      <c r="I154" s="235"/>
      <c r="J154" s="235"/>
      <c r="K154" s="66"/>
    </row>
    <row r="155" ht="12.75" customHeight="1">
      <c r="A155" s="238"/>
      <c r="B155" s="235"/>
      <c r="C155" s="235"/>
      <c r="D155" s="236"/>
      <c r="E155" s="235"/>
      <c r="F155" s="235"/>
      <c r="G155" s="237"/>
      <c r="H155" s="235"/>
      <c r="I155" s="235"/>
      <c r="J155" s="235"/>
      <c r="K155" s="66"/>
    </row>
    <row r="156" ht="12.75" customHeight="1">
      <c r="A156" s="238"/>
      <c r="B156" s="235"/>
      <c r="C156" s="235"/>
      <c r="D156" s="236"/>
      <c r="E156" s="235"/>
      <c r="F156" s="235"/>
      <c r="G156" s="237"/>
      <c r="H156" s="235"/>
      <c r="I156" s="235"/>
      <c r="J156" s="235"/>
      <c r="K156" s="66"/>
    </row>
    <row r="157" ht="12.75" customHeight="1">
      <c r="A157" s="238"/>
      <c r="B157" s="235"/>
      <c r="C157" s="235"/>
      <c r="D157" s="236"/>
      <c r="E157" s="235"/>
      <c r="F157" s="235"/>
      <c r="G157" s="237"/>
      <c r="H157" s="235"/>
      <c r="I157" s="235"/>
      <c r="J157" s="235"/>
      <c r="K157" s="66"/>
    </row>
    <row r="158" ht="12.75" customHeight="1">
      <c r="A158" s="238"/>
      <c r="B158" s="235"/>
      <c r="C158" s="235"/>
      <c r="D158" s="236"/>
      <c r="E158" s="235"/>
      <c r="F158" s="235"/>
      <c r="G158" s="237"/>
      <c r="H158" s="235"/>
      <c r="I158" s="235"/>
      <c r="J158" s="235"/>
      <c r="K158" s="66"/>
    </row>
    <row r="159" ht="12.75" customHeight="1">
      <c r="A159" s="238"/>
      <c r="B159" s="235"/>
      <c r="C159" s="235"/>
      <c r="D159" s="236"/>
      <c r="E159" s="235"/>
      <c r="F159" s="235"/>
      <c r="G159" s="237"/>
      <c r="H159" s="235"/>
      <c r="I159" s="235"/>
      <c r="J159" s="235"/>
      <c r="K159" s="66"/>
    </row>
    <row r="160" ht="12.75" customHeight="1">
      <c r="A160" s="238"/>
      <c r="B160" s="235"/>
      <c r="C160" s="235"/>
      <c r="D160" s="236"/>
      <c r="E160" s="235"/>
      <c r="F160" s="235"/>
      <c r="G160" s="237"/>
      <c r="H160" s="235"/>
      <c r="I160" s="235"/>
      <c r="J160" s="235"/>
      <c r="K160" s="66"/>
    </row>
    <row r="161" ht="12.75" customHeight="1">
      <c r="A161" s="238"/>
      <c r="B161" s="235"/>
      <c r="C161" s="235"/>
      <c r="D161" s="236"/>
      <c r="E161" s="235"/>
      <c r="F161" s="235"/>
      <c r="G161" s="237"/>
      <c r="H161" s="235"/>
      <c r="I161" s="235"/>
      <c r="J161" s="235"/>
      <c r="K161" s="66"/>
    </row>
    <row r="162" ht="12.75" customHeight="1">
      <c r="A162" s="238"/>
      <c r="B162" s="235"/>
      <c r="C162" s="235"/>
      <c r="D162" s="236"/>
      <c r="E162" s="235"/>
      <c r="F162" s="235"/>
      <c r="G162" s="237"/>
      <c r="H162" s="235"/>
      <c r="I162" s="235"/>
      <c r="J162" s="235"/>
      <c r="K162" s="66"/>
    </row>
    <row r="163" ht="12.75" customHeight="1">
      <c r="A163" s="238"/>
      <c r="B163" s="235"/>
      <c r="C163" s="235"/>
      <c r="D163" s="236"/>
      <c r="E163" s="235"/>
      <c r="F163" s="235"/>
      <c r="G163" s="237"/>
      <c r="H163" s="235"/>
      <c r="I163" s="235"/>
      <c r="J163" s="235"/>
      <c r="K163" s="66"/>
    </row>
    <row r="164" ht="12.75" customHeight="1">
      <c r="A164" s="238"/>
      <c r="B164" s="235"/>
      <c r="C164" s="235"/>
      <c r="D164" s="236"/>
      <c r="E164" s="235"/>
      <c r="F164" s="235"/>
      <c r="G164" s="237"/>
      <c r="H164" s="235"/>
      <c r="I164" s="235"/>
      <c r="J164" s="235"/>
      <c r="K164" s="66"/>
    </row>
    <row r="165" ht="12.75" customHeight="1">
      <c r="A165" s="238"/>
      <c r="B165" s="235"/>
      <c r="C165" s="235"/>
      <c r="D165" s="236"/>
      <c r="E165" s="235"/>
      <c r="F165" s="235"/>
      <c r="G165" s="237"/>
      <c r="H165" s="235"/>
      <c r="I165" s="235"/>
      <c r="J165" s="235"/>
      <c r="K165" s="66"/>
    </row>
    <row r="166" ht="12.75" customHeight="1">
      <c r="A166" s="238"/>
      <c r="B166" s="235"/>
      <c r="C166" s="235"/>
      <c r="D166" s="236"/>
      <c r="E166" s="235"/>
      <c r="F166" s="235"/>
      <c r="G166" s="237"/>
      <c r="H166" s="235"/>
      <c r="I166" s="235"/>
      <c r="J166" s="235"/>
      <c r="K166" s="66"/>
    </row>
    <row r="167" ht="12.75" customHeight="1">
      <c r="A167" s="238"/>
      <c r="B167" s="235"/>
      <c r="C167" s="235"/>
      <c r="D167" s="236"/>
      <c r="E167" s="235"/>
      <c r="F167" s="235"/>
      <c r="G167" s="237"/>
      <c r="H167" s="235"/>
      <c r="I167" s="235"/>
      <c r="J167" s="235"/>
      <c r="K167" s="66"/>
    </row>
    <row r="168" ht="12.75" customHeight="1">
      <c r="A168" s="238"/>
      <c r="B168" s="235"/>
      <c r="C168" s="235"/>
      <c r="D168" s="236"/>
      <c r="E168" s="235"/>
      <c r="F168" s="235"/>
      <c r="G168" s="237"/>
      <c r="H168" s="235"/>
      <c r="I168" s="235"/>
      <c r="J168" s="235"/>
      <c r="K168" s="66"/>
    </row>
    <row r="169" ht="12.75" customHeight="1">
      <c r="A169" s="238"/>
      <c r="B169" s="235"/>
      <c r="C169" s="235"/>
      <c r="D169" s="236"/>
      <c r="E169" s="235"/>
      <c r="F169" s="235"/>
      <c r="G169" s="237"/>
      <c r="H169" s="235"/>
      <c r="I169" s="235"/>
      <c r="J169" s="235"/>
      <c r="K169" s="66"/>
    </row>
    <row r="170" ht="12.75" customHeight="1">
      <c r="A170" s="238"/>
      <c r="B170" s="235"/>
      <c r="C170" s="235"/>
      <c r="D170" s="236"/>
      <c r="E170" s="235"/>
      <c r="F170" s="235"/>
      <c r="G170" s="237"/>
      <c r="H170" s="235"/>
      <c r="I170" s="235"/>
      <c r="J170" s="235"/>
      <c r="K170" s="66"/>
    </row>
    <row r="171" ht="12.75" customHeight="1">
      <c r="A171" s="238"/>
      <c r="B171" s="235"/>
      <c r="C171" s="235"/>
      <c r="D171" s="236"/>
      <c r="E171" s="235"/>
      <c r="F171" s="235"/>
      <c r="G171" s="237"/>
      <c r="H171" s="235"/>
      <c r="I171" s="235"/>
      <c r="J171" s="235"/>
      <c r="K171" s="66"/>
    </row>
    <row r="172" ht="12.75" customHeight="1">
      <c r="A172" s="238"/>
      <c r="B172" s="235"/>
      <c r="C172" s="235"/>
      <c r="D172" s="236"/>
      <c r="E172" s="235"/>
      <c r="F172" s="235"/>
      <c r="G172" s="237"/>
      <c r="H172" s="235"/>
      <c r="I172" s="235"/>
      <c r="J172" s="235"/>
      <c r="K172" s="66"/>
    </row>
    <row r="173" ht="12.75" customHeight="1">
      <c r="A173" s="238"/>
      <c r="B173" s="235"/>
      <c r="C173" s="235"/>
      <c r="D173" s="236"/>
      <c r="E173" s="235"/>
      <c r="F173" s="235"/>
      <c r="G173" s="237"/>
      <c r="H173" s="235"/>
      <c r="I173" s="235"/>
      <c r="J173" s="235"/>
      <c r="K173" s="66"/>
    </row>
    <row r="174" ht="12.75" customHeight="1">
      <c r="A174" s="238"/>
      <c r="B174" s="235"/>
      <c r="C174" s="235"/>
      <c r="D174" s="236"/>
      <c r="E174" s="235"/>
      <c r="F174" s="235"/>
      <c r="G174" s="237"/>
      <c r="H174" s="235"/>
      <c r="I174" s="235"/>
      <c r="J174" s="235"/>
      <c r="K174" s="66"/>
    </row>
    <row r="175" ht="12.75" customHeight="1">
      <c r="A175" s="238"/>
      <c r="B175" s="235"/>
      <c r="C175" s="235"/>
      <c r="D175" s="236"/>
      <c r="E175" s="235"/>
      <c r="F175" s="235"/>
      <c r="G175" s="237"/>
      <c r="H175" s="235"/>
      <c r="I175" s="235"/>
      <c r="J175" s="235"/>
      <c r="K175" s="66"/>
    </row>
    <row r="176" ht="12.75" customHeight="1">
      <c r="A176" s="238"/>
      <c r="B176" s="235"/>
      <c r="C176" s="235"/>
      <c r="D176" s="236"/>
      <c r="E176" s="235"/>
      <c r="F176" s="235"/>
      <c r="G176" s="237"/>
      <c r="H176" s="235"/>
      <c r="I176" s="235"/>
      <c r="J176" s="235"/>
      <c r="K176" s="66"/>
    </row>
    <row r="177" ht="12.75" customHeight="1">
      <c r="A177" s="238"/>
      <c r="B177" s="235"/>
      <c r="C177" s="235"/>
      <c r="D177" s="236"/>
      <c r="E177" s="235"/>
      <c r="F177" s="235"/>
      <c r="G177" s="237"/>
      <c r="H177" s="235"/>
      <c r="I177" s="235"/>
      <c r="J177" s="235"/>
      <c r="K177" s="66"/>
    </row>
    <row r="178" ht="12.75" customHeight="1">
      <c r="A178" s="238"/>
      <c r="B178" s="235"/>
      <c r="C178" s="235"/>
      <c r="D178" s="236"/>
      <c r="E178" s="235"/>
      <c r="F178" s="235"/>
      <c r="G178" s="237"/>
      <c r="H178" s="235"/>
      <c r="I178" s="235"/>
      <c r="J178" s="235"/>
      <c r="K178" s="66"/>
    </row>
    <row r="179" ht="12.75" customHeight="1">
      <c r="A179" s="238"/>
      <c r="B179" s="235"/>
      <c r="C179" s="235"/>
      <c r="D179" s="236"/>
      <c r="E179" s="235"/>
      <c r="F179" s="235"/>
      <c r="G179" s="237"/>
      <c r="H179" s="235"/>
      <c r="I179" s="235"/>
      <c r="J179" s="235"/>
      <c r="K179" s="66"/>
    </row>
    <row r="180" ht="12.75" customHeight="1">
      <c r="A180" s="238"/>
      <c r="B180" s="235"/>
      <c r="C180" s="235"/>
      <c r="D180" s="236"/>
      <c r="E180" s="235"/>
      <c r="F180" s="235"/>
      <c r="G180" s="237"/>
      <c r="H180" s="235"/>
      <c r="I180" s="235"/>
      <c r="J180" s="235"/>
      <c r="K180" s="66"/>
    </row>
    <row r="181" ht="12.75" customHeight="1">
      <c r="A181" s="238"/>
      <c r="B181" s="235"/>
      <c r="C181" s="235"/>
      <c r="D181" s="236"/>
      <c r="E181" s="235"/>
      <c r="F181" s="235"/>
      <c r="G181" s="237"/>
      <c r="H181" s="235"/>
      <c r="I181" s="235"/>
      <c r="J181" s="235"/>
      <c r="K181" s="66"/>
    </row>
    <row r="182" ht="12.75" customHeight="1">
      <c r="A182" s="238"/>
      <c r="B182" s="235"/>
      <c r="C182" s="235"/>
      <c r="D182" s="236"/>
      <c r="E182" s="235"/>
      <c r="F182" s="235"/>
      <c r="G182" s="237"/>
      <c r="H182" s="235"/>
      <c r="I182" s="235"/>
      <c r="J182" s="235"/>
      <c r="K182" s="66"/>
    </row>
    <row r="183" ht="12.75" customHeight="1">
      <c r="A183" s="238"/>
      <c r="B183" s="235"/>
      <c r="C183" s="235"/>
      <c r="D183" s="236"/>
      <c r="E183" s="235"/>
      <c r="F183" s="235"/>
      <c r="G183" s="237"/>
      <c r="H183" s="235"/>
      <c r="I183" s="235"/>
      <c r="J183" s="235"/>
      <c r="K183" s="66"/>
    </row>
    <row r="184" ht="12.75" customHeight="1">
      <c r="A184" s="238"/>
      <c r="B184" s="235"/>
      <c r="C184" s="235"/>
      <c r="D184" s="236"/>
      <c r="E184" s="235"/>
      <c r="F184" s="235"/>
      <c r="G184" s="237"/>
      <c r="H184" s="235"/>
      <c r="I184" s="235"/>
      <c r="J184" s="235"/>
      <c r="K184" s="66"/>
    </row>
    <row r="185" ht="12.75" customHeight="1">
      <c r="A185" s="238"/>
      <c r="B185" s="235"/>
      <c r="C185" s="235"/>
      <c r="D185" s="236"/>
      <c r="E185" s="235"/>
      <c r="F185" s="235"/>
      <c r="G185" s="237"/>
      <c r="H185" s="235"/>
      <c r="I185" s="235"/>
      <c r="J185" s="235"/>
      <c r="K185" s="66"/>
    </row>
    <row r="186" ht="12.75" customHeight="1">
      <c r="A186" s="238"/>
      <c r="B186" s="235"/>
      <c r="C186" s="235"/>
      <c r="D186" s="236"/>
      <c r="E186" s="235"/>
      <c r="F186" s="235"/>
      <c r="G186" s="237"/>
      <c r="H186" s="235"/>
      <c r="I186" s="235"/>
      <c r="J186" s="235"/>
      <c r="K186" s="66"/>
    </row>
    <row r="187" ht="12.75" customHeight="1">
      <c r="A187" s="238"/>
      <c r="B187" s="235"/>
      <c r="C187" s="235"/>
      <c r="D187" s="236"/>
      <c r="E187" s="235"/>
      <c r="F187" s="235"/>
      <c r="G187" s="237"/>
      <c r="H187" s="235"/>
      <c r="I187" s="235"/>
      <c r="J187" s="235"/>
      <c r="K187" s="66"/>
    </row>
    <row r="188" ht="12.75" customHeight="1">
      <c r="A188" s="238"/>
      <c r="B188" s="235"/>
      <c r="C188" s="235"/>
      <c r="D188" s="236"/>
      <c r="E188" s="235"/>
      <c r="F188" s="235"/>
      <c r="G188" s="237"/>
      <c r="H188" s="235"/>
      <c r="I188" s="235"/>
      <c r="J188" s="235"/>
      <c r="K188" s="66"/>
    </row>
    <row r="189" ht="12.75" customHeight="1">
      <c r="A189" s="238"/>
      <c r="B189" s="235"/>
      <c r="C189" s="235"/>
      <c r="D189" s="236"/>
      <c r="E189" s="235"/>
      <c r="F189" s="235"/>
      <c r="G189" s="237"/>
      <c r="H189" s="235"/>
      <c r="I189" s="235"/>
      <c r="J189" s="235"/>
      <c r="K189" s="66"/>
    </row>
    <row r="190" ht="12.75" customHeight="1">
      <c r="A190" s="238"/>
      <c r="B190" s="235"/>
      <c r="C190" s="235"/>
      <c r="D190" s="236"/>
      <c r="E190" s="235"/>
      <c r="F190" s="235"/>
      <c r="G190" s="237"/>
      <c r="H190" s="235"/>
      <c r="I190" s="235"/>
      <c r="J190" s="235"/>
      <c r="K190" s="66"/>
    </row>
    <row r="191" ht="12.75" customHeight="1">
      <c r="A191" s="238"/>
      <c r="B191" s="235"/>
      <c r="C191" s="235"/>
      <c r="D191" s="236"/>
      <c r="E191" s="235"/>
      <c r="F191" s="235"/>
      <c r="G191" s="237"/>
      <c r="H191" s="235"/>
      <c r="I191" s="235"/>
      <c r="J191" s="235"/>
      <c r="K191" s="66"/>
    </row>
    <row r="192" ht="12.75" customHeight="1">
      <c r="A192" s="238"/>
      <c r="B192" s="235"/>
      <c r="C192" s="235"/>
      <c r="D192" s="236"/>
      <c r="E192" s="235"/>
      <c r="F192" s="235"/>
      <c r="G192" s="237"/>
      <c r="H192" s="235"/>
      <c r="I192" s="235"/>
      <c r="J192" s="235"/>
      <c r="K192" s="66"/>
    </row>
    <row r="193" ht="12.75" customHeight="1">
      <c r="A193" s="238"/>
      <c r="B193" s="235"/>
      <c r="C193" s="235"/>
      <c r="D193" s="236"/>
      <c r="E193" s="235"/>
      <c r="F193" s="235"/>
      <c r="G193" s="237"/>
      <c r="H193" s="235"/>
      <c r="I193" s="235"/>
      <c r="J193" s="235"/>
      <c r="K193" s="66"/>
    </row>
    <row r="194" ht="12.75" customHeight="1">
      <c r="A194" s="238"/>
      <c r="B194" s="235"/>
      <c r="C194" s="235"/>
      <c r="D194" s="236"/>
      <c r="E194" s="235"/>
      <c r="F194" s="235"/>
      <c r="G194" s="237"/>
      <c r="H194" s="235"/>
      <c r="I194" s="235"/>
      <c r="J194" s="235"/>
      <c r="K194" s="66"/>
    </row>
    <row r="195" ht="12.75" customHeight="1">
      <c r="A195" s="238"/>
      <c r="B195" s="235"/>
      <c r="C195" s="235"/>
      <c r="D195" s="236"/>
      <c r="E195" s="235"/>
      <c r="F195" s="235"/>
      <c r="G195" s="237"/>
      <c r="H195" s="235"/>
      <c r="I195" s="235"/>
      <c r="J195" s="235"/>
      <c r="K195" s="66"/>
    </row>
    <row r="196" ht="12.75" customHeight="1">
      <c r="A196" s="238"/>
      <c r="B196" s="235"/>
      <c r="C196" s="235"/>
      <c r="D196" s="236"/>
      <c r="E196" s="235"/>
      <c r="F196" s="235"/>
      <c r="G196" s="237"/>
      <c r="H196" s="235"/>
      <c r="I196" s="235"/>
      <c r="J196" s="235"/>
      <c r="K196" s="66"/>
    </row>
    <row r="197" ht="12.75" customHeight="1">
      <c r="A197" s="238"/>
      <c r="B197" s="235"/>
      <c r="C197" s="235"/>
      <c r="D197" s="236"/>
      <c r="E197" s="235"/>
      <c r="F197" s="235"/>
      <c r="G197" s="237"/>
      <c r="H197" s="235"/>
      <c r="I197" s="235"/>
      <c r="J197" s="235"/>
      <c r="K197" s="66"/>
    </row>
    <row r="198" ht="12.75" customHeight="1">
      <c r="A198" s="238"/>
      <c r="B198" s="235"/>
      <c r="C198" s="235"/>
      <c r="D198" s="236"/>
      <c r="E198" s="235"/>
      <c r="F198" s="235"/>
      <c r="G198" s="237"/>
      <c r="H198" s="235"/>
      <c r="I198" s="235"/>
      <c r="J198" s="235"/>
      <c r="K198" s="66"/>
    </row>
    <row r="199" ht="12.75" customHeight="1">
      <c r="A199" s="238"/>
      <c r="B199" s="235"/>
      <c r="C199" s="235"/>
      <c r="D199" s="236"/>
      <c r="E199" s="235"/>
      <c r="F199" s="235"/>
      <c r="G199" s="237"/>
      <c r="H199" s="235"/>
      <c r="I199" s="235"/>
      <c r="J199" s="235"/>
      <c r="K199" s="66"/>
    </row>
    <row r="200" ht="12.75" customHeight="1">
      <c r="A200" s="238"/>
      <c r="B200" s="235"/>
      <c r="C200" s="235"/>
      <c r="D200" s="236"/>
      <c r="E200" s="235"/>
      <c r="F200" s="235"/>
      <c r="G200" s="237"/>
      <c r="H200" s="235"/>
      <c r="I200" s="235"/>
      <c r="J200" s="235"/>
      <c r="K200" s="66"/>
    </row>
    <row r="201" ht="12.75" customHeight="1">
      <c r="A201" s="238"/>
      <c r="B201" s="235"/>
      <c r="C201" s="235"/>
      <c r="D201" s="236"/>
      <c r="E201" s="235"/>
      <c r="F201" s="235"/>
      <c r="G201" s="237"/>
      <c r="H201" s="235"/>
      <c r="I201" s="235"/>
      <c r="J201" s="235"/>
      <c r="K201" s="66"/>
    </row>
    <row r="202" ht="12.75" customHeight="1">
      <c r="A202" s="238"/>
      <c r="B202" s="235"/>
      <c r="C202" s="235"/>
      <c r="D202" s="236"/>
      <c r="E202" s="235"/>
      <c r="F202" s="235"/>
      <c r="G202" s="237"/>
      <c r="H202" s="235"/>
      <c r="I202" s="235"/>
      <c r="J202" s="235"/>
      <c r="K202" s="66"/>
    </row>
    <row r="203" ht="12.75" customHeight="1">
      <c r="A203" s="238"/>
      <c r="B203" s="235"/>
      <c r="C203" s="235"/>
      <c r="D203" s="236"/>
      <c r="E203" s="235"/>
      <c r="F203" s="235"/>
      <c r="G203" s="237"/>
      <c r="H203" s="235"/>
      <c r="I203" s="235"/>
      <c r="J203" s="235"/>
      <c r="K203" s="66"/>
    </row>
    <row r="204" ht="12.75" customHeight="1">
      <c r="A204" s="238"/>
      <c r="B204" s="235"/>
      <c r="C204" s="235"/>
      <c r="D204" s="236"/>
      <c r="E204" s="235"/>
      <c r="F204" s="235"/>
      <c r="G204" s="237"/>
      <c r="H204" s="235"/>
      <c r="I204" s="235"/>
      <c r="J204" s="235"/>
      <c r="K204" s="66"/>
    </row>
    <row r="205" ht="12.75" customHeight="1">
      <c r="A205" s="238"/>
      <c r="B205" s="235"/>
      <c r="C205" s="235"/>
      <c r="D205" s="236"/>
      <c r="E205" s="235"/>
      <c r="F205" s="235"/>
      <c r="G205" s="237"/>
      <c r="H205" s="235"/>
      <c r="I205" s="235"/>
      <c r="J205" s="235"/>
      <c r="K205" s="66"/>
    </row>
    <row r="206" ht="12.75" customHeight="1">
      <c r="A206" s="238"/>
      <c r="B206" s="235"/>
      <c r="C206" s="235"/>
      <c r="D206" s="236"/>
      <c r="E206" s="235"/>
      <c r="F206" s="235"/>
      <c r="G206" s="237"/>
      <c r="H206" s="235"/>
      <c r="I206" s="235"/>
      <c r="J206" s="235"/>
      <c r="K206" s="66"/>
    </row>
    <row r="207" ht="12.75" customHeight="1">
      <c r="A207" s="238"/>
      <c r="B207" s="235"/>
      <c r="C207" s="235"/>
      <c r="D207" s="236"/>
      <c r="E207" s="235"/>
      <c r="F207" s="235"/>
      <c r="G207" s="237"/>
      <c r="H207" s="235"/>
      <c r="I207" s="235"/>
      <c r="J207" s="235"/>
      <c r="K207" s="66"/>
    </row>
    <row r="208" ht="12.75" customHeight="1">
      <c r="A208" s="238"/>
      <c r="B208" s="235"/>
      <c r="C208" s="235"/>
      <c r="D208" s="236"/>
      <c r="E208" s="235"/>
      <c r="F208" s="235"/>
      <c r="G208" s="237"/>
      <c r="H208" s="235"/>
      <c r="I208" s="235"/>
      <c r="J208" s="235"/>
      <c r="K208" s="66"/>
    </row>
    <row r="209" ht="12.75" customHeight="1">
      <c r="A209" s="238"/>
      <c r="B209" s="235"/>
      <c r="C209" s="235"/>
      <c r="D209" s="236"/>
      <c r="E209" s="235"/>
      <c r="F209" s="235"/>
      <c r="G209" s="237"/>
      <c r="H209" s="235"/>
      <c r="I209" s="235"/>
      <c r="J209" s="235"/>
      <c r="K209" s="66"/>
    </row>
    <row r="210" ht="12.75" customHeight="1">
      <c r="A210" s="238"/>
      <c r="B210" s="235"/>
      <c r="C210" s="235"/>
      <c r="D210" s="236"/>
      <c r="E210" s="235"/>
      <c r="F210" s="235"/>
      <c r="G210" s="237"/>
      <c r="H210" s="235"/>
      <c r="I210" s="235"/>
      <c r="J210" s="235"/>
      <c r="K210" s="66"/>
    </row>
    <row r="211" ht="12.75" customHeight="1">
      <c r="A211" s="238"/>
      <c r="B211" s="235"/>
      <c r="C211" s="235"/>
      <c r="D211" s="236"/>
      <c r="E211" s="235"/>
      <c r="F211" s="235"/>
      <c r="G211" s="237"/>
      <c r="H211" s="235"/>
      <c r="I211" s="235"/>
      <c r="J211" s="235"/>
      <c r="K211" s="66"/>
    </row>
    <row r="212" ht="12.75" customHeight="1">
      <c r="A212" s="238"/>
      <c r="B212" s="235"/>
      <c r="C212" s="235"/>
      <c r="D212" s="236"/>
      <c r="E212" s="235"/>
      <c r="F212" s="235"/>
      <c r="G212" s="237"/>
      <c r="H212" s="235"/>
      <c r="I212" s="235"/>
      <c r="J212" s="235"/>
      <c r="K212" s="66"/>
    </row>
    <row r="213" ht="12.75" customHeight="1">
      <c r="A213" s="238"/>
      <c r="B213" s="235"/>
      <c r="C213" s="235"/>
      <c r="D213" s="236"/>
      <c r="E213" s="235"/>
      <c r="F213" s="235"/>
      <c r="G213" s="237"/>
      <c r="H213" s="235"/>
      <c r="I213" s="235"/>
      <c r="J213" s="235"/>
      <c r="K213" s="66"/>
    </row>
    <row r="214" ht="12.75" customHeight="1">
      <c r="A214" s="238"/>
      <c r="B214" s="235"/>
      <c r="C214" s="235"/>
      <c r="D214" s="236"/>
      <c r="E214" s="235"/>
      <c r="F214" s="235"/>
      <c r="G214" s="237"/>
      <c r="H214" s="235"/>
      <c r="I214" s="235"/>
      <c r="J214" s="235"/>
      <c r="K214" s="66"/>
    </row>
    <row r="215" ht="12.75" customHeight="1">
      <c r="A215" s="238"/>
      <c r="B215" s="235"/>
      <c r="C215" s="235"/>
      <c r="D215" s="236"/>
      <c r="E215" s="235"/>
      <c r="F215" s="235"/>
      <c r="G215" s="237"/>
      <c r="H215" s="235"/>
      <c r="I215" s="235"/>
      <c r="J215" s="235"/>
      <c r="K215" s="66"/>
    </row>
    <row r="216" ht="12.75" customHeight="1">
      <c r="A216" s="238"/>
      <c r="B216" s="235"/>
      <c r="C216" s="235"/>
      <c r="D216" s="236"/>
      <c r="E216" s="235"/>
      <c r="F216" s="235"/>
      <c r="G216" s="237"/>
      <c r="H216" s="235"/>
      <c r="I216" s="235"/>
      <c r="J216" s="235"/>
      <c r="K216" s="66"/>
    </row>
    <row r="217" ht="12.75" customHeight="1">
      <c r="A217" s="238"/>
      <c r="B217" s="235"/>
      <c r="C217" s="235"/>
      <c r="D217" s="236"/>
      <c r="E217" s="235"/>
      <c r="F217" s="235"/>
      <c r="G217" s="237"/>
      <c r="H217" s="235"/>
      <c r="I217" s="235"/>
      <c r="J217" s="235"/>
      <c r="K217" s="66"/>
    </row>
    <row r="218" ht="12.75" customHeight="1">
      <c r="A218" s="238"/>
      <c r="B218" s="235"/>
      <c r="C218" s="235"/>
      <c r="D218" s="236"/>
      <c r="E218" s="235"/>
      <c r="F218" s="235"/>
      <c r="G218" s="237"/>
      <c r="H218" s="235"/>
      <c r="I218" s="235"/>
      <c r="J218" s="235"/>
      <c r="K218" s="66"/>
    </row>
    <row r="219" ht="12.75" customHeight="1">
      <c r="A219" s="238"/>
      <c r="B219" s="235"/>
      <c r="C219" s="235"/>
      <c r="D219" s="236"/>
      <c r="E219" s="235"/>
      <c r="F219" s="235"/>
      <c r="G219" s="237"/>
      <c r="H219" s="235"/>
      <c r="I219" s="235"/>
      <c r="J219" s="235"/>
      <c r="K219" s="66"/>
    </row>
    <row r="220" ht="12.75" customHeight="1">
      <c r="A220" s="238"/>
      <c r="B220" s="235"/>
      <c r="C220" s="235"/>
      <c r="D220" s="236"/>
      <c r="E220" s="235"/>
      <c r="F220" s="235"/>
      <c r="G220" s="237"/>
      <c r="H220" s="235"/>
      <c r="I220" s="235"/>
      <c r="J220" s="235"/>
      <c r="K220" s="66"/>
    </row>
    <row r="221" ht="12.75" customHeight="1">
      <c r="A221" s="238"/>
      <c r="B221" s="235"/>
      <c r="C221" s="235"/>
      <c r="D221" s="236"/>
      <c r="E221" s="235"/>
      <c r="F221" s="235"/>
      <c r="G221" s="237"/>
      <c r="H221" s="235"/>
      <c r="I221" s="235"/>
      <c r="J221" s="235"/>
      <c r="K221" s="66"/>
    </row>
    <row r="222" ht="12.75" customHeight="1">
      <c r="A222" s="238"/>
      <c r="B222" s="235"/>
      <c r="C222" s="235"/>
      <c r="D222" s="236"/>
      <c r="E222" s="235"/>
      <c r="F222" s="235"/>
      <c r="G222" s="237"/>
      <c r="H222" s="235"/>
      <c r="I222" s="235"/>
      <c r="J222" s="235"/>
      <c r="K222" s="66"/>
    </row>
    <row r="223" ht="12.75" customHeight="1">
      <c r="A223" s="238"/>
      <c r="B223" s="235"/>
      <c r="C223" s="235"/>
      <c r="D223" s="236"/>
      <c r="E223" s="235"/>
      <c r="F223" s="235"/>
      <c r="G223" s="237"/>
      <c r="H223" s="235"/>
      <c r="I223" s="235"/>
      <c r="J223" s="235"/>
      <c r="K223" s="66"/>
    </row>
    <row r="224" ht="12.75" customHeight="1">
      <c r="A224" s="238"/>
      <c r="B224" s="235"/>
      <c r="C224" s="235"/>
      <c r="D224" s="236"/>
      <c r="E224" s="235"/>
      <c r="F224" s="235"/>
      <c r="G224" s="237"/>
      <c r="H224" s="235"/>
      <c r="I224" s="235"/>
      <c r="J224" s="235"/>
      <c r="K224" s="66"/>
    </row>
    <row r="225" ht="12.75" customHeight="1">
      <c r="A225" s="238"/>
      <c r="B225" s="235"/>
      <c r="C225" s="235"/>
      <c r="D225" s="236"/>
      <c r="E225" s="235"/>
      <c r="F225" s="235"/>
      <c r="G225" s="237"/>
      <c r="H225" s="235"/>
      <c r="I225" s="235"/>
      <c r="J225" s="235"/>
      <c r="K225" s="66"/>
    </row>
    <row r="226" ht="12.75" customHeight="1">
      <c r="A226" s="238"/>
      <c r="B226" s="235"/>
      <c r="C226" s="235"/>
      <c r="D226" s="236"/>
      <c r="E226" s="235"/>
      <c r="F226" s="235"/>
      <c r="G226" s="237"/>
      <c r="H226" s="235"/>
      <c r="I226" s="235"/>
      <c r="J226" s="235"/>
      <c r="K226" s="66"/>
    </row>
    <row r="227" ht="12.75" customHeight="1">
      <c r="A227" s="238"/>
      <c r="B227" s="235"/>
      <c r="C227" s="235"/>
      <c r="D227" s="236"/>
      <c r="E227" s="235"/>
      <c r="F227" s="235"/>
      <c r="G227" s="237"/>
      <c r="H227" s="235"/>
      <c r="I227" s="235"/>
      <c r="J227" s="235"/>
      <c r="K227" s="66"/>
    </row>
    <row r="228" ht="12.75" customHeight="1">
      <c r="A228" s="238"/>
      <c r="B228" s="235"/>
      <c r="C228" s="235"/>
      <c r="D228" s="236"/>
      <c r="E228" s="235"/>
      <c r="F228" s="235"/>
      <c r="G228" s="237"/>
      <c r="H228" s="235"/>
      <c r="I228" s="235"/>
      <c r="J228" s="235"/>
      <c r="K228" s="66"/>
    </row>
    <row r="229" ht="12.75" customHeight="1">
      <c r="A229" s="238"/>
      <c r="B229" s="235"/>
      <c r="C229" s="235"/>
      <c r="D229" s="236"/>
      <c r="E229" s="235"/>
      <c r="F229" s="235"/>
      <c r="G229" s="237"/>
      <c r="H229" s="235"/>
      <c r="I229" s="235"/>
      <c r="J229" s="235"/>
      <c r="K229" s="66"/>
    </row>
    <row r="230" ht="12.75" customHeight="1">
      <c r="A230" s="238"/>
      <c r="B230" s="235"/>
      <c r="C230" s="235"/>
      <c r="D230" s="236"/>
      <c r="E230" s="235"/>
      <c r="F230" s="235"/>
      <c r="G230" s="237"/>
      <c r="H230" s="235"/>
      <c r="I230" s="235"/>
      <c r="J230" s="235"/>
      <c r="K230" s="66"/>
    </row>
    <row r="231" ht="12.75" customHeight="1">
      <c r="A231" s="238"/>
      <c r="B231" s="235"/>
      <c r="C231" s="235"/>
      <c r="D231" s="236"/>
      <c r="E231" s="235"/>
      <c r="F231" s="235"/>
      <c r="G231" s="237"/>
      <c r="H231" s="235"/>
      <c r="I231" s="235"/>
      <c r="J231" s="235"/>
      <c r="K231" s="66"/>
    </row>
    <row r="232" ht="12.75" customHeight="1">
      <c r="A232" s="238"/>
      <c r="B232" s="235"/>
      <c r="C232" s="235"/>
      <c r="D232" s="236"/>
      <c r="E232" s="235"/>
      <c r="F232" s="235"/>
      <c r="G232" s="237"/>
      <c r="H232" s="235"/>
      <c r="I232" s="235"/>
      <c r="J232" s="235"/>
      <c r="K232" s="66"/>
    </row>
    <row r="233" ht="12.75" customHeight="1">
      <c r="A233" s="238"/>
      <c r="B233" s="235"/>
      <c r="C233" s="235"/>
      <c r="D233" s="236"/>
      <c r="E233" s="235"/>
      <c r="F233" s="235"/>
      <c r="G233" s="237"/>
      <c r="H233" s="235"/>
      <c r="I233" s="235"/>
      <c r="J233" s="235"/>
      <c r="K233" s="66"/>
    </row>
    <row r="234" ht="12.75" customHeight="1">
      <c r="A234" s="238"/>
      <c r="B234" s="235"/>
      <c r="C234" s="235"/>
      <c r="D234" s="236"/>
      <c r="E234" s="235"/>
      <c r="F234" s="235"/>
      <c r="G234" s="237"/>
      <c r="H234" s="235"/>
      <c r="I234" s="235"/>
      <c r="J234" s="235"/>
      <c r="K234" s="66"/>
    </row>
    <row r="235" ht="12.75" customHeight="1">
      <c r="A235" s="238"/>
      <c r="B235" s="235"/>
      <c r="C235" s="235"/>
      <c r="D235" s="236"/>
      <c r="E235" s="235"/>
      <c r="F235" s="235"/>
      <c r="G235" s="237"/>
      <c r="H235" s="235"/>
      <c r="I235" s="235"/>
      <c r="J235" s="235"/>
      <c r="K235" s="66"/>
    </row>
    <row r="236" ht="12.75" customHeight="1">
      <c r="A236" s="238"/>
      <c r="B236" s="235"/>
      <c r="C236" s="235"/>
      <c r="D236" s="236"/>
      <c r="E236" s="235"/>
      <c r="F236" s="235"/>
      <c r="G236" s="237"/>
      <c r="H236" s="235"/>
      <c r="I236" s="235"/>
      <c r="J236" s="235"/>
      <c r="K236" s="66"/>
    </row>
    <row r="237" ht="12.75" customHeight="1">
      <c r="A237" s="238"/>
      <c r="B237" s="235"/>
      <c r="C237" s="235"/>
      <c r="D237" s="236"/>
      <c r="E237" s="235"/>
      <c r="F237" s="235"/>
      <c r="G237" s="237"/>
      <c r="H237" s="235"/>
      <c r="I237" s="235"/>
      <c r="J237" s="235"/>
      <c r="K237" s="66"/>
    </row>
    <row r="238" ht="12.75" customHeight="1">
      <c r="A238" s="238"/>
      <c r="B238" s="235"/>
      <c r="C238" s="235"/>
      <c r="D238" s="236"/>
      <c r="E238" s="235"/>
      <c r="F238" s="235"/>
      <c r="G238" s="237"/>
      <c r="H238" s="235"/>
      <c r="I238" s="235"/>
      <c r="J238" s="235"/>
      <c r="K238" s="66"/>
    </row>
    <row r="239" ht="12.75" customHeight="1">
      <c r="A239" s="238"/>
      <c r="B239" s="235"/>
      <c r="C239" s="235"/>
      <c r="D239" s="236"/>
      <c r="E239" s="235"/>
      <c r="F239" s="235"/>
      <c r="G239" s="237"/>
      <c r="H239" s="235"/>
      <c r="I239" s="235"/>
      <c r="J239" s="235"/>
      <c r="K239" s="66"/>
    </row>
    <row r="240" ht="12.75" customHeight="1">
      <c r="A240" s="238"/>
      <c r="B240" s="235"/>
      <c r="C240" s="235"/>
      <c r="D240" s="236"/>
      <c r="E240" s="235"/>
      <c r="F240" s="235"/>
      <c r="G240" s="237"/>
      <c r="H240" s="235"/>
      <c r="I240" s="235"/>
      <c r="J240" s="235"/>
      <c r="K240" s="66"/>
    </row>
    <row r="241" ht="12.75" customHeight="1">
      <c r="A241" s="238"/>
      <c r="B241" s="235"/>
      <c r="C241" s="235"/>
      <c r="D241" s="236"/>
      <c r="E241" s="235"/>
      <c r="F241" s="235"/>
      <c r="G241" s="237"/>
      <c r="H241" s="235"/>
      <c r="I241" s="235"/>
      <c r="J241" s="235"/>
      <c r="K241" s="66"/>
    </row>
    <row r="242" ht="12.75" customHeight="1">
      <c r="A242" s="238"/>
      <c r="B242" s="235"/>
      <c r="C242" s="235"/>
      <c r="D242" s="236"/>
      <c r="E242" s="235"/>
      <c r="F242" s="235"/>
      <c r="G242" s="237"/>
      <c r="H242" s="235"/>
      <c r="I242" s="235"/>
      <c r="J242" s="235"/>
      <c r="K242" s="66"/>
    </row>
    <row r="243" ht="12.75" customHeight="1">
      <c r="A243" s="238"/>
      <c r="B243" s="235"/>
      <c r="C243" s="235"/>
      <c r="D243" s="236"/>
      <c r="E243" s="235"/>
      <c r="F243" s="235"/>
      <c r="G243" s="237"/>
      <c r="H243" s="235"/>
      <c r="I243" s="235"/>
      <c r="J243" s="235"/>
      <c r="K243" s="66"/>
    </row>
    <row r="244" ht="12.75" customHeight="1">
      <c r="A244" s="238"/>
      <c r="B244" s="235"/>
      <c r="C244" s="235"/>
      <c r="D244" s="236"/>
      <c r="E244" s="235"/>
      <c r="F244" s="235"/>
      <c r="G244" s="237"/>
      <c r="H244" s="235"/>
      <c r="I244" s="235"/>
      <c r="J244" s="235"/>
      <c r="K244" s="66"/>
    </row>
    <row r="245" ht="12.75" customHeight="1">
      <c r="A245" s="238"/>
      <c r="B245" s="235"/>
      <c r="C245" s="235"/>
      <c r="D245" s="236"/>
      <c r="E245" s="235"/>
      <c r="F245" s="235"/>
      <c r="G245" s="237"/>
      <c r="H245" s="235"/>
      <c r="I245" s="235"/>
      <c r="J245" s="235"/>
      <c r="K245" s="66"/>
    </row>
    <row r="246" ht="12.75" customHeight="1">
      <c r="A246" s="238"/>
      <c r="B246" s="235"/>
      <c r="C246" s="235"/>
      <c r="D246" s="236"/>
      <c r="E246" s="235"/>
      <c r="F246" s="235"/>
      <c r="G246" s="237"/>
      <c r="H246" s="235"/>
      <c r="I246" s="235"/>
      <c r="J246" s="235"/>
      <c r="K246" s="66"/>
    </row>
    <row r="247" ht="12.75" customHeight="1">
      <c r="A247" s="238"/>
      <c r="B247" s="235"/>
      <c r="C247" s="235"/>
      <c r="D247" s="236"/>
      <c r="E247" s="235"/>
      <c r="F247" s="235"/>
      <c r="G247" s="237"/>
      <c r="H247" s="235"/>
      <c r="I247" s="235"/>
      <c r="J247" s="235"/>
      <c r="K247" s="66"/>
    </row>
    <row r="248" ht="12.75" customHeight="1">
      <c r="A248" s="238"/>
      <c r="B248" s="235"/>
      <c r="C248" s="235"/>
      <c r="D248" s="236"/>
      <c r="E248" s="235"/>
      <c r="F248" s="235"/>
      <c r="G248" s="237"/>
      <c r="H248" s="235"/>
      <c r="I248" s="235"/>
      <c r="J248" s="235"/>
      <c r="K248" s="66"/>
    </row>
    <row r="249" ht="12.75" customHeight="1">
      <c r="A249" s="238"/>
      <c r="B249" s="235"/>
      <c r="C249" s="235"/>
      <c r="D249" s="236"/>
      <c r="E249" s="235"/>
      <c r="F249" s="235"/>
      <c r="G249" s="237"/>
      <c r="H249" s="235"/>
      <c r="I249" s="235"/>
      <c r="J249" s="235"/>
      <c r="K249" s="66"/>
    </row>
    <row r="250" ht="12.75" customHeight="1">
      <c r="A250" s="238"/>
      <c r="B250" s="235"/>
      <c r="C250" s="235"/>
      <c r="D250" s="236"/>
      <c r="E250" s="235"/>
      <c r="F250" s="235"/>
      <c r="G250" s="237"/>
      <c r="H250" s="235"/>
      <c r="I250" s="235"/>
      <c r="J250" s="235"/>
      <c r="K250" s="66"/>
    </row>
    <row r="251" ht="12.75" customHeight="1">
      <c r="A251" s="238"/>
      <c r="B251" s="235"/>
      <c r="C251" s="235"/>
      <c r="D251" s="236"/>
      <c r="E251" s="235"/>
      <c r="F251" s="235"/>
      <c r="G251" s="237"/>
      <c r="H251" s="235"/>
      <c r="I251" s="235"/>
      <c r="J251" s="235"/>
      <c r="K251" s="66"/>
    </row>
    <row r="252" ht="12.75" customHeight="1">
      <c r="A252" s="238"/>
      <c r="B252" s="235"/>
      <c r="C252" s="235"/>
      <c r="D252" s="236"/>
      <c r="E252" s="235"/>
      <c r="F252" s="235"/>
      <c r="G252" s="237"/>
      <c r="H252" s="235"/>
      <c r="I252" s="235"/>
      <c r="J252" s="235"/>
      <c r="K252" s="66"/>
    </row>
    <row r="253" ht="12.75" customHeight="1">
      <c r="A253" s="238"/>
      <c r="B253" s="235"/>
      <c r="C253" s="235"/>
      <c r="D253" s="236"/>
      <c r="E253" s="235"/>
      <c r="F253" s="235"/>
      <c r="G253" s="237"/>
      <c r="H253" s="235"/>
      <c r="I253" s="235"/>
      <c r="J253" s="235"/>
      <c r="K253" s="66"/>
    </row>
    <row r="254" ht="12.75" customHeight="1">
      <c r="A254" s="238"/>
      <c r="B254" s="235"/>
      <c r="C254" s="235"/>
      <c r="D254" s="236"/>
      <c r="E254" s="235"/>
      <c r="F254" s="235"/>
      <c r="G254" s="237"/>
      <c r="H254" s="235"/>
      <c r="I254" s="235"/>
      <c r="J254" s="235"/>
      <c r="K254" s="66"/>
    </row>
    <row r="255" ht="12.75" customHeight="1">
      <c r="A255" s="238"/>
      <c r="B255" s="235"/>
      <c r="C255" s="235"/>
      <c r="D255" s="236"/>
      <c r="E255" s="235"/>
      <c r="F255" s="235"/>
      <c r="G255" s="237"/>
      <c r="H255" s="235"/>
      <c r="I255" s="235"/>
      <c r="J255" s="235"/>
      <c r="K255" s="66"/>
    </row>
    <row r="256" ht="12.75" customHeight="1">
      <c r="A256" s="238"/>
      <c r="B256" s="235"/>
      <c r="C256" s="235"/>
      <c r="D256" s="236"/>
      <c r="E256" s="235"/>
      <c r="F256" s="235"/>
      <c r="G256" s="237"/>
      <c r="H256" s="235"/>
      <c r="I256" s="235"/>
      <c r="J256" s="235"/>
      <c r="K256" s="66"/>
    </row>
    <row r="257" ht="12.75" customHeight="1">
      <c r="A257" s="238"/>
      <c r="B257" s="235"/>
      <c r="C257" s="235"/>
      <c r="D257" s="236"/>
      <c r="E257" s="235"/>
      <c r="F257" s="235"/>
      <c r="G257" s="237"/>
      <c r="H257" s="235"/>
      <c r="I257" s="235"/>
      <c r="J257" s="235"/>
      <c r="K257" s="66"/>
    </row>
    <row r="258" ht="12.75" customHeight="1">
      <c r="A258" s="238"/>
      <c r="B258" s="235"/>
      <c r="C258" s="235"/>
      <c r="D258" s="236"/>
      <c r="E258" s="235"/>
      <c r="F258" s="235"/>
      <c r="G258" s="237"/>
      <c r="H258" s="235"/>
      <c r="I258" s="235"/>
      <c r="J258" s="235"/>
      <c r="K258" s="66"/>
    </row>
    <row r="259" ht="12.75" customHeight="1">
      <c r="A259" s="238"/>
      <c r="B259" s="235"/>
      <c r="C259" s="235"/>
      <c r="D259" s="236"/>
      <c r="E259" s="235"/>
      <c r="F259" s="235"/>
      <c r="G259" s="237"/>
      <c r="H259" s="235"/>
      <c r="I259" s="235"/>
      <c r="J259" s="235"/>
      <c r="K259" s="66"/>
    </row>
    <row r="260" ht="12.75" customHeight="1">
      <c r="A260" s="238"/>
      <c r="B260" s="235"/>
      <c r="C260" s="235"/>
      <c r="D260" s="236"/>
      <c r="E260" s="235"/>
      <c r="F260" s="235"/>
      <c r="G260" s="237"/>
      <c r="H260" s="235"/>
      <c r="I260" s="235"/>
      <c r="J260" s="235"/>
      <c r="K260" s="66"/>
    </row>
    <row r="261" ht="12.75" customHeight="1">
      <c r="A261" s="238"/>
      <c r="B261" s="235"/>
      <c r="C261" s="235"/>
      <c r="D261" s="236"/>
      <c r="E261" s="235"/>
      <c r="F261" s="235"/>
      <c r="G261" s="237"/>
      <c r="H261" s="235"/>
      <c r="I261" s="235"/>
      <c r="J261" s="235"/>
      <c r="K261" s="66"/>
    </row>
    <row r="262" ht="12.75" customHeight="1">
      <c r="A262" s="238"/>
      <c r="B262" s="235"/>
      <c r="C262" s="235"/>
      <c r="D262" s="236"/>
      <c r="E262" s="235"/>
      <c r="F262" s="235"/>
      <c r="G262" s="237"/>
      <c r="H262" s="235"/>
      <c r="I262" s="235"/>
      <c r="J262" s="235"/>
      <c r="K262" s="66"/>
    </row>
    <row r="263" ht="12.75" customHeight="1">
      <c r="A263" s="238"/>
      <c r="B263" s="235"/>
      <c r="C263" s="235"/>
      <c r="D263" s="236"/>
      <c r="E263" s="235"/>
      <c r="F263" s="235"/>
      <c r="G263" s="237"/>
      <c r="H263" s="235"/>
      <c r="I263" s="235"/>
      <c r="J263" s="235"/>
      <c r="K263" s="66"/>
    </row>
    <row r="264" ht="12.75" customHeight="1">
      <c r="A264" s="238"/>
      <c r="B264" s="235"/>
      <c r="C264" s="235"/>
      <c r="D264" s="236"/>
      <c r="E264" s="235"/>
      <c r="F264" s="235"/>
      <c r="G264" s="237"/>
      <c r="H264" s="235"/>
      <c r="I264" s="235"/>
      <c r="J264" s="235"/>
      <c r="K264" s="66"/>
    </row>
    <row r="265" ht="12.75" customHeight="1">
      <c r="A265" s="238"/>
      <c r="B265" s="235"/>
      <c r="C265" s="235"/>
      <c r="D265" s="236"/>
      <c r="E265" s="235"/>
      <c r="F265" s="235"/>
      <c r="G265" s="237"/>
      <c r="H265" s="235"/>
      <c r="I265" s="235"/>
      <c r="J265" s="235"/>
      <c r="K265" s="66"/>
    </row>
    <row r="266" ht="12.75" customHeight="1">
      <c r="A266" s="238"/>
      <c r="B266" s="235"/>
      <c r="C266" s="235"/>
      <c r="D266" s="236"/>
      <c r="E266" s="235"/>
      <c r="F266" s="235"/>
      <c r="G266" s="237"/>
      <c r="H266" s="235"/>
      <c r="I266" s="235"/>
      <c r="J266" s="235"/>
      <c r="K266" s="66"/>
    </row>
    <row r="267" ht="12.75" customHeight="1">
      <c r="A267" s="238"/>
      <c r="B267" s="235"/>
      <c r="C267" s="235"/>
      <c r="D267" s="236"/>
      <c r="E267" s="235"/>
      <c r="F267" s="235"/>
      <c r="G267" s="237"/>
      <c r="H267" s="235"/>
      <c r="I267" s="235"/>
      <c r="J267" s="235"/>
      <c r="K267" s="66"/>
    </row>
    <row r="268" ht="12.75" customHeight="1">
      <c r="A268" s="238"/>
      <c r="B268" s="235"/>
      <c r="C268" s="235"/>
      <c r="D268" s="236"/>
      <c r="E268" s="235"/>
      <c r="F268" s="235"/>
      <c r="G268" s="237"/>
      <c r="H268" s="235"/>
      <c r="I268" s="235"/>
      <c r="J268" s="235"/>
      <c r="K268" s="66"/>
    </row>
    <row r="269" ht="12.75" customHeight="1">
      <c r="A269" s="238"/>
      <c r="B269" s="235"/>
      <c r="C269" s="235"/>
      <c r="D269" s="236"/>
      <c r="E269" s="235"/>
      <c r="F269" s="235"/>
      <c r="G269" s="237"/>
      <c r="H269" s="235"/>
      <c r="I269" s="235"/>
      <c r="J269" s="235"/>
      <c r="K269" s="66"/>
    </row>
    <row r="270" ht="12.75" customHeight="1">
      <c r="A270" s="238"/>
      <c r="B270" s="235"/>
      <c r="C270" s="235"/>
      <c r="D270" s="236"/>
      <c r="E270" s="235"/>
      <c r="F270" s="235"/>
      <c r="G270" s="237"/>
      <c r="H270" s="235"/>
      <c r="I270" s="235"/>
      <c r="J270" s="235"/>
      <c r="K270" s="66"/>
    </row>
    <row r="271" ht="12.75" customHeight="1">
      <c r="A271" s="238"/>
      <c r="B271" s="235"/>
      <c r="C271" s="235"/>
      <c r="D271" s="236"/>
      <c r="E271" s="235"/>
      <c r="F271" s="235"/>
      <c r="G271" s="237"/>
      <c r="H271" s="235"/>
      <c r="I271" s="235"/>
      <c r="J271" s="235"/>
      <c r="K271" s="66"/>
    </row>
    <row r="272" ht="12.75" customHeight="1">
      <c r="A272" s="238"/>
      <c r="B272" s="235"/>
      <c r="C272" s="235"/>
      <c r="D272" s="236"/>
      <c r="E272" s="235"/>
      <c r="F272" s="235"/>
      <c r="G272" s="237"/>
      <c r="H272" s="235"/>
      <c r="I272" s="235"/>
      <c r="J272" s="235"/>
      <c r="K272" s="66"/>
    </row>
    <row r="273" ht="12.75" customHeight="1">
      <c r="A273" s="238"/>
      <c r="B273" s="235"/>
      <c r="C273" s="235"/>
      <c r="D273" s="236"/>
      <c r="E273" s="235"/>
      <c r="F273" s="235"/>
      <c r="G273" s="237"/>
      <c r="H273" s="235"/>
      <c r="I273" s="235"/>
      <c r="J273" s="235"/>
      <c r="K273" s="66"/>
    </row>
    <row r="274" ht="12.75" customHeight="1">
      <c r="A274" s="238"/>
      <c r="B274" s="235"/>
      <c r="C274" s="235"/>
      <c r="D274" s="236"/>
      <c r="E274" s="235"/>
      <c r="F274" s="235"/>
      <c r="G274" s="237"/>
      <c r="H274" s="235"/>
      <c r="I274" s="235"/>
      <c r="J274" s="235"/>
      <c r="K274" s="66"/>
    </row>
    <row r="275" ht="12.75" customHeight="1">
      <c r="A275" s="238"/>
      <c r="B275" s="235"/>
      <c r="C275" s="235"/>
      <c r="D275" s="236"/>
      <c r="E275" s="235"/>
      <c r="F275" s="235"/>
      <c r="G275" s="237"/>
      <c r="H275" s="235"/>
      <c r="I275" s="235"/>
      <c r="J275" s="235"/>
      <c r="K275" s="66"/>
    </row>
    <row r="276" ht="12.75" customHeight="1">
      <c r="A276" s="238"/>
      <c r="B276" s="235"/>
      <c r="C276" s="235"/>
      <c r="D276" s="236"/>
      <c r="E276" s="235"/>
      <c r="F276" s="235"/>
      <c r="G276" s="237"/>
      <c r="H276" s="235"/>
      <c r="I276" s="235"/>
      <c r="J276" s="235"/>
      <c r="K276" s="66"/>
    </row>
    <row r="277" ht="12.75" customHeight="1">
      <c r="A277" s="238"/>
      <c r="B277" s="235"/>
      <c r="C277" s="235"/>
      <c r="D277" s="236"/>
      <c r="E277" s="235"/>
      <c r="F277" s="235"/>
      <c r="G277" s="237"/>
      <c r="H277" s="235"/>
      <c r="I277" s="235"/>
      <c r="J277" s="235"/>
      <c r="K277" s="66"/>
    </row>
    <row r="278" ht="12.75" customHeight="1">
      <c r="A278" s="238"/>
      <c r="B278" s="235"/>
      <c r="C278" s="235"/>
      <c r="D278" s="236"/>
      <c r="E278" s="235"/>
      <c r="F278" s="235"/>
      <c r="G278" s="237"/>
      <c r="H278" s="235"/>
      <c r="I278" s="235"/>
      <c r="J278" s="235"/>
      <c r="K278" s="66"/>
    </row>
    <row r="279" ht="12.75" customHeight="1">
      <c r="A279" s="238"/>
      <c r="B279" s="235"/>
      <c r="C279" s="235"/>
      <c r="D279" s="236"/>
      <c r="E279" s="235"/>
      <c r="F279" s="235"/>
      <c r="G279" s="237"/>
      <c r="H279" s="235"/>
      <c r="I279" s="235"/>
      <c r="J279" s="235"/>
      <c r="K279" s="66"/>
    </row>
    <row r="280" ht="12.75" customHeight="1">
      <c r="A280" s="238"/>
      <c r="B280" s="235"/>
      <c r="C280" s="235"/>
      <c r="D280" s="236"/>
      <c r="E280" s="235"/>
      <c r="F280" s="235"/>
      <c r="G280" s="237"/>
      <c r="H280" s="235"/>
      <c r="I280" s="235"/>
      <c r="J280" s="235"/>
      <c r="K280" s="66"/>
    </row>
    <row r="281" ht="12.75" customHeight="1">
      <c r="A281" s="238"/>
      <c r="B281" s="235"/>
      <c r="C281" s="235"/>
      <c r="D281" s="236"/>
      <c r="E281" s="235"/>
      <c r="F281" s="235"/>
      <c r="G281" s="237"/>
      <c r="H281" s="235"/>
      <c r="I281" s="235"/>
      <c r="J281" s="235"/>
      <c r="K281" s="66"/>
    </row>
    <row r="282" ht="12.75" customHeight="1">
      <c r="A282" s="238"/>
      <c r="B282" s="235"/>
      <c r="C282" s="235"/>
      <c r="D282" s="236"/>
      <c r="E282" s="235"/>
      <c r="F282" s="235"/>
      <c r="G282" s="237"/>
      <c r="H282" s="235"/>
      <c r="I282" s="235"/>
      <c r="J282" s="235"/>
      <c r="K282" s="66"/>
    </row>
    <row r="283" ht="12.75" customHeight="1">
      <c r="A283" s="238"/>
      <c r="B283" s="235"/>
      <c r="C283" s="235"/>
      <c r="D283" s="236"/>
      <c r="E283" s="235"/>
      <c r="F283" s="235"/>
      <c r="G283" s="237"/>
      <c r="H283" s="235"/>
      <c r="I283" s="235"/>
      <c r="J283" s="235"/>
      <c r="K283" s="66"/>
    </row>
    <row r="284" ht="12.75" customHeight="1">
      <c r="A284" s="238"/>
      <c r="B284" s="235"/>
      <c r="C284" s="235"/>
      <c r="D284" s="236"/>
      <c r="E284" s="235"/>
      <c r="F284" s="235"/>
      <c r="G284" s="237"/>
      <c r="H284" s="235"/>
      <c r="I284" s="235"/>
      <c r="J284" s="235"/>
      <c r="K284" s="66"/>
    </row>
    <row r="285" ht="12.75" customHeight="1">
      <c r="A285" s="238"/>
      <c r="B285" s="235"/>
      <c r="C285" s="235"/>
      <c r="D285" s="236"/>
      <c r="E285" s="235"/>
      <c r="F285" s="235"/>
      <c r="G285" s="237"/>
      <c r="H285" s="235"/>
      <c r="I285" s="235"/>
      <c r="J285" s="235"/>
      <c r="K285" s="66"/>
    </row>
    <row r="286" ht="12.75" customHeight="1">
      <c r="A286" s="238"/>
      <c r="B286" s="235"/>
      <c r="C286" s="235"/>
      <c r="D286" s="236"/>
      <c r="E286" s="235"/>
      <c r="F286" s="235"/>
      <c r="G286" s="237"/>
      <c r="H286" s="235"/>
      <c r="I286" s="235"/>
      <c r="J286" s="235"/>
      <c r="K286" s="66"/>
    </row>
    <row r="287" ht="12.75" customHeight="1">
      <c r="A287" s="238"/>
      <c r="B287" s="235"/>
      <c r="C287" s="235"/>
      <c r="D287" s="236"/>
      <c r="E287" s="235"/>
      <c r="F287" s="235"/>
      <c r="G287" s="237"/>
      <c r="H287" s="235"/>
      <c r="I287" s="235"/>
      <c r="J287" s="235"/>
      <c r="K287" s="66"/>
    </row>
    <row r="288" ht="12.75" customHeight="1">
      <c r="A288" s="238"/>
      <c r="B288" s="235"/>
      <c r="C288" s="235"/>
      <c r="D288" s="236"/>
      <c r="E288" s="235"/>
      <c r="F288" s="235"/>
      <c r="G288" s="237"/>
      <c r="H288" s="235"/>
      <c r="I288" s="235"/>
      <c r="J288" s="235"/>
      <c r="K288" s="66"/>
    </row>
    <row r="289" ht="12.75" customHeight="1">
      <c r="A289" s="238"/>
      <c r="B289" s="235"/>
      <c r="C289" s="235"/>
      <c r="D289" s="236"/>
      <c r="E289" s="235"/>
      <c r="F289" s="235"/>
      <c r="G289" s="237"/>
      <c r="H289" s="235"/>
      <c r="I289" s="235"/>
      <c r="J289" s="235"/>
      <c r="K289" s="66"/>
    </row>
    <row r="290" ht="12.75" customHeight="1">
      <c r="A290" s="238"/>
      <c r="B290" s="235"/>
      <c r="C290" s="235"/>
      <c r="D290" s="236"/>
      <c r="E290" s="235"/>
      <c r="F290" s="235"/>
      <c r="G290" s="237"/>
      <c r="H290" s="235"/>
      <c r="I290" s="235"/>
      <c r="J290" s="235"/>
      <c r="K290" s="66"/>
    </row>
    <row r="291" ht="12.75" customHeight="1">
      <c r="A291" s="238"/>
      <c r="B291" s="235"/>
      <c r="C291" s="235"/>
      <c r="D291" s="236"/>
      <c r="E291" s="235"/>
      <c r="F291" s="235"/>
      <c r="G291" s="237"/>
      <c r="H291" s="235"/>
      <c r="I291" s="235"/>
      <c r="J291" s="235"/>
      <c r="K291" s="66"/>
    </row>
    <row r="292" ht="12.75" customHeight="1">
      <c r="A292" s="238"/>
      <c r="B292" s="235"/>
      <c r="C292" s="235"/>
      <c r="D292" s="236"/>
      <c r="E292" s="235"/>
      <c r="F292" s="235"/>
      <c r="G292" s="237"/>
      <c r="H292" s="235"/>
      <c r="I292" s="235"/>
      <c r="J292" s="235"/>
      <c r="K292" s="66"/>
    </row>
    <row r="293" ht="12.75" customHeight="1">
      <c r="A293" s="238"/>
      <c r="B293" s="235"/>
      <c r="C293" s="235"/>
      <c r="D293" s="236"/>
      <c r="E293" s="235"/>
      <c r="F293" s="235"/>
      <c r="G293" s="237"/>
      <c r="H293" s="235"/>
      <c r="I293" s="235"/>
      <c r="J293" s="235"/>
      <c r="K293" s="66"/>
    </row>
    <row r="294" ht="12.75" customHeight="1">
      <c r="A294" s="238"/>
      <c r="B294" s="235"/>
      <c r="C294" s="235"/>
      <c r="D294" s="236"/>
      <c r="E294" s="235"/>
      <c r="F294" s="235"/>
      <c r="G294" s="237"/>
      <c r="H294" s="235"/>
      <c r="I294" s="235"/>
      <c r="J294" s="235"/>
      <c r="K294" s="66"/>
    </row>
    <row r="295" ht="12.75" customHeight="1">
      <c r="A295" s="238"/>
      <c r="B295" s="235"/>
      <c r="C295" s="235"/>
      <c r="D295" s="236"/>
      <c r="E295" s="235"/>
      <c r="F295" s="235"/>
      <c r="G295" s="237"/>
      <c r="H295" s="235"/>
      <c r="I295" s="235"/>
      <c r="J295" s="235"/>
      <c r="K295" s="66"/>
    </row>
    <row r="296" ht="12.75" customHeight="1">
      <c r="A296" s="238"/>
      <c r="B296" s="235"/>
      <c r="C296" s="235"/>
      <c r="D296" s="236"/>
      <c r="E296" s="235"/>
      <c r="F296" s="235"/>
      <c r="G296" s="237"/>
      <c r="H296" s="235"/>
      <c r="I296" s="235"/>
      <c r="J296" s="235"/>
      <c r="K296" s="66"/>
    </row>
    <row r="297" ht="12.75" customHeight="1">
      <c r="A297" s="238"/>
      <c r="B297" s="235"/>
      <c r="C297" s="235"/>
      <c r="D297" s="236"/>
      <c r="E297" s="235"/>
      <c r="F297" s="235"/>
      <c r="G297" s="237"/>
      <c r="H297" s="235"/>
      <c r="I297" s="235"/>
      <c r="J297" s="235"/>
      <c r="K297" s="66"/>
    </row>
    <row r="298" ht="12.75" customHeight="1">
      <c r="A298" s="238"/>
      <c r="B298" s="235"/>
      <c r="C298" s="235"/>
      <c r="D298" s="236"/>
      <c r="E298" s="235"/>
      <c r="F298" s="235"/>
      <c r="G298" s="237"/>
      <c r="H298" s="235"/>
      <c r="I298" s="235"/>
      <c r="J298" s="235"/>
      <c r="K298" s="66"/>
    </row>
    <row r="299" ht="12.75" customHeight="1">
      <c r="A299" s="238"/>
      <c r="B299" s="235"/>
      <c r="C299" s="235"/>
      <c r="D299" s="236"/>
      <c r="E299" s="235"/>
      <c r="F299" s="235"/>
      <c r="G299" s="237"/>
      <c r="H299" s="235"/>
      <c r="I299" s="235"/>
      <c r="J299" s="235"/>
      <c r="K299" s="66"/>
    </row>
    <row r="300" ht="12.75" customHeight="1">
      <c r="A300" s="238"/>
      <c r="B300" s="235"/>
      <c r="C300" s="235"/>
      <c r="D300" s="236"/>
      <c r="E300" s="235"/>
      <c r="F300" s="235"/>
      <c r="G300" s="237"/>
      <c r="H300" s="235"/>
      <c r="I300" s="235"/>
      <c r="J300" s="235"/>
      <c r="K300" s="66"/>
    </row>
    <row r="301" ht="12.75" customHeight="1">
      <c r="A301" s="238"/>
      <c r="B301" s="235"/>
      <c r="C301" s="235"/>
      <c r="D301" s="236"/>
      <c r="E301" s="235"/>
      <c r="F301" s="235"/>
      <c r="G301" s="237"/>
      <c r="H301" s="235"/>
      <c r="I301" s="235"/>
      <c r="J301" s="235"/>
      <c r="K301" s="66"/>
    </row>
    <row r="302" ht="12.75" customHeight="1">
      <c r="A302" s="238"/>
      <c r="B302" s="235"/>
      <c r="C302" s="235"/>
      <c r="D302" s="236"/>
      <c r="E302" s="235"/>
      <c r="F302" s="235"/>
      <c r="G302" s="237"/>
      <c r="H302" s="235"/>
      <c r="I302" s="235"/>
      <c r="J302" s="235"/>
      <c r="K302" s="66"/>
    </row>
    <row r="303" ht="12.75" customHeight="1">
      <c r="A303" s="238"/>
      <c r="B303" s="235"/>
      <c r="C303" s="235"/>
      <c r="D303" s="236"/>
      <c r="E303" s="235"/>
      <c r="F303" s="235"/>
      <c r="G303" s="237"/>
      <c r="H303" s="235"/>
      <c r="I303" s="235"/>
      <c r="J303" s="235"/>
      <c r="K303" s="66"/>
    </row>
    <row r="304" ht="12.75" customHeight="1">
      <c r="A304" s="238"/>
      <c r="B304" s="235"/>
      <c r="C304" s="235"/>
      <c r="D304" s="236"/>
      <c r="E304" s="235"/>
      <c r="F304" s="235"/>
      <c r="G304" s="237"/>
      <c r="H304" s="235"/>
      <c r="I304" s="235"/>
      <c r="J304" s="235"/>
      <c r="K304" s="66"/>
    </row>
    <row r="305" ht="12.75" customHeight="1">
      <c r="A305" s="238"/>
      <c r="B305" s="235"/>
      <c r="C305" s="235"/>
      <c r="D305" s="236"/>
      <c r="E305" s="235"/>
      <c r="F305" s="235"/>
      <c r="G305" s="237"/>
      <c r="H305" s="235"/>
      <c r="I305" s="235"/>
      <c r="J305" s="235"/>
      <c r="K305" s="66"/>
    </row>
    <row r="306" ht="12.75" customHeight="1">
      <c r="A306" s="238"/>
      <c r="B306" s="235"/>
      <c r="C306" s="235"/>
      <c r="D306" s="236"/>
      <c r="E306" s="235"/>
      <c r="F306" s="235"/>
      <c r="G306" s="237"/>
      <c r="H306" s="235"/>
      <c r="I306" s="235"/>
      <c r="J306" s="235"/>
      <c r="K306" s="66"/>
    </row>
    <row r="307" ht="12.75" customHeight="1">
      <c r="A307" s="238"/>
      <c r="B307" s="235"/>
      <c r="C307" s="235"/>
      <c r="D307" s="236"/>
      <c r="E307" s="235"/>
      <c r="F307" s="235"/>
      <c r="G307" s="237"/>
      <c r="H307" s="235"/>
      <c r="I307" s="235"/>
      <c r="J307" s="235"/>
      <c r="K307" s="66"/>
    </row>
    <row r="308" ht="12.75" customHeight="1">
      <c r="A308" s="238"/>
      <c r="B308" s="235"/>
      <c r="C308" s="235"/>
      <c r="D308" s="236"/>
      <c r="E308" s="235"/>
      <c r="F308" s="235"/>
      <c r="G308" s="237"/>
      <c r="H308" s="235"/>
      <c r="I308" s="235"/>
      <c r="J308" s="235"/>
      <c r="K308" s="66"/>
    </row>
    <row r="309" ht="12.75" customHeight="1">
      <c r="A309" s="238"/>
      <c r="B309" s="235"/>
      <c r="C309" s="235"/>
      <c r="D309" s="236"/>
      <c r="E309" s="235"/>
      <c r="F309" s="235"/>
      <c r="G309" s="237"/>
      <c r="H309" s="235"/>
      <c r="I309" s="235"/>
      <c r="J309" s="235"/>
      <c r="K309" s="66"/>
    </row>
    <row r="310" ht="12.75" customHeight="1">
      <c r="A310" s="238"/>
      <c r="B310" s="235"/>
      <c r="C310" s="235"/>
      <c r="D310" s="236"/>
      <c r="E310" s="235"/>
      <c r="F310" s="235"/>
      <c r="G310" s="237"/>
      <c r="H310" s="235"/>
      <c r="I310" s="235"/>
      <c r="J310" s="235"/>
      <c r="K310" s="66"/>
    </row>
    <row r="311" ht="12.75" customHeight="1">
      <c r="A311" s="238"/>
      <c r="B311" s="235"/>
      <c r="C311" s="235"/>
      <c r="D311" s="236"/>
      <c r="E311" s="235"/>
      <c r="F311" s="235"/>
      <c r="G311" s="237"/>
      <c r="H311" s="235"/>
      <c r="I311" s="235"/>
      <c r="J311" s="235"/>
      <c r="K311" s="66"/>
    </row>
    <row r="312" ht="12.75" customHeight="1">
      <c r="A312" s="238"/>
      <c r="B312" s="235"/>
      <c r="C312" s="235"/>
      <c r="D312" s="236"/>
      <c r="E312" s="235"/>
      <c r="F312" s="235"/>
      <c r="G312" s="237"/>
      <c r="H312" s="235"/>
      <c r="I312" s="235"/>
      <c r="J312" s="235"/>
      <c r="K312" s="66"/>
    </row>
    <row r="313" ht="12.75" customHeight="1">
      <c r="A313" s="238"/>
      <c r="B313" s="235"/>
      <c r="C313" s="235"/>
      <c r="D313" s="236"/>
      <c r="E313" s="235"/>
      <c r="F313" s="235"/>
      <c r="G313" s="237"/>
      <c r="H313" s="235"/>
      <c r="I313" s="235"/>
      <c r="J313" s="235"/>
      <c r="K313" s="66"/>
    </row>
    <row r="314" ht="12.75" customHeight="1">
      <c r="A314" s="238"/>
      <c r="B314" s="235"/>
      <c r="C314" s="235"/>
      <c r="D314" s="236"/>
      <c r="E314" s="235"/>
      <c r="F314" s="235"/>
      <c r="G314" s="237"/>
      <c r="H314" s="235"/>
      <c r="I314" s="235"/>
      <c r="J314" s="235"/>
      <c r="K314" s="66"/>
    </row>
    <row r="315" ht="12.75" customHeight="1">
      <c r="A315" s="238"/>
      <c r="B315" s="235"/>
      <c r="C315" s="235"/>
      <c r="D315" s="236"/>
      <c r="E315" s="235"/>
      <c r="F315" s="235"/>
      <c r="G315" s="237"/>
      <c r="H315" s="235"/>
      <c r="I315" s="235"/>
      <c r="J315" s="235"/>
      <c r="K315" s="66"/>
    </row>
    <row r="316" ht="12.75" customHeight="1">
      <c r="A316" s="238"/>
      <c r="B316" s="235"/>
      <c r="C316" s="235"/>
      <c r="D316" s="236"/>
      <c r="E316" s="235"/>
      <c r="F316" s="235"/>
      <c r="G316" s="237"/>
      <c r="H316" s="235"/>
      <c r="I316" s="235"/>
      <c r="J316" s="235"/>
      <c r="K316" s="66"/>
    </row>
    <row r="317" ht="12.75" customHeight="1">
      <c r="A317" s="238"/>
      <c r="B317" s="235"/>
      <c r="C317" s="235"/>
      <c r="D317" s="236"/>
      <c r="E317" s="235"/>
      <c r="F317" s="235"/>
      <c r="G317" s="237"/>
      <c r="H317" s="235"/>
      <c r="I317" s="235"/>
      <c r="J317" s="235"/>
      <c r="K317" s="66"/>
    </row>
    <row r="318" ht="12.75" customHeight="1">
      <c r="A318" s="238"/>
      <c r="B318" s="235"/>
      <c r="C318" s="235"/>
      <c r="D318" s="236"/>
      <c r="E318" s="235"/>
      <c r="F318" s="235"/>
      <c r="G318" s="237"/>
      <c r="H318" s="235"/>
      <c r="I318" s="235"/>
      <c r="J318" s="235"/>
      <c r="K318" s="66"/>
    </row>
    <row r="319" ht="12.75" customHeight="1">
      <c r="A319" s="238"/>
      <c r="B319" s="235"/>
      <c r="C319" s="235"/>
      <c r="D319" s="236"/>
      <c r="E319" s="235"/>
      <c r="F319" s="235"/>
      <c r="G319" s="237"/>
      <c r="H319" s="235"/>
      <c r="I319" s="235"/>
      <c r="J319" s="235"/>
      <c r="K319" s="66"/>
    </row>
    <row r="320" ht="12.75" customHeight="1">
      <c r="A320" s="238"/>
      <c r="B320" s="235"/>
      <c r="C320" s="235"/>
      <c r="D320" s="236"/>
      <c r="E320" s="235"/>
      <c r="F320" s="235"/>
      <c r="G320" s="237"/>
      <c r="H320" s="235"/>
      <c r="I320" s="235"/>
      <c r="J320" s="235"/>
      <c r="K320" s="66"/>
    </row>
    <row r="321" ht="12.75" customHeight="1">
      <c r="A321" s="238"/>
      <c r="B321" s="235"/>
      <c r="C321" s="235"/>
      <c r="D321" s="236"/>
      <c r="E321" s="235"/>
      <c r="F321" s="235"/>
      <c r="G321" s="237"/>
      <c r="H321" s="235"/>
      <c r="I321" s="235"/>
      <c r="J321" s="235"/>
      <c r="K321" s="66"/>
    </row>
    <row r="322" ht="12.75" customHeight="1">
      <c r="A322" s="238"/>
      <c r="B322" s="235"/>
      <c r="C322" s="235"/>
      <c r="D322" s="236"/>
      <c r="E322" s="235"/>
      <c r="F322" s="235"/>
      <c r="G322" s="237"/>
      <c r="H322" s="235"/>
      <c r="I322" s="235"/>
      <c r="J322" s="235"/>
      <c r="K322" s="66"/>
    </row>
    <row r="323" ht="12.75" customHeight="1">
      <c r="A323" s="238"/>
      <c r="B323" s="235"/>
      <c r="C323" s="235"/>
      <c r="D323" s="236"/>
      <c r="E323" s="235"/>
      <c r="F323" s="235"/>
      <c r="G323" s="237"/>
      <c r="H323" s="235"/>
      <c r="I323" s="235"/>
      <c r="J323" s="235"/>
      <c r="K323" s="66"/>
    </row>
    <row r="324" ht="12.75" customHeight="1">
      <c r="A324" s="238"/>
      <c r="B324" s="235"/>
      <c r="C324" s="235"/>
      <c r="D324" s="236"/>
      <c r="E324" s="235"/>
      <c r="F324" s="235"/>
      <c r="G324" s="237"/>
      <c r="H324" s="235"/>
      <c r="I324" s="235"/>
      <c r="J324" s="235"/>
      <c r="K324" s="66"/>
    </row>
    <row r="325" ht="12.75" customHeight="1">
      <c r="A325" s="238"/>
      <c r="B325" s="235"/>
      <c r="C325" s="235"/>
      <c r="D325" s="236"/>
      <c r="E325" s="235"/>
      <c r="F325" s="235"/>
      <c r="G325" s="237"/>
      <c r="H325" s="235"/>
      <c r="I325" s="235"/>
      <c r="J325" s="235"/>
      <c r="K325" s="66"/>
    </row>
    <row r="326" ht="12.75" customHeight="1">
      <c r="A326" s="238"/>
      <c r="B326" s="235"/>
      <c r="C326" s="235"/>
      <c r="D326" s="236"/>
      <c r="E326" s="235"/>
      <c r="F326" s="235"/>
      <c r="G326" s="237"/>
      <c r="H326" s="235"/>
      <c r="I326" s="235"/>
      <c r="J326" s="235"/>
      <c r="K326" s="66"/>
    </row>
    <row r="327" ht="12.75" customHeight="1">
      <c r="A327" s="238"/>
      <c r="B327" s="235"/>
      <c r="C327" s="235"/>
      <c r="D327" s="236"/>
      <c r="E327" s="235"/>
      <c r="F327" s="235"/>
      <c r="G327" s="237"/>
      <c r="H327" s="235"/>
      <c r="I327" s="235"/>
      <c r="J327" s="235"/>
      <c r="K327" s="66"/>
    </row>
    <row r="328" ht="12.75" customHeight="1">
      <c r="A328" s="238"/>
      <c r="B328" s="235"/>
      <c r="C328" s="235"/>
      <c r="D328" s="236"/>
      <c r="E328" s="235"/>
      <c r="F328" s="235"/>
      <c r="G328" s="237"/>
      <c r="H328" s="235"/>
      <c r="I328" s="235"/>
      <c r="J328" s="235"/>
      <c r="K328" s="66"/>
    </row>
    <row r="329" ht="12.75" customHeight="1">
      <c r="A329" s="238"/>
      <c r="B329" s="235"/>
      <c r="C329" s="235"/>
      <c r="D329" s="236"/>
      <c r="E329" s="235"/>
      <c r="F329" s="235"/>
      <c r="G329" s="237"/>
      <c r="H329" s="235"/>
      <c r="I329" s="235"/>
      <c r="J329" s="235"/>
      <c r="K329" s="66"/>
    </row>
    <row r="330" ht="12.75" customHeight="1">
      <c r="A330" s="238"/>
      <c r="B330" s="235"/>
      <c r="C330" s="235"/>
      <c r="D330" s="236"/>
      <c r="E330" s="235"/>
      <c r="F330" s="235"/>
      <c r="G330" s="237"/>
      <c r="H330" s="235"/>
      <c r="I330" s="235"/>
      <c r="J330" s="235"/>
      <c r="K330" s="66"/>
    </row>
    <row r="331" ht="12.75" customHeight="1">
      <c r="A331" s="238"/>
      <c r="B331" s="235"/>
      <c r="C331" s="235"/>
      <c r="D331" s="236"/>
      <c r="E331" s="235"/>
      <c r="F331" s="235"/>
      <c r="G331" s="237"/>
      <c r="H331" s="235"/>
      <c r="I331" s="235"/>
      <c r="J331" s="235"/>
      <c r="K331" s="66"/>
    </row>
    <row r="332" ht="12.75" customHeight="1">
      <c r="A332" s="238"/>
      <c r="B332" s="235"/>
      <c r="C332" s="235"/>
      <c r="D332" s="236"/>
      <c r="E332" s="235"/>
      <c r="F332" s="235"/>
      <c r="G332" s="237"/>
      <c r="H332" s="235"/>
      <c r="I332" s="235"/>
      <c r="J332" s="235"/>
      <c r="K332" s="66"/>
    </row>
    <row r="333" ht="12.75" customHeight="1">
      <c r="A333" s="238"/>
      <c r="B333" s="235"/>
      <c r="C333" s="235"/>
      <c r="D333" s="236"/>
      <c r="E333" s="235"/>
      <c r="F333" s="235"/>
      <c r="G333" s="237"/>
      <c r="H333" s="235"/>
      <c r="I333" s="235"/>
      <c r="J333" s="235"/>
      <c r="K333" s="66"/>
    </row>
    <row r="334" ht="12.75" customHeight="1">
      <c r="A334" s="238"/>
      <c r="B334" s="235"/>
      <c r="C334" s="235"/>
      <c r="D334" s="236"/>
      <c r="E334" s="235"/>
      <c r="F334" s="235"/>
      <c r="G334" s="237"/>
      <c r="H334" s="235"/>
      <c r="I334" s="235"/>
      <c r="J334" s="235"/>
      <c r="K334" s="66"/>
    </row>
    <row r="335" ht="12.75" customHeight="1">
      <c r="A335" s="238"/>
      <c r="B335" s="235"/>
      <c r="C335" s="235"/>
      <c r="D335" s="236"/>
      <c r="E335" s="235"/>
      <c r="F335" s="235"/>
      <c r="G335" s="237"/>
      <c r="H335" s="235"/>
      <c r="I335" s="235"/>
      <c r="J335" s="235"/>
      <c r="K335" s="66"/>
    </row>
    <row r="336" ht="12.75" customHeight="1">
      <c r="A336" s="238"/>
      <c r="B336" s="235"/>
      <c r="C336" s="235"/>
      <c r="D336" s="236"/>
      <c r="E336" s="235"/>
      <c r="F336" s="235"/>
      <c r="G336" s="237"/>
      <c r="H336" s="235"/>
      <c r="I336" s="235"/>
      <c r="J336" s="235"/>
      <c r="K336" s="66"/>
    </row>
    <row r="337" ht="12.75" customHeight="1">
      <c r="A337" s="238"/>
      <c r="B337" s="235"/>
      <c r="C337" s="235"/>
      <c r="D337" s="236"/>
      <c r="E337" s="235"/>
      <c r="F337" s="235"/>
      <c r="G337" s="237"/>
      <c r="H337" s="235"/>
      <c r="I337" s="235"/>
      <c r="J337" s="235"/>
      <c r="K337" s="66"/>
    </row>
    <row r="338" ht="12.75" customHeight="1">
      <c r="A338" s="238"/>
      <c r="B338" s="235"/>
      <c r="C338" s="235"/>
      <c r="D338" s="236"/>
      <c r="E338" s="235"/>
      <c r="F338" s="235"/>
      <c r="G338" s="237"/>
      <c r="H338" s="235"/>
      <c r="I338" s="235"/>
      <c r="J338" s="235"/>
      <c r="K338" s="66"/>
    </row>
    <row r="339" ht="12.75" customHeight="1">
      <c r="A339" s="238"/>
      <c r="B339" s="235"/>
      <c r="C339" s="235"/>
      <c r="D339" s="236"/>
      <c r="E339" s="235"/>
      <c r="F339" s="235"/>
      <c r="G339" s="237"/>
      <c r="H339" s="235"/>
      <c r="I339" s="235"/>
      <c r="J339" s="235"/>
      <c r="K339" s="66"/>
    </row>
    <row r="340" ht="12.75" customHeight="1">
      <c r="A340" s="238"/>
      <c r="B340" s="235"/>
      <c r="C340" s="235"/>
      <c r="D340" s="236"/>
      <c r="E340" s="235"/>
      <c r="F340" s="235"/>
      <c r="G340" s="237"/>
      <c r="H340" s="235"/>
      <c r="I340" s="235"/>
      <c r="J340" s="235"/>
      <c r="K340" s="66"/>
    </row>
    <row r="341" ht="12.75" customHeight="1">
      <c r="A341" s="238"/>
      <c r="B341" s="235"/>
      <c r="C341" s="235"/>
      <c r="D341" s="236"/>
      <c r="E341" s="235"/>
      <c r="F341" s="235"/>
      <c r="G341" s="237"/>
      <c r="H341" s="235"/>
      <c r="I341" s="235"/>
      <c r="J341" s="235"/>
      <c r="K341" s="66"/>
    </row>
    <row r="342" ht="12.75" customHeight="1">
      <c r="A342" s="238"/>
      <c r="B342" s="235"/>
      <c r="C342" s="235"/>
      <c r="D342" s="236"/>
      <c r="E342" s="235"/>
      <c r="F342" s="235"/>
      <c r="G342" s="237"/>
      <c r="H342" s="235"/>
      <c r="I342" s="235"/>
      <c r="J342" s="235"/>
      <c r="K342" s="66"/>
    </row>
    <row r="343" ht="12.75" customHeight="1">
      <c r="A343" s="238"/>
      <c r="B343" s="235"/>
      <c r="C343" s="235"/>
      <c r="D343" s="236"/>
      <c r="E343" s="235"/>
      <c r="F343" s="235"/>
      <c r="G343" s="237"/>
      <c r="H343" s="235"/>
      <c r="I343" s="235"/>
      <c r="J343" s="235"/>
      <c r="K343" s="66"/>
    </row>
    <row r="344" ht="12.75" customHeight="1">
      <c r="A344" s="238"/>
      <c r="B344" s="235"/>
      <c r="C344" s="235"/>
      <c r="D344" s="236"/>
      <c r="E344" s="235"/>
      <c r="F344" s="235"/>
      <c r="G344" s="237"/>
      <c r="H344" s="235"/>
      <c r="I344" s="235"/>
      <c r="J344" s="235"/>
      <c r="K344" s="66"/>
    </row>
    <row r="345" ht="12.75" customHeight="1">
      <c r="A345" s="238"/>
      <c r="B345" s="235"/>
      <c r="C345" s="235"/>
      <c r="D345" s="236"/>
      <c r="E345" s="235"/>
      <c r="F345" s="235"/>
      <c r="G345" s="237"/>
      <c r="H345" s="235"/>
      <c r="I345" s="235"/>
      <c r="J345" s="235"/>
      <c r="K345" s="66"/>
    </row>
    <row r="346" ht="12.75" customHeight="1">
      <c r="A346" s="238"/>
      <c r="B346" s="235"/>
      <c r="C346" s="235"/>
      <c r="D346" s="236"/>
      <c r="E346" s="235"/>
      <c r="F346" s="235"/>
      <c r="G346" s="237"/>
      <c r="H346" s="235"/>
      <c r="I346" s="235"/>
      <c r="J346" s="235"/>
      <c r="K346" s="66"/>
    </row>
    <row r="347" ht="12.75" customHeight="1">
      <c r="A347" s="238"/>
      <c r="B347" s="235"/>
      <c r="C347" s="235"/>
      <c r="D347" s="236"/>
      <c r="E347" s="235"/>
      <c r="F347" s="235"/>
      <c r="G347" s="237"/>
      <c r="H347" s="235"/>
      <c r="I347" s="235"/>
      <c r="J347" s="235"/>
      <c r="K347" s="66"/>
    </row>
    <row r="348" ht="12.75" customHeight="1">
      <c r="A348" s="238"/>
      <c r="B348" s="235"/>
      <c r="C348" s="235"/>
      <c r="D348" s="236"/>
      <c r="E348" s="235"/>
      <c r="F348" s="235"/>
      <c r="G348" s="237"/>
      <c r="H348" s="235"/>
      <c r="I348" s="235"/>
      <c r="J348" s="235"/>
      <c r="K348" s="66"/>
    </row>
    <row r="349" ht="12.75" customHeight="1">
      <c r="A349" s="238"/>
      <c r="B349" s="235"/>
      <c r="C349" s="235"/>
      <c r="D349" s="236"/>
      <c r="E349" s="235"/>
      <c r="F349" s="235"/>
      <c r="G349" s="237"/>
      <c r="H349" s="235"/>
      <c r="I349" s="235"/>
      <c r="J349" s="235"/>
      <c r="K349" s="66"/>
    </row>
    <row r="350" ht="12.75" customHeight="1">
      <c r="A350" s="238"/>
      <c r="B350" s="235"/>
      <c r="C350" s="235"/>
      <c r="D350" s="236"/>
      <c r="E350" s="235"/>
      <c r="F350" s="235"/>
      <c r="G350" s="237"/>
      <c r="H350" s="235"/>
      <c r="I350" s="235"/>
      <c r="J350" s="235"/>
      <c r="K350" s="66"/>
    </row>
    <row r="351" ht="12.75" customHeight="1">
      <c r="A351" s="238"/>
      <c r="B351" s="235"/>
      <c r="C351" s="235"/>
      <c r="D351" s="236"/>
      <c r="E351" s="235"/>
      <c r="F351" s="235"/>
      <c r="G351" s="237"/>
      <c r="H351" s="235"/>
      <c r="I351" s="235"/>
      <c r="J351" s="235"/>
      <c r="K351" s="66"/>
    </row>
    <row r="352" ht="12.75" customHeight="1">
      <c r="A352" s="238"/>
      <c r="B352" s="235"/>
      <c r="C352" s="235"/>
      <c r="D352" s="236"/>
      <c r="E352" s="235"/>
      <c r="F352" s="235"/>
      <c r="G352" s="237"/>
      <c r="H352" s="235"/>
      <c r="I352" s="235"/>
      <c r="J352" s="235"/>
      <c r="K352" s="66"/>
    </row>
    <row r="353" ht="12.75" customHeight="1">
      <c r="A353" s="238"/>
      <c r="B353" s="235"/>
      <c r="C353" s="235"/>
      <c r="D353" s="236"/>
      <c r="E353" s="235"/>
      <c r="F353" s="235"/>
      <c r="G353" s="237"/>
      <c r="H353" s="235"/>
      <c r="I353" s="235"/>
      <c r="J353" s="235"/>
      <c r="K353" s="66"/>
    </row>
    <row r="354" ht="12.75" customHeight="1">
      <c r="A354" s="238"/>
      <c r="B354" s="235"/>
      <c r="C354" s="235"/>
      <c r="D354" s="236"/>
      <c r="E354" s="235"/>
      <c r="F354" s="235"/>
      <c r="G354" s="237"/>
      <c r="H354" s="235"/>
      <c r="I354" s="235"/>
      <c r="J354" s="235"/>
      <c r="K354" s="66"/>
    </row>
    <row r="355" ht="12.75" customHeight="1">
      <c r="A355" s="238"/>
      <c r="B355" s="235"/>
      <c r="C355" s="235"/>
      <c r="D355" s="236"/>
      <c r="E355" s="235"/>
      <c r="F355" s="235"/>
      <c r="G355" s="237"/>
      <c r="H355" s="235"/>
      <c r="I355" s="235"/>
      <c r="J355" s="235"/>
      <c r="K355" s="66"/>
    </row>
    <row r="356" ht="12.75" customHeight="1">
      <c r="A356" s="238"/>
      <c r="B356" s="235"/>
      <c r="C356" s="235"/>
      <c r="D356" s="236"/>
      <c r="E356" s="235"/>
      <c r="F356" s="235"/>
      <c r="G356" s="237"/>
      <c r="H356" s="235"/>
      <c r="I356" s="235"/>
      <c r="J356" s="235"/>
      <c r="K356" s="66"/>
    </row>
    <row r="357" ht="12.75" customHeight="1">
      <c r="A357" s="238"/>
      <c r="B357" s="235"/>
      <c r="C357" s="235"/>
      <c r="D357" s="236"/>
      <c r="E357" s="235"/>
      <c r="F357" s="235"/>
      <c r="G357" s="237"/>
      <c r="H357" s="235"/>
      <c r="I357" s="235"/>
      <c r="J357" s="235"/>
      <c r="K357" s="66"/>
    </row>
    <row r="358" ht="12.75" customHeight="1">
      <c r="A358" s="238"/>
      <c r="B358" s="235"/>
      <c r="C358" s="235"/>
      <c r="D358" s="236"/>
      <c r="E358" s="235"/>
      <c r="F358" s="235"/>
      <c r="G358" s="237"/>
      <c r="H358" s="235"/>
      <c r="I358" s="235"/>
      <c r="J358" s="235"/>
      <c r="K358" s="66"/>
    </row>
    <row r="359" ht="12.75" customHeight="1">
      <c r="A359" s="238"/>
      <c r="B359" s="235"/>
      <c r="C359" s="235"/>
      <c r="D359" s="236"/>
      <c r="E359" s="235"/>
      <c r="F359" s="235"/>
      <c r="G359" s="237"/>
      <c r="H359" s="235"/>
      <c r="I359" s="235"/>
      <c r="J359" s="235"/>
      <c r="K359" s="66"/>
    </row>
    <row r="360" ht="12.75" customHeight="1">
      <c r="A360" s="238"/>
      <c r="B360" s="235"/>
      <c r="C360" s="235"/>
      <c r="D360" s="236"/>
      <c r="E360" s="235"/>
      <c r="F360" s="235"/>
      <c r="G360" s="237"/>
      <c r="H360" s="235"/>
      <c r="I360" s="235"/>
      <c r="J360" s="235"/>
      <c r="K360" s="66"/>
    </row>
    <row r="361" ht="12.75" customHeight="1">
      <c r="A361" s="238"/>
      <c r="B361" s="235"/>
      <c r="C361" s="235"/>
      <c r="D361" s="236"/>
      <c r="E361" s="235"/>
      <c r="F361" s="235"/>
      <c r="G361" s="237"/>
      <c r="H361" s="235"/>
      <c r="I361" s="235"/>
      <c r="J361" s="235"/>
      <c r="K361" s="66"/>
    </row>
    <row r="362" ht="12.75" customHeight="1">
      <c r="A362" s="238"/>
      <c r="B362" s="235"/>
      <c r="C362" s="235"/>
      <c r="D362" s="236"/>
      <c r="E362" s="235"/>
      <c r="F362" s="235"/>
      <c r="G362" s="237"/>
      <c r="H362" s="235"/>
      <c r="I362" s="235"/>
      <c r="J362" s="235"/>
      <c r="K362" s="66"/>
    </row>
    <row r="363" ht="12.75" customHeight="1">
      <c r="A363" s="238"/>
      <c r="B363" s="235"/>
      <c r="C363" s="235"/>
      <c r="D363" s="236"/>
      <c r="E363" s="235"/>
      <c r="F363" s="235"/>
      <c r="G363" s="237"/>
      <c r="H363" s="235"/>
      <c r="I363" s="235"/>
      <c r="J363" s="235"/>
      <c r="K363" s="66"/>
    </row>
    <row r="364" ht="12.75" customHeight="1">
      <c r="A364" s="238"/>
      <c r="B364" s="235"/>
      <c r="C364" s="235"/>
      <c r="D364" s="236"/>
      <c r="E364" s="235"/>
      <c r="F364" s="235"/>
      <c r="G364" s="237"/>
      <c r="H364" s="235"/>
      <c r="I364" s="235"/>
      <c r="J364" s="235"/>
      <c r="K364" s="66"/>
    </row>
    <row r="365" ht="12.75" customHeight="1">
      <c r="A365" s="238"/>
      <c r="B365" s="235"/>
      <c r="C365" s="235"/>
      <c r="D365" s="236"/>
      <c r="E365" s="235"/>
      <c r="F365" s="235"/>
      <c r="G365" s="237"/>
      <c r="H365" s="235"/>
      <c r="I365" s="235"/>
      <c r="J365" s="235"/>
      <c r="K365" s="66"/>
    </row>
    <row r="366" ht="12.75" customHeight="1">
      <c r="A366" s="238"/>
      <c r="B366" s="235"/>
      <c r="C366" s="235"/>
      <c r="D366" s="236"/>
      <c r="E366" s="235"/>
      <c r="F366" s="235"/>
      <c r="G366" s="237"/>
      <c r="H366" s="235"/>
      <c r="I366" s="235"/>
      <c r="J366" s="235"/>
      <c r="K366" s="66"/>
    </row>
    <row r="367" ht="12.75" customHeight="1">
      <c r="A367" s="238"/>
      <c r="B367" s="235"/>
      <c r="C367" s="235"/>
      <c r="D367" s="236"/>
      <c r="E367" s="235"/>
      <c r="F367" s="235"/>
      <c r="G367" s="237"/>
      <c r="H367" s="235"/>
      <c r="I367" s="235"/>
      <c r="J367" s="235"/>
      <c r="K367" s="66"/>
    </row>
    <row r="368" ht="12.75" customHeight="1">
      <c r="A368" s="238"/>
      <c r="B368" s="235"/>
      <c r="C368" s="235"/>
      <c r="D368" s="236"/>
      <c r="E368" s="235"/>
      <c r="F368" s="235"/>
      <c r="G368" s="237"/>
      <c r="H368" s="235"/>
      <c r="I368" s="235"/>
      <c r="J368" s="235"/>
      <c r="K368" s="66"/>
    </row>
    <row r="369" ht="12.75" customHeight="1">
      <c r="A369" s="238"/>
      <c r="B369" s="235"/>
      <c r="C369" s="235"/>
      <c r="D369" s="236"/>
      <c r="E369" s="235"/>
      <c r="F369" s="235"/>
      <c r="G369" s="237"/>
      <c r="H369" s="235"/>
      <c r="I369" s="235"/>
      <c r="J369" s="235"/>
      <c r="K369" s="66"/>
    </row>
    <row r="370" ht="12.75" customHeight="1">
      <c r="A370" s="238"/>
      <c r="B370" s="235"/>
      <c r="C370" s="235"/>
      <c r="D370" s="236"/>
      <c r="E370" s="235"/>
      <c r="F370" s="235"/>
      <c r="G370" s="237"/>
      <c r="H370" s="235"/>
      <c r="I370" s="235"/>
      <c r="J370" s="235"/>
      <c r="K370" s="66"/>
    </row>
    <row r="371" ht="12.75" customHeight="1">
      <c r="A371" s="238"/>
      <c r="B371" s="235"/>
      <c r="C371" s="235"/>
      <c r="D371" s="236"/>
      <c r="E371" s="235"/>
      <c r="F371" s="235"/>
      <c r="G371" s="237"/>
      <c r="H371" s="235"/>
      <c r="I371" s="235"/>
      <c r="J371" s="235"/>
      <c r="K371" s="66"/>
    </row>
    <row r="372" ht="12.75" customHeight="1">
      <c r="A372" s="238"/>
      <c r="B372" s="235"/>
      <c r="C372" s="235"/>
      <c r="D372" s="236"/>
      <c r="E372" s="235"/>
      <c r="F372" s="235"/>
      <c r="G372" s="237"/>
      <c r="H372" s="235"/>
      <c r="I372" s="235"/>
      <c r="J372" s="235"/>
      <c r="K372" s="66"/>
    </row>
    <row r="373" ht="12.75" customHeight="1">
      <c r="A373" s="238"/>
      <c r="B373" s="235"/>
      <c r="C373" s="235"/>
      <c r="D373" s="236"/>
      <c r="E373" s="235"/>
      <c r="F373" s="235"/>
      <c r="G373" s="237"/>
      <c r="H373" s="235"/>
      <c r="I373" s="235"/>
      <c r="J373" s="235"/>
      <c r="K373" s="66"/>
    </row>
    <row r="374" ht="12.75" customHeight="1">
      <c r="A374" s="238"/>
      <c r="B374" s="235"/>
      <c r="C374" s="235"/>
      <c r="D374" s="236"/>
      <c r="E374" s="235"/>
      <c r="F374" s="235"/>
      <c r="G374" s="237"/>
      <c r="H374" s="235"/>
      <c r="I374" s="235"/>
      <c r="J374" s="235"/>
      <c r="K374" s="66"/>
    </row>
    <row r="375" ht="12.75" customHeight="1">
      <c r="A375" s="238"/>
      <c r="B375" s="235"/>
      <c r="C375" s="235"/>
      <c r="D375" s="236"/>
      <c r="E375" s="235"/>
      <c r="F375" s="235"/>
      <c r="G375" s="237"/>
      <c r="H375" s="235"/>
      <c r="I375" s="235"/>
      <c r="J375" s="235"/>
      <c r="K375" s="66"/>
    </row>
    <row r="376" ht="12.75" customHeight="1">
      <c r="A376" s="238"/>
      <c r="B376" s="235"/>
      <c r="C376" s="235"/>
      <c r="D376" s="236"/>
      <c r="E376" s="235"/>
      <c r="F376" s="235"/>
      <c r="G376" s="237"/>
      <c r="H376" s="235"/>
      <c r="I376" s="235"/>
      <c r="J376" s="235"/>
      <c r="K376" s="66"/>
    </row>
    <row r="377" ht="12.75" customHeight="1">
      <c r="A377" s="238"/>
      <c r="B377" s="235"/>
      <c r="C377" s="235"/>
      <c r="D377" s="236"/>
      <c r="E377" s="235"/>
      <c r="F377" s="235"/>
      <c r="G377" s="237"/>
      <c r="H377" s="235"/>
      <c r="I377" s="235"/>
      <c r="J377" s="235"/>
      <c r="K377" s="66"/>
    </row>
    <row r="378" ht="12.75" customHeight="1">
      <c r="A378" s="238"/>
      <c r="B378" s="235"/>
      <c r="C378" s="235"/>
      <c r="D378" s="236"/>
      <c r="E378" s="235"/>
      <c r="F378" s="235"/>
      <c r="G378" s="237"/>
      <c r="H378" s="235"/>
      <c r="I378" s="235"/>
      <c r="J378" s="235"/>
      <c r="K378" s="66"/>
    </row>
    <row r="379" ht="12.75" customHeight="1">
      <c r="A379" s="238"/>
      <c r="B379" s="235"/>
      <c r="C379" s="235"/>
      <c r="D379" s="236"/>
      <c r="E379" s="235"/>
      <c r="F379" s="235"/>
      <c r="G379" s="237"/>
      <c r="H379" s="235"/>
      <c r="I379" s="235"/>
      <c r="J379" s="235"/>
      <c r="K379" s="66"/>
    </row>
    <row r="380" ht="12.75" customHeight="1">
      <c r="A380" s="238"/>
      <c r="B380" s="235"/>
      <c r="C380" s="235"/>
      <c r="D380" s="236"/>
      <c r="E380" s="235"/>
      <c r="F380" s="235"/>
      <c r="G380" s="237"/>
      <c r="H380" s="235"/>
      <c r="I380" s="235"/>
      <c r="J380" s="235"/>
      <c r="K380" s="66"/>
    </row>
    <row r="381" ht="12.75" customHeight="1">
      <c r="A381" s="238"/>
      <c r="B381" s="235"/>
      <c r="C381" s="235"/>
      <c r="D381" s="236"/>
      <c r="E381" s="235"/>
      <c r="F381" s="235"/>
      <c r="G381" s="237"/>
      <c r="H381" s="235"/>
      <c r="I381" s="235"/>
      <c r="J381" s="235"/>
      <c r="K381" s="66"/>
    </row>
    <row r="382" ht="12.75" customHeight="1">
      <c r="A382" s="238"/>
      <c r="B382" s="235"/>
      <c r="C382" s="235"/>
      <c r="D382" s="236"/>
      <c r="E382" s="235"/>
      <c r="F382" s="235"/>
      <c r="G382" s="237"/>
      <c r="H382" s="235"/>
      <c r="I382" s="235"/>
      <c r="J382" s="235"/>
      <c r="K382" s="66"/>
    </row>
    <row r="383" ht="12.75" customHeight="1">
      <c r="A383" s="238"/>
      <c r="B383" s="235"/>
      <c r="C383" s="235"/>
      <c r="D383" s="236"/>
      <c r="E383" s="235"/>
      <c r="F383" s="235"/>
      <c r="G383" s="237"/>
      <c r="H383" s="235"/>
      <c r="I383" s="235"/>
      <c r="J383" s="235"/>
      <c r="K383" s="66"/>
    </row>
    <row r="384" ht="12.75" customHeight="1">
      <c r="A384" s="238"/>
      <c r="B384" s="235"/>
      <c r="C384" s="235"/>
      <c r="D384" s="236"/>
      <c r="E384" s="235"/>
      <c r="F384" s="235"/>
      <c r="G384" s="237"/>
      <c r="H384" s="235"/>
      <c r="I384" s="235"/>
      <c r="J384" s="235"/>
      <c r="K384" s="66"/>
    </row>
    <row r="385" ht="12.75" customHeight="1">
      <c r="A385" s="238"/>
      <c r="B385" s="235"/>
      <c r="C385" s="235"/>
      <c r="D385" s="236"/>
      <c r="E385" s="235"/>
      <c r="F385" s="235"/>
      <c r="G385" s="237"/>
      <c r="H385" s="235"/>
      <c r="I385" s="235"/>
      <c r="J385" s="235"/>
      <c r="K385" s="66"/>
    </row>
    <row r="386" ht="12.75" customHeight="1">
      <c r="A386" s="238"/>
      <c r="B386" s="235"/>
      <c r="C386" s="235"/>
      <c r="D386" s="236"/>
      <c r="E386" s="235"/>
      <c r="F386" s="235"/>
      <c r="G386" s="237"/>
      <c r="H386" s="235"/>
      <c r="I386" s="235"/>
      <c r="J386" s="235"/>
      <c r="K386" s="66"/>
    </row>
    <row r="387" ht="12.75" customHeight="1">
      <c r="A387" s="238"/>
      <c r="B387" s="235"/>
      <c r="C387" s="235"/>
      <c r="D387" s="236"/>
      <c r="E387" s="235"/>
      <c r="F387" s="235"/>
      <c r="G387" s="237"/>
      <c r="H387" s="235"/>
      <c r="I387" s="235"/>
      <c r="J387" s="235"/>
      <c r="K387" s="66"/>
    </row>
    <row r="388" ht="12.75" customHeight="1">
      <c r="A388" s="238"/>
      <c r="B388" s="235"/>
      <c r="C388" s="235"/>
      <c r="D388" s="236"/>
      <c r="E388" s="235"/>
      <c r="F388" s="235"/>
      <c r="G388" s="237"/>
      <c r="H388" s="235"/>
      <c r="I388" s="235"/>
      <c r="J388" s="235"/>
      <c r="K388" s="66"/>
    </row>
    <row r="389" ht="12.75" customHeight="1">
      <c r="A389" s="238"/>
      <c r="B389" s="235"/>
      <c r="C389" s="235"/>
      <c r="D389" s="236"/>
      <c r="E389" s="235"/>
      <c r="F389" s="235"/>
      <c r="G389" s="237"/>
      <c r="H389" s="235"/>
      <c r="I389" s="235"/>
      <c r="J389" s="235"/>
      <c r="K389" s="66"/>
    </row>
    <row r="390" ht="12.75" customHeight="1">
      <c r="A390" s="238"/>
      <c r="B390" s="235"/>
      <c r="C390" s="235"/>
      <c r="D390" s="236"/>
      <c r="E390" s="235"/>
      <c r="F390" s="235"/>
      <c r="G390" s="237"/>
      <c r="H390" s="235"/>
      <c r="I390" s="235"/>
      <c r="J390" s="235"/>
      <c r="K390" s="66"/>
    </row>
    <row r="391" ht="12.75" customHeight="1">
      <c r="A391" s="238"/>
      <c r="B391" s="235"/>
      <c r="C391" s="235"/>
      <c r="D391" s="236"/>
      <c r="E391" s="235"/>
      <c r="F391" s="235"/>
      <c r="G391" s="237"/>
      <c r="H391" s="235"/>
      <c r="I391" s="235"/>
      <c r="J391" s="235"/>
      <c r="K391" s="66"/>
    </row>
    <row r="392" ht="12.75" customHeight="1">
      <c r="A392" s="238"/>
      <c r="B392" s="235"/>
      <c r="C392" s="235"/>
      <c r="D392" s="236"/>
      <c r="E392" s="235"/>
      <c r="F392" s="235"/>
      <c r="G392" s="237"/>
      <c r="H392" s="235"/>
      <c r="I392" s="235"/>
      <c r="J392" s="235"/>
      <c r="K392" s="66"/>
    </row>
    <row r="393" ht="12.75" customHeight="1">
      <c r="A393" s="238"/>
      <c r="B393" s="235"/>
      <c r="C393" s="235"/>
      <c r="D393" s="236"/>
      <c r="E393" s="235"/>
      <c r="F393" s="235"/>
      <c r="G393" s="237"/>
      <c r="H393" s="235"/>
      <c r="I393" s="235"/>
      <c r="J393" s="235"/>
      <c r="K393" s="66"/>
    </row>
    <row r="394" ht="12.75" customHeight="1">
      <c r="A394" s="238"/>
      <c r="B394" s="235"/>
      <c r="C394" s="235"/>
      <c r="D394" s="236"/>
      <c r="E394" s="235"/>
      <c r="F394" s="235"/>
      <c r="G394" s="237"/>
      <c r="H394" s="235"/>
      <c r="I394" s="235"/>
      <c r="J394" s="235"/>
      <c r="K394" s="66"/>
    </row>
    <row r="395" ht="12.75" customHeight="1">
      <c r="A395" s="238"/>
      <c r="B395" s="235"/>
      <c r="C395" s="235"/>
      <c r="D395" s="236"/>
      <c r="E395" s="235"/>
      <c r="F395" s="235"/>
      <c r="G395" s="237"/>
      <c r="H395" s="235"/>
      <c r="I395" s="235"/>
      <c r="J395" s="235"/>
      <c r="K395" s="66"/>
    </row>
    <row r="396" ht="12.75" customHeight="1">
      <c r="A396" s="238"/>
      <c r="B396" s="235"/>
      <c r="C396" s="235"/>
      <c r="D396" s="236"/>
      <c r="E396" s="235"/>
      <c r="F396" s="235"/>
      <c r="G396" s="237"/>
      <c r="H396" s="235"/>
      <c r="I396" s="235"/>
      <c r="J396" s="235"/>
      <c r="K396" s="66"/>
    </row>
    <row r="397" ht="12.75" customHeight="1">
      <c r="A397" s="238"/>
      <c r="B397" s="235"/>
      <c r="C397" s="235"/>
      <c r="D397" s="236"/>
      <c r="E397" s="235"/>
      <c r="F397" s="235"/>
      <c r="G397" s="237"/>
      <c r="H397" s="235"/>
      <c r="I397" s="235"/>
      <c r="J397" s="235"/>
      <c r="K397" s="66"/>
    </row>
    <row r="398" ht="12.75" customHeight="1">
      <c r="A398" s="238"/>
      <c r="B398" s="235"/>
      <c r="C398" s="235"/>
      <c r="D398" s="236"/>
      <c r="E398" s="235"/>
      <c r="F398" s="235"/>
      <c r="G398" s="237"/>
      <c r="H398" s="235"/>
      <c r="I398" s="235"/>
      <c r="J398" s="235"/>
      <c r="K398" s="66"/>
    </row>
    <row r="399" ht="12.75" customHeight="1">
      <c r="A399" s="238"/>
      <c r="B399" s="235"/>
      <c r="C399" s="235"/>
      <c r="D399" s="236"/>
      <c r="E399" s="235"/>
      <c r="F399" s="235"/>
      <c r="G399" s="237"/>
      <c r="H399" s="235"/>
      <c r="I399" s="235"/>
      <c r="J399" s="235"/>
      <c r="K399" s="66"/>
    </row>
    <row r="400" ht="12.75" customHeight="1">
      <c r="A400" s="238"/>
      <c r="B400" s="235"/>
      <c r="C400" s="235"/>
      <c r="D400" s="236"/>
      <c r="E400" s="235"/>
      <c r="F400" s="235"/>
      <c r="G400" s="237"/>
      <c r="H400" s="235"/>
      <c r="I400" s="235"/>
      <c r="J400" s="235"/>
      <c r="K400" s="66"/>
    </row>
    <row r="401" ht="12.75" customHeight="1">
      <c r="A401" s="238"/>
      <c r="B401" s="235"/>
      <c r="C401" s="235"/>
      <c r="D401" s="236"/>
      <c r="E401" s="235"/>
      <c r="F401" s="235"/>
      <c r="G401" s="237"/>
      <c r="H401" s="235"/>
      <c r="I401" s="235"/>
      <c r="J401" s="235"/>
      <c r="K401" s="66"/>
    </row>
    <row r="402" ht="12.75" customHeight="1">
      <c r="A402" s="238"/>
      <c r="B402" s="235"/>
      <c r="C402" s="235"/>
      <c r="D402" s="236"/>
      <c r="E402" s="235"/>
      <c r="F402" s="235"/>
      <c r="G402" s="237"/>
      <c r="H402" s="235"/>
      <c r="I402" s="235"/>
      <c r="J402" s="235"/>
      <c r="K402" s="66"/>
    </row>
    <row r="403" ht="12.75" customHeight="1">
      <c r="A403" s="238"/>
      <c r="B403" s="235"/>
      <c r="C403" s="235"/>
      <c r="D403" s="236"/>
      <c r="E403" s="235"/>
      <c r="F403" s="235"/>
      <c r="G403" s="237"/>
      <c r="H403" s="235"/>
      <c r="I403" s="235"/>
      <c r="J403" s="235"/>
      <c r="K403" s="66"/>
    </row>
    <row r="404" ht="12.75" customHeight="1">
      <c r="A404" s="238"/>
      <c r="B404" s="235"/>
      <c r="C404" s="235"/>
      <c r="D404" s="236"/>
      <c r="E404" s="235"/>
      <c r="F404" s="235"/>
      <c r="G404" s="237"/>
      <c r="H404" s="235"/>
      <c r="I404" s="235"/>
      <c r="J404" s="235"/>
      <c r="K404" s="66"/>
    </row>
    <row r="405" ht="12.75" customHeight="1">
      <c r="A405" s="238"/>
      <c r="B405" s="235"/>
      <c r="C405" s="235"/>
      <c r="D405" s="236"/>
      <c r="E405" s="235"/>
      <c r="F405" s="235"/>
      <c r="G405" s="237"/>
      <c r="H405" s="235"/>
      <c r="I405" s="235"/>
      <c r="J405" s="235"/>
      <c r="K405" s="66"/>
    </row>
    <row r="406" ht="12.75" customHeight="1">
      <c r="A406" s="238"/>
      <c r="B406" s="235"/>
      <c r="C406" s="235"/>
      <c r="D406" s="236"/>
      <c r="E406" s="235"/>
      <c r="F406" s="235"/>
      <c r="G406" s="237"/>
      <c r="H406" s="235"/>
      <c r="I406" s="235"/>
      <c r="J406" s="235"/>
      <c r="K406" s="66"/>
    </row>
    <row r="407" ht="12.75" customHeight="1">
      <c r="A407" s="238"/>
      <c r="B407" s="235"/>
      <c r="C407" s="235"/>
      <c r="D407" s="236"/>
      <c r="E407" s="235"/>
      <c r="F407" s="235"/>
      <c r="G407" s="237"/>
      <c r="H407" s="235"/>
      <c r="I407" s="235"/>
      <c r="J407" s="235"/>
      <c r="K407" s="66"/>
    </row>
    <row r="408" ht="12.75" customHeight="1">
      <c r="A408" s="238"/>
      <c r="B408" s="235"/>
      <c r="C408" s="235"/>
      <c r="D408" s="236"/>
      <c r="E408" s="235"/>
      <c r="F408" s="235"/>
      <c r="G408" s="237"/>
      <c r="H408" s="235"/>
      <c r="I408" s="235"/>
      <c r="J408" s="235"/>
      <c r="K408" s="66"/>
    </row>
    <row r="409" ht="12.75" customHeight="1">
      <c r="A409" s="238"/>
      <c r="B409" s="235"/>
      <c r="C409" s="235"/>
      <c r="D409" s="236"/>
      <c r="E409" s="235"/>
      <c r="F409" s="235"/>
      <c r="G409" s="237"/>
      <c r="H409" s="235"/>
      <c r="I409" s="235"/>
      <c r="J409" s="235"/>
      <c r="K409" s="66"/>
    </row>
    <row r="410" ht="12.75" customHeight="1">
      <c r="A410" s="238"/>
      <c r="B410" s="235"/>
      <c r="C410" s="235"/>
      <c r="D410" s="236"/>
      <c r="E410" s="235"/>
      <c r="F410" s="235"/>
      <c r="G410" s="237"/>
      <c r="H410" s="235"/>
      <c r="I410" s="235"/>
      <c r="J410" s="235"/>
      <c r="K410" s="66"/>
    </row>
    <row r="411" ht="12.75" customHeight="1">
      <c r="A411" s="238"/>
      <c r="B411" s="235"/>
      <c r="C411" s="235"/>
      <c r="D411" s="236"/>
      <c r="E411" s="235"/>
      <c r="F411" s="235"/>
      <c r="G411" s="237"/>
      <c r="H411" s="235"/>
      <c r="I411" s="235"/>
      <c r="J411" s="235"/>
      <c r="K411" s="66"/>
    </row>
    <row r="412" ht="12.75" customHeight="1">
      <c r="A412" s="238"/>
      <c r="B412" s="235"/>
      <c r="C412" s="235"/>
      <c r="D412" s="236"/>
      <c r="E412" s="235"/>
      <c r="F412" s="235"/>
      <c r="G412" s="237"/>
      <c r="H412" s="235"/>
      <c r="I412" s="235"/>
      <c r="J412" s="235"/>
      <c r="K412" s="66"/>
    </row>
    <row r="413" ht="12.75" customHeight="1">
      <c r="A413" s="238"/>
      <c r="B413" s="235"/>
      <c r="C413" s="235"/>
      <c r="D413" s="236"/>
      <c r="E413" s="235"/>
      <c r="F413" s="235"/>
      <c r="G413" s="237"/>
      <c r="H413" s="235"/>
      <c r="I413" s="235"/>
      <c r="J413" s="235"/>
      <c r="K413" s="66"/>
    </row>
    <row r="414" ht="12.75" customHeight="1">
      <c r="A414" s="238"/>
      <c r="B414" s="235"/>
      <c r="C414" s="235"/>
      <c r="D414" s="236"/>
      <c r="E414" s="235"/>
      <c r="F414" s="235"/>
      <c r="G414" s="237"/>
      <c r="H414" s="235"/>
      <c r="I414" s="235"/>
      <c r="J414" s="235"/>
      <c r="K414" s="66"/>
    </row>
    <row r="415" ht="12.75" customHeight="1">
      <c r="A415" s="238"/>
      <c r="B415" s="235"/>
      <c r="C415" s="235"/>
      <c r="D415" s="236"/>
      <c r="E415" s="235"/>
      <c r="F415" s="235"/>
      <c r="G415" s="237"/>
      <c r="H415" s="235"/>
      <c r="I415" s="235"/>
      <c r="J415" s="235"/>
      <c r="K415" s="66"/>
    </row>
    <row r="416" ht="12.75" customHeight="1">
      <c r="A416" s="238"/>
      <c r="B416" s="235"/>
      <c r="C416" s="235"/>
      <c r="D416" s="236"/>
      <c r="E416" s="235"/>
      <c r="F416" s="235"/>
      <c r="G416" s="237"/>
      <c r="H416" s="235"/>
      <c r="I416" s="235"/>
      <c r="J416" s="235"/>
      <c r="K416" s="66"/>
    </row>
    <row r="417" ht="12.75" customHeight="1">
      <c r="A417" s="238"/>
      <c r="B417" s="235"/>
      <c r="C417" s="235"/>
      <c r="D417" s="236"/>
      <c r="E417" s="235"/>
      <c r="F417" s="235"/>
      <c r="G417" s="237"/>
      <c r="H417" s="235"/>
      <c r="I417" s="235"/>
      <c r="J417" s="235"/>
      <c r="K417" s="66"/>
    </row>
    <row r="418" ht="12.75" customHeight="1">
      <c r="A418" s="238"/>
      <c r="B418" s="235"/>
      <c r="C418" s="235"/>
      <c r="D418" s="236"/>
      <c r="E418" s="235"/>
      <c r="F418" s="235"/>
      <c r="G418" s="237"/>
      <c r="H418" s="235"/>
      <c r="I418" s="235"/>
      <c r="J418" s="235"/>
      <c r="K418" s="66"/>
    </row>
    <row r="419" ht="12.75" customHeight="1">
      <c r="A419" s="238"/>
      <c r="B419" s="235"/>
      <c r="C419" s="235"/>
      <c r="D419" s="236"/>
      <c r="E419" s="235"/>
      <c r="F419" s="235"/>
      <c r="G419" s="237"/>
      <c r="H419" s="235"/>
      <c r="I419" s="235"/>
      <c r="J419" s="235"/>
      <c r="K419" s="66"/>
    </row>
    <row r="420" ht="12.75" customHeight="1">
      <c r="A420" s="238"/>
      <c r="B420" s="235"/>
      <c r="C420" s="235"/>
      <c r="D420" s="236"/>
      <c r="E420" s="235"/>
      <c r="F420" s="235"/>
      <c r="G420" s="237"/>
      <c r="H420" s="235"/>
      <c r="I420" s="235"/>
      <c r="J420" s="235"/>
      <c r="K420" s="66"/>
    </row>
    <row r="421" ht="12.75" customHeight="1">
      <c r="A421" s="238"/>
      <c r="B421" s="235"/>
      <c r="C421" s="235"/>
      <c r="D421" s="236"/>
      <c r="E421" s="235"/>
      <c r="F421" s="235"/>
      <c r="G421" s="237"/>
      <c r="H421" s="235"/>
      <c r="I421" s="235"/>
      <c r="J421" s="235"/>
      <c r="K421" s="66"/>
    </row>
    <row r="422" ht="12.75" customHeight="1">
      <c r="A422" s="238"/>
      <c r="B422" s="235"/>
      <c r="C422" s="235"/>
      <c r="D422" s="236"/>
      <c r="E422" s="235"/>
      <c r="F422" s="235"/>
      <c r="G422" s="237"/>
      <c r="H422" s="235"/>
      <c r="I422" s="235"/>
      <c r="J422" s="235"/>
      <c r="K422" s="66"/>
    </row>
    <row r="423" ht="12.75" customHeight="1">
      <c r="A423" s="238"/>
      <c r="B423" s="235"/>
      <c r="C423" s="235"/>
      <c r="D423" s="236"/>
      <c r="E423" s="235"/>
      <c r="F423" s="235"/>
      <c r="G423" s="237"/>
      <c r="H423" s="235"/>
      <c r="I423" s="235"/>
      <c r="J423" s="235"/>
      <c r="K423" s="66"/>
    </row>
    <row r="424" ht="12.75" customHeight="1">
      <c r="A424" s="238"/>
      <c r="B424" s="235"/>
      <c r="C424" s="235"/>
      <c r="D424" s="236"/>
      <c r="E424" s="235"/>
      <c r="F424" s="235"/>
      <c r="G424" s="237"/>
      <c r="H424" s="235"/>
      <c r="I424" s="235"/>
      <c r="J424" s="235"/>
      <c r="K424" s="66"/>
    </row>
    <row r="425" ht="12.75" customHeight="1">
      <c r="A425" s="238"/>
      <c r="B425" s="235"/>
      <c r="C425" s="235"/>
      <c r="D425" s="236"/>
      <c r="E425" s="235"/>
      <c r="F425" s="235"/>
      <c r="G425" s="237"/>
      <c r="H425" s="235"/>
      <c r="I425" s="235"/>
      <c r="J425" s="235"/>
      <c r="K425" s="66"/>
    </row>
    <row r="426" ht="12.75" customHeight="1">
      <c r="A426" s="238"/>
      <c r="B426" s="235"/>
      <c r="C426" s="235"/>
      <c r="D426" s="236"/>
      <c r="E426" s="235"/>
      <c r="F426" s="235"/>
      <c r="G426" s="237"/>
      <c r="H426" s="235"/>
      <c r="I426" s="235"/>
      <c r="J426" s="235"/>
      <c r="K426" s="66"/>
    </row>
    <row r="427" ht="12.75" customHeight="1">
      <c r="A427" s="238"/>
      <c r="B427" s="235"/>
      <c r="C427" s="235"/>
      <c r="D427" s="236"/>
      <c r="E427" s="235"/>
      <c r="F427" s="235"/>
      <c r="G427" s="237"/>
      <c r="H427" s="235"/>
      <c r="I427" s="235"/>
      <c r="J427" s="235"/>
      <c r="K427" s="66"/>
    </row>
    <row r="428" ht="12.75" customHeight="1">
      <c r="A428" s="238"/>
      <c r="B428" s="235"/>
      <c r="C428" s="235"/>
      <c r="D428" s="236"/>
      <c r="E428" s="235"/>
      <c r="F428" s="235"/>
      <c r="G428" s="237"/>
      <c r="H428" s="235"/>
      <c r="I428" s="235"/>
      <c r="J428" s="235"/>
      <c r="K428" s="66"/>
    </row>
    <row r="429" ht="12.75" customHeight="1">
      <c r="A429" s="238"/>
      <c r="B429" s="235"/>
      <c r="C429" s="235"/>
      <c r="D429" s="236"/>
      <c r="E429" s="235"/>
      <c r="F429" s="235"/>
      <c r="G429" s="237"/>
      <c r="H429" s="235"/>
      <c r="I429" s="235"/>
      <c r="J429" s="235"/>
      <c r="K429" s="66"/>
    </row>
    <row r="430" ht="12.75" customHeight="1">
      <c r="A430" s="238"/>
      <c r="B430" s="235"/>
      <c r="C430" s="235"/>
      <c r="D430" s="236"/>
      <c r="E430" s="235"/>
      <c r="F430" s="235"/>
      <c r="G430" s="237"/>
      <c r="H430" s="235"/>
      <c r="I430" s="235"/>
      <c r="J430" s="235"/>
      <c r="K430" s="66"/>
    </row>
    <row r="431" ht="12.75" customHeight="1">
      <c r="A431" s="238"/>
      <c r="B431" s="235"/>
      <c r="C431" s="235"/>
      <c r="D431" s="236"/>
      <c r="E431" s="235"/>
      <c r="F431" s="235"/>
      <c r="G431" s="237"/>
      <c r="H431" s="235"/>
      <c r="I431" s="235"/>
      <c r="J431" s="235"/>
      <c r="K431" s="66"/>
    </row>
    <row r="432" ht="12.75" customHeight="1">
      <c r="A432" s="238"/>
      <c r="B432" s="235"/>
      <c r="C432" s="235"/>
      <c r="D432" s="236"/>
      <c r="E432" s="235"/>
      <c r="F432" s="235"/>
      <c r="G432" s="237"/>
      <c r="H432" s="235"/>
      <c r="I432" s="235"/>
      <c r="J432" s="235"/>
      <c r="K432" s="66"/>
    </row>
    <row r="433" ht="12.75" customHeight="1">
      <c r="A433" s="238"/>
      <c r="B433" s="235"/>
      <c r="C433" s="235"/>
      <c r="D433" s="236"/>
      <c r="E433" s="235"/>
      <c r="F433" s="235"/>
      <c r="G433" s="237"/>
      <c r="H433" s="235"/>
      <c r="I433" s="235"/>
      <c r="J433" s="235"/>
      <c r="K433" s="66"/>
    </row>
    <row r="434" ht="12.75" customHeight="1">
      <c r="A434" s="238"/>
      <c r="B434" s="235"/>
      <c r="C434" s="235"/>
      <c r="D434" s="236"/>
      <c r="E434" s="235"/>
      <c r="F434" s="235"/>
      <c r="G434" s="237"/>
      <c r="H434" s="235"/>
      <c r="I434" s="235"/>
      <c r="J434" s="235"/>
      <c r="K434" s="66"/>
    </row>
    <row r="435" ht="12.75" customHeight="1">
      <c r="A435" s="238"/>
      <c r="B435" s="235"/>
      <c r="C435" s="235"/>
      <c r="D435" s="236"/>
      <c r="E435" s="235"/>
      <c r="F435" s="235"/>
      <c r="G435" s="237"/>
      <c r="H435" s="235"/>
      <c r="I435" s="235"/>
      <c r="J435" s="235"/>
      <c r="K435" s="66"/>
    </row>
    <row r="436" ht="12.75" customHeight="1">
      <c r="A436" s="238"/>
      <c r="B436" s="235"/>
      <c r="C436" s="235"/>
      <c r="D436" s="236"/>
      <c r="E436" s="235"/>
      <c r="F436" s="235"/>
      <c r="G436" s="237"/>
      <c r="H436" s="235"/>
      <c r="I436" s="235"/>
      <c r="J436" s="235"/>
      <c r="K436" s="66"/>
    </row>
    <row r="437" ht="12.75" customHeight="1">
      <c r="A437" s="238"/>
      <c r="B437" s="235"/>
      <c r="C437" s="235"/>
      <c r="D437" s="236"/>
      <c r="E437" s="235"/>
      <c r="F437" s="235"/>
      <c r="G437" s="237"/>
      <c r="H437" s="235"/>
      <c r="I437" s="235"/>
      <c r="J437" s="235"/>
      <c r="K437" s="66"/>
    </row>
    <row r="438" ht="12.75" customHeight="1">
      <c r="A438" s="238"/>
      <c r="B438" s="235"/>
      <c r="C438" s="235"/>
      <c r="D438" s="236"/>
      <c r="E438" s="235"/>
      <c r="F438" s="235"/>
      <c r="G438" s="237"/>
      <c r="H438" s="235"/>
      <c r="I438" s="235"/>
      <c r="J438" s="235"/>
      <c r="K438" s="66"/>
    </row>
    <row r="439" ht="12.75" customHeight="1">
      <c r="A439" s="238"/>
      <c r="B439" s="235"/>
      <c r="C439" s="235"/>
      <c r="D439" s="236"/>
      <c r="E439" s="235"/>
      <c r="F439" s="235"/>
      <c r="G439" s="237"/>
      <c r="H439" s="235"/>
      <c r="I439" s="235"/>
      <c r="J439" s="235"/>
      <c r="K439" s="66"/>
    </row>
    <row r="440" ht="12.75" customHeight="1">
      <c r="A440" s="238"/>
      <c r="B440" s="235"/>
      <c r="C440" s="235"/>
      <c r="D440" s="236"/>
      <c r="E440" s="235"/>
      <c r="F440" s="235"/>
      <c r="G440" s="237"/>
      <c r="H440" s="235"/>
      <c r="I440" s="235"/>
      <c r="J440" s="235"/>
      <c r="K440" s="66"/>
    </row>
    <row r="441" ht="12.75" customHeight="1">
      <c r="A441" s="238"/>
      <c r="B441" s="235"/>
      <c r="C441" s="235"/>
      <c r="D441" s="236"/>
      <c r="E441" s="235"/>
      <c r="F441" s="235"/>
      <c r="G441" s="237"/>
      <c r="H441" s="235"/>
      <c r="I441" s="235"/>
      <c r="J441" s="235"/>
      <c r="K441" s="66"/>
    </row>
    <row r="442" ht="12.75" customHeight="1">
      <c r="A442" s="238"/>
      <c r="B442" s="235"/>
      <c r="C442" s="235"/>
      <c r="D442" s="236"/>
      <c r="E442" s="235"/>
      <c r="F442" s="235"/>
      <c r="G442" s="237"/>
      <c r="H442" s="235"/>
      <c r="I442" s="235"/>
      <c r="J442" s="235"/>
      <c r="K442" s="66"/>
    </row>
    <row r="443" ht="12.75" customHeight="1">
      <c r="A443" s="238"/>
      <c r="B443" s="235"/>
      <c r="C443" s="235"/>
      <c r="D443" s="236"/>
      <c r="E443" s="235"/>
      <c r="F443" s="235"/>
      <c r="G443" s="237"/>
      <c r="H443" s="235"/>
      <c r="I443" s="235"/>
      <c r="J443" s="235"/>
      <c r="K443" s="66"/>
    </row>
    <row r="444" ht="12.75" customHeight="1">
      <c r="A444" s="238"/>
      <c r="B444" s="235"/>
      <c r="C444" s="235"/>
      <c r="D444" s="236"/>
      <c r="E444" s="235"/>
      <c r="F444" s="235"/>
      <c r="G444" s="237"/>
      <c r="H444" s="235"/>
      <c r="I444" s="235"/>
      <c r="J444" s="235"/>
      <c r="K444" s="66"/>
    </row>
    <row r="445" ht="12.75" customHeight="1">
      <c r="A445" s="238"/>
      <c r="B445" s="235"/>
      <c r="C445" s="235"/>
      <c r="D445" s="236"/>
      <c r="E445" s="235"/>
      <c r="F445" s="235"/>
      <c r="G445" s="237"/>
      <c r="H445" s="235"/>
      <c r="I445" s="235"/>
      <c r="J445" s="235"/>
      <c r="K445" s="66"/>
    </row>
    <row r="446" ht="12.75" customHeight="1">
      <c r="A446" s="238"/>
      <c r="B446" s="235"/>
      <c r="C446" s="235"/>
      <c r="D446" s="236"/>
      <c r="E446" s="235"/>
      <c r="F446" s="235"/>
      <c r="G446" s="237"/>
      <c r="H446" s="235"/>
      <c r="I446" s="235"/>
      <c r="J446" s="235"/>
      <c r="K446" s="66"/>
    </row>
    <row r="447" ht="12.75" customHeight="1">
      <c r="A447" s="238"/>
      <c r="B447" s="235"/>
      <c r="C447" s="235"/>
      <c r="D447" s="236"/>
      <c r="E447" s="235"/>
      <c r="F447" s="235"/>
      <c r="G447" s="237"/>
      <c r="H447" s="235"/>
      <c r="I447" s="235"/>
      <c r="J447" s="235"/>
      <c r="K447" s="66"/>
    </row>
    <row r="448" ht="12.75" customHeight="1">
      <c r="A448" s="238"/>
      <c r="B448" s="235"/>
      <c r="C448" s="235"/>
      <c r="D448" s="236"/>
      <c r="E448" s="235"/>
      <c r="F448" s="235"/>
      <c r="G448" s="237"/>
      <c r="H448" s="235"/>
      <c r="I448" s="235"/>
      <c r="J448" s="235"/>
      <c r="K448" s="66"/>
    </row>
    <row r="449" ht="12.75" customHeight="1">
      <c r="A449" s="238"/>
      <c r="B449" s="235"/>
      <c r="C449" s="235"/>
      <c r="D449" s="236"/>
      <c r="E449" s="235"/>
      <c r="F449" s="235"/>
      <c r="G449" s="237"/>
      <c r="H449" s="235"/>
      <c r="I449" s="235"/>
      <c r="J449" s="235"/>
      <c r="K449" s="66"/>
    </row>
    <row r="450" ht="12.75" customHeight="1">
      <c r="A450" s="238"/>
      <c r="B450" s="235"/>
      <c r="C450" s="235"/>
      <c r="D450" s="236"/>
      <c r="E450" s="235"/>
      <c r="F450" s="235"/>
      <c r="G450" s="237"/>
      <c r="H450" s="235"/>
      <c r="I450" s="235"/>
      <c r="J450" s="235"/>
      <c r="K450" s="66"/>
    </row>
    <row r="451" ht="12.75" customHeight="1">
      <c r="A451" s="238"/>
      <c r="B451" s="235"/>
      <c r="C451" s="235"/>
      <c r="D451" s="236"/>
      <c r="E451" s="235"/>
      <c r="F451" s="235"/>
      <c r="G451" s="237"/>
      <c r="H451" s="235"/>
      <c r="I451" s="235"/>
      <c r="J451" s="235"/>
      <c r="K451" s="66"/>
    </row>
    <row r="452" ht="12.75" customHeight="1">
      <c r="A452" s="238"/>
      <c r="B452" s="235"/>
      <c r="C452" s="235"/>
      <c r="D452" s="236"/>
      <c r="E452" s="235"/>
      <c r="F452" s="235"/>
      <c r="G452" s="237"/>
      <c r="H452" s="235"/>
      <c r="I452" s="235"/>
      <c r="J452" s="235"/>
      <c r="K452" s="66"/>
    </row>
    <row r="453" ht="12.75" customHeight="1">
      <c r="A453" s="238"/>
      <c r="B453" s="235"/>
      <c r="C453" s="235"/>
      <c r="D453" s="236"/>
      <c r="E453" s="235"/>
      <c r="F453" s="235"/>
      <c r="G453" s="237"/>
      <c r="H453" s="235"/>
      <c r="I453" s="235"/>
      <c r="J453" s="235"/>
      <c r="K453" s="66"/>
    </row>
    <row r="454" ht="12.75" customHeight="1">
      <c r="A454" s="238"/>
      <c r="B454" s="235"/>
      <c r="C454" s="235"/>
      <c r="D454" s="236"/>
      <c r="E454" s="235"/>
      <c r="F454" s="235"/>
      <c r="G454" s="237"/>
      <c r="H454" s="235"/>
      <c r="I454" s="235"/>
      <c r="J454" s="235"/>
      <c r="K454" s="66"/>
    </row>
    <row r="455" ht="12.75" customHeight="1">
      <c r="A455" s="238"/>
      <c r="B455" s="235"/>
      <c r="C455" s="235"/>
      <c r="D455" s="236"/>
      <c r="E455" s="235"/>
      <c r="F455" s="235"/>
      <c r="G455" s="237"/>
      <c r="H455" s="235"/>
      <c r="I455" s="235"/>
      <c r="J455" s="235"/>
      <c r="K455" s="66"/>
    </row>
    <row r="456" ht="12.75" customHeight="1">
      <c r="A456" s="238"/>
      <c r="B456" s="235"/>
      <c r="C456" s="235"/>
      <c r="D456" s="236"/>
      <c r="E456" s="235"/>
      <c r="F456" s="235"/>
      <c r="G456" s="237"/>
      <c r="H456" s="235"/>
      <c r="I456" s="235"/>
      <c r="J456" s="235"/>
      <c r="K456" s="66"/>
    </row>
    <row r="457" ht="12.75" customHeight="1">
      <c r="A457" s="238"/>
      <c r="B457" s="235"/>
      <c r="C457" s="235"/>
      <c r="D457" s="236"/>
      <c r="E457" s="235"/>
      <c r="F457" s="235"/>
      <c r="G457" s="237"/>
      <c r="H457" s="235"/>
      <c r="I457" s="235"/>
      <c r="J457" s="235"/>
      <c r="K457" s="66"/>
    </row>
    <row r="458" ht="12.75" customHeight="1">
      <c r="A458" s="238"/>
      <c r="B458" s="235"/>
      <c r="C458" s="235"/>
      <c r="D458" s="236"/>
      <c r="E458" s="235"/>
      <c r="F458" s="235"/>
      <c r="G458" s="237"/>
      <c r="H458" s="235"/>
      <c r="I458" s="235"/>
      <c r="J458" s="235"/>
      <c r="K458" s="66"/>
    </row>
    <row r="459" ht="12.75" customHeight="1">
      <c r="A459" s="238"/>
      <c r="B459" s="235"/>
      <c r="C459" s="235"/>
      <c r="D459" s="236"/>
      <c r="E459" s="235"/>
      <c r="F459" s="235"/>
      <c r="G459" s="237"/>
      <c r="H459" s="235"/>
      <c r="I459" s="235"/>
      <c r="J459" s="235"/>
      <c r="K459" s="66"/>
    </row>
    <row r="460" ht="12.75" customHeight="1">
      <c r="A460" s="238"/>
      <c r="B460" s="235"/>
      <c r="C460" s="235"/>
      <c r="D460" s="236"/>
      <c r="E460" s="235"/>
      <c r="F460" s="235"/>
      <c r="G460" s="237"/>
      <c r="H460" s="235"/>
      <c r="I460" s="235"/>
      <c r="J460" s="235"/>
      <c r="K460" s="66"/>
    </row>
    <row r="461" ht="12.75" customHeight="1">
      <c r="A461" s="238"/>
      <c r="B461" s="235"/>
      <c r="C461" s="235"/>
      <c r="D461" s="236"/>
      <c r="E461" s="235"/>
      <c r="F461" s="235"/>
      <c r="G461" s="237"/>
      <c r="H461" s="235"/>
      <c r="I461" s="235"/>
      <c r="J461" s="235"/>
      <c r="K461" s="66"/>
    </row>
    <row r="462" ht="12.75" customHeight="1">
      <c r="A462" s="238"/>
      <c r="B462" s="235"/>
      <c r="C462" s="235"/>
      <c r="D462" s="236"/>
      <c r="E462" s="235"/>
      <c r="F462" s="235"/>
      <c r="G462" s="237"/>
      <c r="H462" s="235"/>
      <c r="I462" s="235"/>
      <c r="J462" s="235"/>
      <c r="K462" s="66"/>
    </row>
    <row r="463" ht="12.75" customHeight="1">
      <c r="A463" s="238"/>
      <c r="B463" s="235"/>
      <c r="C463" s="235"/>
      <c r="D463" s="236"/>
      <c r="E463" s="235"/>
      <c r="F463" s="235"/>
      <c r="G463" s="237"/>
      <c r="H463" s="235"/>
      <c r="I463" s="235"/>
      <c r="J463" s="235"/>
      <c r="K463" s="66"/>
    </row>
    <row r="464" ht="12.75" customHeight="1">
      <c r="A464" s="238"/>
      <c r="B464" s="235"/>
      <c r="C464" s="235"/>
      <c r="D464" s="236"/>
      <c r="E464" s="235"/>
      <c r="F464" s="235"/>
      <c r="G464" s="237"/>
      <c r="H464" s="235"/>
      <c r="I464" s="235"/>
      <c r="J464" s="235"/>
      <c r="K464" s="66"/>
    </row>
    <row r="465" ht="12.75" customHeight="1">
      <c r="A465" s="238"/>
      <c r="B465" s="235"/>
      <c r="C465" s="235"/>
      <c r="D465" s="236"/>
      <c r="E465" s="235"/>
      <c r="F465" s="235"/>
      <c r="G465" s="237"/>
      <c r="H465" s="235"/>
      <c r="I465" s="235"/>
      <c r="J465" s="235"/>
      <c r="K465" s="66"/>
    </row>
    <row r="466" ht="12.75" customHeight="1">
      <c r="A466" s="238"/>
      <c r="B466" s="235"/>
      <c r="C466" s="235"/>
      <c r="D466" s="236"/>
      <c r="E466" s="235"/>
      <c r="F466" s="235"/>
      <c r="G466" s="237"/>
      <c r="H466" s="235"/>
      <c r="I466" s="235"/>
      <c r="J466" s="235"/>
      <c r="K466" s="66"/>
    </row>
    <row r="467" ht="12.75" customHeight="1">
      <c r="A467" s="238"/>
      <c r="B467" s="235"/>
      <c r="C467" s="235"/>
      <c r="D467" s="236"/>
      <c r="E467" s="235"/>
      <c r="F467" s="235"/>
      <c r="G467" s="237"/>
      <c r="H467" s="235"/>
      <c r="I467" s="235"/>
      <c r="J467" s="235"/>
      <c r="K467" s="66"/>
    </row>
    <row r="468" ht="12.75" customHeight="1">
      <c r="A468" s="238"/>
      <c r="B468" s="235"/>
      <c r="C468" s="235"/>
      <c r="D468" s="236"/>
      <c r="E468" s="235"/>
      <c r="F468" s="235"/>
      <c r="G468" s="237"/>
      <c r="H468" s="235"/>
      <c r="I468" s="235"/>
      <c r="J468" s="235"/>
      <c r="K468" s="66"/>
    </row>
    <row r="469" ht="12.75" customHeight="1">
      <c r="A469" s="238"/>
      <c r="B469" s="235"/>
      <c r="C469" s="235"/>
      <c r="D469" s="236"/>
      <c r="E469" s="235"/>
      <c r="F469" s="235"/>
      <c r="G469" s="237"/>
      <c r="H469" s="235"/>
      <c r="I469" s="235"/>
      <c r="J469" s="235"/>
      <c r="K469" s="66"/>
    </row>
    <row r="470" ht="12.75" customHeight="1">
      <c r="A470" s="238"/>
      <c r="B470" s="235"/>
      <c r="C470" s="235"/>
      <c r="D470" s="236"/>
      <c r="E470" s="235"/>
      <c r="F470" s="235"/>
      <c r="G470" s="237"/>
      <c r="H470" s="235"/>
      <c r="I470" s="235"/>
      <c r="J470" s="235"/>
      <c r="K470" s="66"/>
    </row>
    <row r="471" ht="12.75" customHeight="1">
      <c r="A471" s="238"/>
      <c r="B471" s="235"/>
      <c r="C471" s="235"/>
      <c r="D471" s="236"/>
      <c r="E471" s="235"/>
      <c r="F471" s="235"/>
      <c r="G471" s="237"/>
      <c r="H471" s="235"/>
      <c r="I471" s="235"/>
      <c r="J471" s="235"/>
      <c r="K471" s="66"/>
    </row>
    <row r="472" ht="12.75" customHeight="1">
      <c r="A472" s="238"/>
      <c r="B472" s="235"/>
      <c r="C472" s="235"/>
      <c r="D472" s="236"/>
      <c r="E472" s="235"/>
      <c r="F472" s="235"/>
      <c r="G472" s="237"/>
      <c r="H472" s="235"/>
      <c r="I472" s="235"/>
      <c r="J472" s="235"/>
      <c r="K472" s="66"/>
    </row>
    <row r="473" ht="12.75" customHeight="1">
      <c r="A473" s="238"/>
      <c r="B473" s="235"/>
      <c r="C473" s="235"/>
      <c r="D473" s="236"/>
      <c r="E473" s="235"/>
      <c r="F473" s="235"/>
      <c r="G473" s="237"/>
      <c r="H473" s="235"/>
      <c r="I473" s="235"/>
      <c r="J473" s="235"/>
      <c r="K473" s="66"/>
    </row>
    <row r="474" ht="12.75" customHeight="1">
      <c r="A474" s="238"/>
      <c r="B474" s="235"/>
      <c r="C474" s="235"/>
      <c r="D474" s="236"/>
      <c r="E474" s="235"/>
      <c r="F474" s="235"/>
      <c r="G474" s="237"/>
      <c r="H474" s="235"/>
      <c r="I474" s="235"/>
      <c r="J474" s="235"/>
      <c r="K474" s="66"/>
    </row>
    <row r="475" ht="12.75" customHeight="1">
      <c r="A475" s="238"/>
      <c r="B475" s="235"/>
      <c r="C475" s="235"/>
      <c r="D475" s="236"/>
      <c r="E475" s="235"/>
      <c r="F475" s="235"/>
      <c r="G475" s="237"/>
      <c r="H475" s="235"/>
      <c r="I475" s="235"/>
      <c r="J475" s="235"/>
      <c r="K475" s="66"/>
    </row>
    <row r="476" ht="12.75" customHeight="1">
      <c r="A476" s="238"/>
      <c r="B476" s="235"/>
      <c r="C476" s="235"/>
      <c r="D476" s="236"/>
      <c r="E476" s="235"/>
      <c r="F476" s="235"/>
      <c r="G476" s="237"/>
      <c r="H476" s="235"/>
      <c r="I476" s="235"/>
      <c r="J476" s="235"/>
      <c r="K476" s="66"/>
    </row>
    <row r="477" ht="12.75" customHeight="1">
      <c r="A477" s="238"/>
      <c r="B477" s="235"/>
      <c r="C477" s="235"/>
      <c r="D477" s="236"/>
      <c r="E477" s="235"/>
      <c r="F477" s="235"/>
      <c r="G477" s="237"/>
      <c r="H477" s="235"/>
      <c r="I477" s="235"/>
      <c r="J477" s="235"/>
      <c r="K477" s="66"/>
    </row>
    <row r="478" ht="12.75" customHeight="1">
      <c r="A478" s="238"/>
      <c r="B478" s="235"/>
      <c r="C478" s="235"/>
      <c r="D478" s="236"/>
      <c r="E478" s="235"/>
      <c r="F478" s="235"/>
      <c r="G478" s="237"/>
      <c r="H478" s="235"/>
      <c r="I478" s="235"/>
      <c r="J478" s="235"/>
      <c r="K478" s="66"/>
    </row>
    <row r="479" ht="12.75" customHeight="1">
      <c r="A479" s="238"/>
      <c r="B479" s="235"/>
      <c r="C479" s="235"/>
      <c r="D479" s="236"/>
      <c r="E479" s="235"/>
      <c r="F479" s="235"/>
      <c r="G479" s="237"/>
      <c r="H479" s="235"/>
      <c r="I479" s="235"/>
      <c r="J479" s="235"/>
      <c r="K479" s="66"/>
    </row>
    <row r="480" ht="12.75" customHeight="1">
      <c r="A480" s="238"/>
      <c r="B480" s="235"/>
      <c r="C480" s="235"/>
      <c r="D480" s="236"/>
      <c r="E480" s="235"/>
      <c r="F480" s="235"/>
      <c r="G480" s="237"/>
      <c r="H480" s="235"/>
      <c r="I480" s="235"/>
      <c r="J480" s="235"/>
      <c r="K480" s="66"/>
    </row>
    <row r="481" ht="12.75" customHeight="1">
      <c r="A481" s="238"/>
      <c r="B481" s="235"/>
      <c r="C481" s="235"/>
      <c r="D481" s="236"/>
      <c r="E481" s="235"/>
      <c r="F481" s="235"/>
      <c r="G481" s="237"/>
      <c r="H481" s="235"/>
      <c r="I481" s="235"/>
      <c r="J481" s="235"/>
      <c r="K481" s="66"/>
    </row>
    <row r="482" ht="12.75" customHeight="1">
      <c r="A482" s="238"/>
      <c r="B482" s="235"/>
      <c r="C482" s="235"/>
      <c r="D482" s="236"/>
      <c r="E482" s="235"/>
      <c r="F482" s="235"/>
      <c r="G482" s="237"/>
      <c r="H482" s="235"/>
      <c r="I482" s="235"/>
      <c r="J482" s="235"/>
      <c r="K482" s="66"/>
    </row>
    <row r="483" ht="12.75" customHeight="1">
      <c r="A483" s="238"/>
      <c r="B483" s="235"/>
      <c r="C483" s="235"/>
      <c r="D483" s="236"/>
      <c r="E483" s="235"/>
      <c r="F483" s="235"/>
      <c r="G483" s="237"/>
      <c r="H483" s="235"/>
      <c r="I483" s="235"/>
      <c r="J483" s="235"/>
      <c r="K483" s="66"/>
    </row>
    <row r="484" ht="12.75" customHeight="1">
      <c r="A484" s="238"/>
      <c r="B484" s="235"/>
      <c r="C484" s="235"/>
      <c r="D484" s="236"/>
      <c r="E484" s="235"/>
      <c r="F484" s="235"/>
      <c r="G484" s="237"/>
      <c r="H484" s="235"/>
      <c r="I484" s="235"/>
      <c r="J484" s="235"/>
      <c r="K484" s="66"/>
    </row>
    <row r="485" ht="12.75" customHeight="1">
      <c r="A485" s="238"/>
      <c r="B485" s="235"/>
      <c r="C485" s="235"/>
      <c r="D485" s="236"/>
      <c r="E485" s="235"/>
      <c r="F485" s="235"/>
      <c r="G485" s="237"/>
      <c r="H485" s="235"/>
      <c r="I485" s="235"/>
      <c r="J485" s="235"/>
      <c r="K485" s="66"/>
    </row>
    <row r="486" ht="12.75" customHeight="1">
      <c r="A486" s="238"/>
      <c r="B486" s="235"/>
      <c r="C486" s="235"/>
      <c r="D486" s="236"/>
      <c r="E486" s="235"/>
      <c r="F486" s="235"/>
      <c r="G486" s="237"/>
      <c r="H486" s="235"/>
      <c r="I486" s="235"/>
      <c r="J486" s="235"/>
      <c r="K486" s="66"/>
    </row>
    <row r="487" ht="12.75" customHeight="1">
      <c r="A487" s="238"/>
      <c r="B487" s="235"/>
      <c r="C487" s="235"/>
      <c r="D487" s="236"/>
      <c r="E487" s="235"/>
      <c r="F487" s="235"/>
      <c r="G487" s="237"/>
      <c r="H487" s="235"/>
      <c r="I487" s="235"/>
      <c r="J487" s="235"/>
      <c r="K487" s="66"/>
    </row>
    <row r="488" ht="12.75" customHeight="1">
      <c r="A488" s="238"/>
      <c r="B488" s="235"/>
      <c r="C488" s="235"/>
      <c r="D488" s="236"/>
      <c r="E488" s="235"/>
      <c r="F488" s="235"/>
      <c r="G488" s="237"/>
      <c r="H488" s="235"/>
      <c r="I488" s="235"/>
      <c r="J488" s="235"/>
      <c r="K488" s="66"/>
    </row>
    <row r="489" ht="12.75" customHeight="1">
      <c r="A489" s="238"/>
      <c r="B489" s="235"/>
      <c r="C489" s="235"/>
      <c r="D489" s="236"/>
      <c r="E489" s="235"/>
      <c r="F489" s="235"/>
      <c r="G489" s="237"/>
      <c r="H489" s="235"/>
      <c r="I489" s="235"/>
      <c r="J489" s="235"/>
      <c r="K489" s="66"/>
    </row>
    <row r="490" ht="12.75" customHeight="1">
      <c r="A490" s="238"/>
      <c r="B490" s="235"/>
      <c r="C490" s="235"/>
      <c r="D490" s="236"/>
      <c r="E490" s="235"/>
      <c r="F490" s="235"/>
      <c r="G490" s="237"/>
      <c r="H490" s="235"/>
      <c r="I490" s="235"/>
      <c r="J490" s="235"/>
      <c r="K490" s="66"/>
    </row>
    <row r="491" ht="12.75" customHeight="1">
      <c r="A491" s="238"/>
      <c r="B491" s="235"/>
      <c r="C491" s="235"/>
      <c r="D491" s="236"/>
      <c r="E491" s="235"/>
      <c r="F491" s="235"/>
      <c r="G491" s="237"/>
      <c r="H491" s="235"/>
      <c r="I491" s="235"/>
      <c r="J491" s="235"/>
      <c r="K491" s="66"/>
    </row>
    <row r="492" ht="12.75" customHeight="1">
      <c r="A492" s="238"/>
      <c r="B492" s="235"/>
      <c r="C492" s="235"/>
      <c r="D492" s="236"/>
      <c r="E492" s="235"/>
      <c r="F492" s="235"/>
      <c r="G492" s="237"/>
      <c r="H492" s="235"/>
      <c r="I492" s="235"/>
      <c r="J492" s="235"/>
      <c r="K492" s="66"/>
    </row>
    <row r="493" ht="12.75" customHeight="1">
      <c r="A493" s="238"/>
      <c r="B493" s="235"/>
      <c r="C493" s="235"/>
      <c r="D493" s="236"/>
      <c r="E493" s="235"/>
      <c r="F493" s="235"/>
      <c r="G493" s="237"/>
      <c r="H493" s="235"/>
      <c r="I493" s="235"/>
      <c r="J493" s="235"/>
      <c r="K493" s="66"/>
    </row>
    <row r="494" ht="12.75" customHeight="1">
      <c r="A494" s="238"/>
      <c r="B494" s="235"/>
      <c r="C494" s="235"/>
      <c r="D494" s="236"/>
      <c r="E494" s="235"/>
      <c r="F494" s="235"/>
      <c r="G494" s="237"/>
      <c r="H494" s="235"/>
      <c r="I494" s="235"/>
      <c r="J494" s="235"/>
      <c r="K494" s="66"/>
    </row>
    <row r="495" ht="12.75" customHeight="1">
      <c r="A495" s="238"/>
      <c r="B495" s="235"/>
      <c r="C495" s="235"/>
      <c r="D495" s="236"/>
      <c r="E495" s="235"/>
      <c r="F495" s="235"/>
      <c r="G495" s="237"/>
      <c r="H495" s="235"/>
      <c r="I495" s="235"/>
      <c r="J495" s="235"/>
      <c r="K495" s="66"/>
    </row>
    <row r="496" ht="12.75" customHeight="1">
      <c r="A496" s="238"/>
      <c r="B496" s="235"/>
      <c r="C496" s="235"/>
      <c r="D496" s="236"/>
      <c r="E496" s="235"/>
      <c r="F496" s="235"/>
      <c r="G496" s="237"/>
      <c r="H496" s="235"/>
      <c r="I496" s="235"/>
      <c r="J496" s="235"/>
      <c r="K496" s="66"/>
    </row>
    <row r="497" ht="12.75" customHeight="1">
      <c r="A497" s="238"/>
      <c r="B497" s="235"/>
      <c r="C497" s="235"/>
      <c r="D497" s="236"/>
      <c r="E497" s="235"/>
      <c r="F497" s="235"/>
      <c r="G497" s="237"/>
      <c r="H497" s="235"/>
      <c r="I497" s="235"/>
      <c r="J497" s="235"/>
      <c r="K497" s="66"/>
    </row>
    <row r="498" ht="12.75" customHeight="1">
      <c r="A498" s="238"/>
      <c r="B498" s="235"/>
      <c r="C498" s="235"/>
      <c r="D498" s="236"/>
      <c r="E498" s="235"/>
      <c r="F498" s="235"/>
      <c r="G498" s="237"/>
      <c r="H498" s="235"/>
      <c r="I498" s="235"/>
      <c r="J498" s="235"/>
      <c r="K498" s="66"/>
    </row>
    <row r="499" ht="12.75" customHeight="1">
      <c r="A499" s="238"/>
      <c r="B499" s="235"/>
      <c r="C499" s="235"/>
      <c r="D499" s="236"/>
      <c r="E499" s="235"/>
      <c r="F499" s="235"/>
      <c r="G499" s="237"/>
      <c r="H499" s="235"/>
      <c r="I499" s="235"/>
      <c r="J499" s="235"/>
      <c r="K499" s="66"/>
    </row>
    <row r="500" ht="12.75" customHeight="1">
      <c r="A500" s="238"/>
      <c r="B500" s="235"/>
      <c r="C500" s="235"/>
      <c r="D500" s="236"/>
      <c r="E500" s="235"/>
      <c r="F500" s="235"/>
      <c r="G500" s="237"/>
      <c r="H500" s="235"/>
      <c r="I500" s="235"/>
      <c r="J500" s="235"/>
      <c r="K500" s="66"/>
    </row>
    <row r="501" ht="12.75" customHeight="1">
      <c r="A501" s="238"/>
      <c r="B501" s="235"/>
      <c r="C501" s="235"/>
      <c r="D501" s="236"/>
      <c r="E501" s="235"/>
      <c r="F501" s="235"/>
      <c r="G501" s="237"/>
      <c r="H501" s="235"/>
      <c r="I501" s="235"/>
      <c r="J501" s="235"/>
      <c r="K501" s="66"/>
    </row>
    <row r="502" ht="12.75" customHeight="1">
      <c r="A502" s="238"/>
      <c r="B502" s="235"/>
      <c r="C502" s="235"/>
      <c r="D502" s="236"/>
      <c r="E502" s="235"/>
      <c r="F502" s="235"/>
      <c r="G502" s="237"/>
      <c r="H502" s="235"/>
      <c r="I502" s="235"/>
      <c r="J502" s="235"/>
      <c r="K502" s="66"/>
    </row>
    <row r="503" ht="12.75" customHeight="1">
      <c r="A503" s="238"/>
      <c r="B503" s="235"/>
      <c r="C503" s="235"/>
      <c r="D503" s="236"/>
      <c r="E503" s="235"/>
      <c r="F503" s="235"/>
      <c r="G503" s="237"/>
      <c r="H503" s="235"/>
      <c r="I503" s="235"/>
      <c r="J503" s="235"/>
      <c r="K503" s="66"/>
    </row>
    <row r="504" ht="12.75" customHeight="1">
      <c r="A504" s="238"/>
      <c r="B504" s="235"/>
      <c r="C504" s="235"/>
      <c r="D504" s="236"/>
      <c r="E504" s="235"/>
      <c r="F504" s="235"/>
      <c r="G504" s="237"/>
      <c r="H504" s="235"/>
      <c r="I504" s="235"/>
      <c r="J504" s="235"/>
      <c r="K504" s="66"/>
    </row>
    <row r="505" ht="12.75" customHeight="1">
      <c r="A505" s="238"/>
      <c r="B505" s="235"/>
      <c r="C505" s="235"/>
      <c r="D505" s="236"/>
      <c r="E505" s="235"/>
      <c r="F505" s="235"/>
      <c r="G505" s="237"/>
      <c r="H505" s="235"/>
      <c r="I505" s="235"/>
      <c r="J505" s="235"/>
      <c r="K505" s="66"/>
    </row>
    <row r="506" ht="12.75" customHeight="1">
      <c r="A506" s="238"/>
      <c r="B506" s="235"/>
      <c r="C506" s="235"/>
      <c r="D506" s="236"/>
      <c r="E506" s="235"/>
      <c r="F506" s="235"/>
      <c r="G506" s="237"/>
      <c r="H506" s="235"/>
      <c r="I506" s="235"/>
      <c r="J506" s="235"/>
      <c r="K506" s="66"/>
    </row>
    <row r="507" ht="12.75" customHeight="1">
      <c r="A507" s="238"/>
      <c r="B507" s="235"/>
      <c r="C507" s="235"/>
      <c r="D507" s="236"/>
      <c r="E507" s="235"/>
      <c r="F507" s="235"/>
      <c r="G507" s="237"/>
      <c r="H507" s="235"/>
      <c r="I507" s="235"/>
      <c r="J507" s="235"/>
      <c r="K507" s="66"/>
    </row>
    <row r="508" ht="12.75" customHeight="1">
      <c r="A508" s="238"/>
      <c r="B508" s="235"/>
      <c r="C508" s="235"/>
      <c r="D508" s="236"/>
      <c r="E508" s="235"/>
      <c r="F508" s="235"/>
      <c r="G508" s="237"/>
      <c r="H508" s="235"/>
      <c r="I508" s="235"/>
      <c r="J508" s="235"/>
      <c r="K508" s="66"/>
    </row>
    <row r="509" ht="12.75" customHeight="1">
      <c r="A509" s="238"/>
      <c r="B509" s="235"/>
      <c r="C509" s="235"/>
      <c r="D509" s="236"/>
      <c r="E509" s="235"/>
      <c r="F509" s="235"/>
      <c r="G509" s="237"/>
      <c r="H509" s="235"/>
      <c r="I509" s="235"/>
      <c r="J509" s="235"/>
      <c r="K509" s="66"/>
    </row>
    <row r="510" ht="12.75" customHeight="1">
      <c r="A510" s="238"/>
      <c r="B510" s="235"/>
      <c r="C510" s="235"/>
      <c r="D510" s="236"/>
      <c r="E510" s="235"/>
      <c r="F510" s="235"/>
      <c r="G510" s="237"/>
      <c r="H510" s="235"/>
      <c r="I510" s="235"/>
      <c r="J510" s="235"/>
      <c r="K510" s="66"/>
    </row>
    <row r="511" ht="12.75" customHeight="1">
      <c r="A511" s="238"/>
      <c r="B511" s="235"/>
      <c r="C511" s="235"/>
      <c r="D511" s="236"/>
      <c r="E511" s="235"/>
      <c r="F511" s="235"/>
      <c r="G511" s="237"/>
      <c r="H511" s="235"/>
      <c r="I511" s="235"/>
      <c r="J511" s="235"/>
      <c r="K511" s="66"/>
    </row>
    <row r="512" ht="12.75" customHeight="1">
      <c r="A512" s="238"/>
      <c r="B512" s="235"/>
      <c r="C512" s="235"/>
      <c r="D512" s="236"/>
      <c r="E512" s="235"/>
      <c r="F512" s="235"/>
      <c r="G512" s="237"/>
      <c r="H512" s="235"/>
      <c r="I512" s="235"/>
      <c r="J512" s="235"/>
      <c r="K512" s="66"/>
    </row>
    <row r="513" ht="12.75" customHeight="1">
      <c r="A513" s="238"/>
      <c r="B513" s="235"/>
      <c r="C513" s="235"/>
      <c r="D513" s="236"/>
      <c r="E513" s="235"/>
      <c r="F513" s="235"/>
      <c r="G513" s="237"/>
      <c r="H513" s="235"/>
      <c r="I513" s="235"/>
      <c r="J513" s="235"/>
      <c r="K513" s="66"/>
    </row>
    <row r="514" ht="12.75" customHeight="1">
      <c r="A514" s="238"/>
      <c r="B514" s="235"/>
      <c r="C514" s="235"/>
      <c r="D514" s="236"/>
      <c r="E514" s="235"/>
      <c r="F514" s="235"/>
      <c r="G514" s="237"/>
      <c r="H514" s="235"/>
      <c r="I514" s="235"/>
      <c r="J514" s="235"/>
      <c r="K514" s="66"/>
    </row>
    <row r="515" ht="12.75" customHeight="1">
      <c r="A515" s="238"/>
      <c r="B515" s="235"/>
      <c r="C515" s="235"/>
      <c r="D515" s="236"/>
      <c r="E515" s="235"/>
      <c r="F515" s="235"/>
      <c r="G515" s="237"/>
      <c r="H515" s="235"/>
      <c r="I515" s="235"/>
      <c r="J515" s="235"/>
      <c r="K515" s="66"/>
    </row>
    <row r="516" ht="12.75" customHeight="1">
      <c r="A516" s="238"/>
      <c r="B516" s="235"/>
      <c r="C516" s="235"/>
      <c r="D516" s="236"/>
      <c r="E516" s="235"/>
      <c r="F516" s="235"/>
      <c r="G516" s="237"/>
      <c r="H516" s="235"/>
      <c r="I516" s="235"/>
      <c r="J516" s="235"/>
      <c r="K516" s="66"/>
    </row>
    <row r="517" ht="12.75" customHeight="1">
      <c r="A517" s="238"/>
      <c r="B517" s="235"/>
      <c r="C517" s="235"/>
      <c r="D517" s="236"/>
      <c r="E517" s="235"/>
      <c r="F517" s="235"/>
      <c r="G517" s="237"/>
      <c r="H517" s="235"/>
      <c r="I517" s="235"/>
      <c r="J517" s="235"/>
      <c r="K517" s="66"/>
    </row>
    <row r="518" ht="12.75" customHeight="1">
      <c r="A518" s="238"/>
      <c r="B518" s="235"/>
      <c r="C518" s="235"/>
      <c r="D518" s="236"/>
      <c r="E518" s="235"/>
      <c r="F518" s="235"/>
      <c r="G518" s="237"/>
      <c r="H518" s="235"/>
      <c r="I518" s="235"/>
      <c r="J518" s="235"/>
      <c r="K518" s="66"/>
    </row>
    <row r="519" ht="12.75" customHeight="1">
      <c r="A519" s="238"/>
      <c r="B519" s="235"/>
      <c r="C519" s="235"/>
      <c r="D519" s="236"/>
      <c r="E519" s="235"/>
      <c r="F519" s="235"/>
      <c r="G519" s="237"/>
      <c r="H519" s="235"/>
      <c r="I519" s="235"/>
      <c r="J519" s="235"/>
      <c r="K519" s="66"/>
    </row>
    <row r="520" ht="12.75" customHeight="1">
      <c r="A520" s="238"/>
      <c r="B520" s="235"/>
      <c r="C520" s="235"/>
      <c r="D520" s="236"/>
      <c r="E520" s="235"/>
      <c r="F520" s="235"/>
      <c r="G520" s="237"/>
      <c r="H520" s="235"/>
      <c r="I520" s="235"/>
      <c r="J520" s="235"/>
      <c r="K520" s="66"/>
    </row>
    <row r="521" ht="12.75" customHeight="1">
      <c r="A521" s="238"/>
      <c r="B521" s="235"/>
      <c r="C521" s="235"/>
      <c r="D521" s="236"/>
      <c r="E521" s="235"/>
      <c r="F521" s="235"/>
      <c r="G521" s="237"/>
      <c r="H521" s="235"/>
      <c r="I521" s="235"/>
      <c r="J521" s="235"/>
      <c r="K521" s="66"/>
    </row>
    <row r="522" ht="12.75" customHeight="1">
      <c r="A522" s="238"/>
      <c r="B522" s="235"/>
      <c r="C522" s="235"/>
      <c r="D522" s="236"/>
      <c r="E522" s="235"/>
      <c r="F522" s="235"/>
      <c r="G522" s="237"/>
      <c r="H522" s="235"/>
      <c r="I522" s="235"/>
      <c r="J522" s="235"/>
      <c r="K522" s="66"/>
    </row>
    <row r="523" ht="12.75" customHeight="1">
      <c r="A523" s="238"/>
      <c r="B523" s="235"/>
      <c r="C523" s="235"/>
      <c r="D523" s="236"/>
      <c r="E523" s="235"/>
      <c r="F523" s="235"/>
      <c r="G523" s="237"/>
      <c r="H523" s="235"/>
      <c r="I523" s="235"/>
      <c r="J523" s="235"/>
      <c r="K523" s="66"/>
    </row>
    <row r="524" ht="12.75" customHeight="1">
      <c r="A524" s="238"/>
      <c r="B524" s="235"/>
      <c r="C524" s="235"/>
      <c r="D524" s="236"/>
      <c r="E524" s="235"/>
      <c r="F524" s="235"/>
      <c r="G524" s="237"/>
      <c r="H524" s="235"/>
      <c r="I524" s="235"/>
      <c r="J524" s="235"/>
      <c r="K524" s="66"/>
    </row>
    <row r="525" ht="12.75" customHeight="1">
      <c r="A525" s="238"/>
      <c r="B525" s="235"/>
      <c r="C525" s="235"/>
      <c r="D525" s="236"/>
      <c r="E525" s="235"/>
      <c r="F525" s="235"/>
      <c r="G525" s="237"/>
      <c r="H525" s="235"/>
      <c r="I525" s="235"/>
      <c r="J525" s="235"/>
      <c r="K525" s="66"/>
    </row>
    <row r="526" ht="12.75" customHeight="1">
      <c r="A526" s="238"/>
      <c r="B526" s="235"/>
      <c r="C526" s="235"/>
      <c r="D526" s="236"/>
      <c r="E526" s="235"/>
      <c r="F526" s="235"/>
      <c r="G526" s="237"/>
      <c r="H526" s="235"/>
      <c r="I526" s="235"/>
      <c r="J526" s="235"/>
      <c r="K526" s="66"/>
    </row>
    <row r="527" ht="12.75" customHeight="1">
      <c r="A527" s="238"/>
      <c r="B527" s="235"/>
      <c r="C527" s="235"/>
      <c r="D527" s="236"/>
      <c r="E527" s="235"/>
      <c r="F527" s="235"/>
      <c r="G527" s="237"/>
      <c r="H527" s="235"/>
      <c r="I527" s="235"/>
      <c r="J527" s="235"/>
      <c r="K527" s="66"/>
    </row>
    <row r="528" ht="12.75" customHeight="1">
      <c r="A528" s="238"/>
      <c r="B528" s="235"/>
      <c r="C528" s="235"/>
      <c r="D528" s="236"/>
      <c r="E528" s="235"/>
      <c r="F528" s="235"/>
      <c r="G528" s="237"/>
      <c r="H528" s="235"/>
      <c r="I528" s="235"/>
      <c r="J528" s="235"/>
      <c r="K528" s="66"/>
    </row>
    <row r="529" ht="12.75" customHeight="1">
      <c r="A529" s="238"/>
      <c r="B529" s="235"/>
      <c r="C529" s="235"/>
      <c r="D529" s="236"/>
      <c r="E529" s="235"/>
      <c r="F529" s="235"/>
      <c r="G529" s="237"/>
      <c r="H529" s="235"/>
      <c r="I529" s="235"/>
      <c r="J529" s="235"/>
      <c r="K529" s="66"/>
    </row>
    <row r="530" ht="12.75" customHeight="1">
      <c r="A530" s="238"/>
      <c r="B530" s="235"/>
      <c r="C530" s="235"/>
      <c r="D530" s="236"/>
      <c r="E530" s="235"/>
      <c r="F530" s="235"/>
      <c r="G530" s="237"/>
      <c r="H530" s="235"/>
      <c r="I530" s="235"/>
      <c r="J530" s="235"/>
      <c r="K530" s="66"/>
    </row>
    <row r="531" ht="12.75" customHeight="1">
      <c r="A531" s="238"/>
      <c r="B531" s="235"/>
      <c r="C531" s="235"/>
      <c r="D531" s="236"/>
      <c r="E531" s="235"/>
      <c r="F531" s="235"/>
      <c r="G531" s="237"/>
      <c r="H531" s="235"/>
      <c r="I531" s="235"/>
      <c r="J531" s="235"/>
      <c r="K531" s="66"/>
    </row>
    <row r="532" ht="12.75" customHeight="1">
      <c r="A532" s="238"/>
      <c r="B532" s="235"/>
      <c r="C532" s="235"/>
      <c r="D532" s="236"/>
      <c r="E532" s="235"/>
      <c r="F532" s="235"/>
      <c r="G532" s="237"/>
      <c r="H532" s="235"/>
      <c r="I532" s="235"/>
      <c r="J532" s="235"/>
      <c r="K532" s="66"/>
    </row>
    <row r="533" ht="12.75" customHeight="1">
      <c r="A533" s="238"/>
      <c r="B533" s="235"/>
      <c r="C533" s="235"/>
      <c r="D533" s="236"/>
      <c r="E533" s="235"/>
      <c r="F533" s="235"/>
      <c r="G533" s="237"/>
      <c r="H533" s="235"/>
      <c r="I533" s="235"/>
      <c r="J533" s="235"/>
      <c r="K533" s="66"/>
    </row>
    <row r="534" ht="12.75" customHeight="1">
      <c r="A534" s="238"/>
      <c r="B534" s="235"/>
      <c r="C534" s="235"/>
      <c r="D534" s="236"/>
      <c r="E534" s="235"/>
      <c r="F534" s="235"/>
      <c r="G534" s="237"/>
      <c r="H534" s="235"/>
      <c r="I534" s="235"/>
      <c r="J534" s="235"/>
      <c r="K534" s="66"/>
    </row>
    <row r="535" ht="12.75" customHeight="1">
      <c r="A535" s="238"/>
      <c r="B535" s="235"/>
      <c r="C535" s="235"/>
      <c r="D535" s="236"/>
      <c r="E535" s="235"/>
      <c r="F535" s="235"/>
      <c r="G535" s="237"/>
      <c r="H535" s="235"/>
      <c r="I535" s="235"/>
      <c r="J535" s="235"/>
      <c r="K535" s="66"/>
    </row>
    <row r="536" ht="12.75" customHeight="1">
      <c r="A536" s="238"/>
      <c r="B536" s="235"/>
      <c r="C536" s="235"/>
      <c r="D536" s="236"/>
      <c r="E536" s="235"/>
      <c r="F536" s="235"/>
      <c r="G536" s="237"/>
      <c r="H536" s="235"/>
      <c r="I536" s="235"/>
      <c r="J536" s="235"/>
      <c r="K536" s="66"/>
    </row>
    <row r="537" ht="12.75" customHeight="1">
      <c r="A537" s="238"/>
      <c r="B537" s="235"/>
      <c r="C537" s="235"/>
      <c r="D537" s="236"/>
      <c r="E537" s="235"/>
      <c r="F537" s="235"/>
      <c r="G537" s="237"/>
      <c r="H537" s="235"/>
      <c r="I537" s="235"/>
      <c r="J537" s="235"/>
      <c r="K537" s="66"/>
    </row>
    <row r="538" ht="12.75" customHeight="1">
      <c r="A538" s="238"/>
      <c r="B538" s="235"/>
      <c r="C538" s="235"/>
      <c r="D538" s="236"/>
      <c r="E538" s="235"/>
      <c r="F538" s="235"/>
      <c r="G538" s="237"/>
      <c r="H538" s="235"/>
      <c r="I538" s="235"/>
      <c r="J538" s="235"/>
      <c r="K538" s="66"/>
    </row>
    <row r="539" ht="12.75" customHeight="1">
      <c r="A539" s="238"/>
      <c r="B539" s="235"/>
      <c r="C539" s="235"/>
      <c r="D539" s="236"/>
      <c r="E539" s="235"/>
      <c r="F539" s="235"/>
      <c r="G539" s="237"/>
      <c r="H539" s="235"/>
      <c r="I539" s="235"/>
      <c r="J539" s="235"/>
      <c r="K539" s="66"/>
    </row>
    <row r="540" ht="12.75" customHeight="1">
      <c r="A540" s="238"/>
      <c r="B540" s="235"/>
      <c r="C540" s="235"/>
      <c r="D540" s="236"/>
      <c r="E540" s="235"/>
      <c r="F540" s="235"/>
      <c r="G540" s="237"/>
      <c r="H540" s="235"/>
      <c r="I540" s="235"/>
      <c r="J540" s="235"/>
      <c r="K540" s="66"/>
    </row>
    <row r="541" ht="12.75" customHeight="1">
      <c r="A541" s="238"/>
      <c r="B541" s="235"/>
      <c r="C541" s="235"/>
      <c r="D541" s="236"/>
      <c r="E541" s="235"/>
      <c r="F541" s="235"/>
      <c r="G541" s="237"/>
      <c r="H541" s="235"/>
      <c r="I541" s="235"/>
      <c r="J541" s="235"/>
      <c r="K541" s="66"/>
    </row>
    <row r="542" ht="12.75" customHeight="1">
      <c r="A542" s="238"/>
      <c r="B542" s="235"/>
      <c r="C542" s="235"/>
      <c r="D542" s="236"/>
      <c r="E542" s="235"/>
      <c r="F542" s="235"/>
      <c r="G542" s="237"/>
      <c r="H542" s="235"/>
      <c r="I542" s="235"/>
      <c r="J542" s="235"/>
      <c r="K542" s="66"/>
    </row>
    <row r="543" ht="12.75" customHeight="1">
      <c r="A543" s="238"/>
      <c r="B543" s="235"/>
      <c r="C543" s="235"/>
      <c r="D543" s="236"/>
      <c r="E543" s="235"/>
      <c r="F543" s="235"/>
      <c r="G543" s="237"/>
      <c r="H543" s="235"/>
      <c r="I543" s="235"/>
      <c r="J543" s="235"/>
      <c r="K543" s="66"/>
    </row>
    <row r="544" ht="12.75" customHeight="1">
      <c r="A544" s="238"/>
      <c r="B544" s="235"/>
      <c r="C544" s="235"/>
      <c r="D544" s="236"/>
      <c r="E544" s="235"/>
      <c r="F544" s="235"/>
      <c r="G544" s="237"/>
      <c r="H544" s="235"/>
      <c r="I544" s="235"/>
      <c r="J544" s="235"/>
      <c r="K544" s="66"/>
    </row>
    <row r="545" ht="12.75" customHeight="1">
      <c r="A545" s="238"/>
      <c r="B545" s="235"/>
      <c r="C545" s="235"/>
      <c r="D545" s="236"/>
      <c r="E545" s="235"/>
      <c r="F545" s="235"/>
      <c r="G545" s="237"/>
      <c r="H545" s="235"/>
      <c r="I545" s="235"/>
      <c r="J545" s="235"/>
      <c r="K545" s="66"/>
    </row>
    <row r="546" ht="12.75" customHeight="1">
      <c r="A546" s="238"/>
      <c r="B546" s="235"/>
      <c r="C546" s="235"/>
      <c r="D546" s="236"/>
      <c r="E546" s="235"/>
      <c r="F546" s="235"/>
      <c r="G546" s="237"/>
      <c r="H546" s="235"/>
      <c r="I546" s="235"/>
      <c r="J546" s="235"/>
      <c r="K546" s="66"/>
    </row>
    <row r="547" ht="12.75" customHeight="1">
      <c r="A547" s="238"/>
      <c r="B547" s="235"/>
      <c r="C547" s="235"/>
      <c r="D547" s="236"/>
      <c r="E547" s="235"/>
      <c r="F547" s="235"/>
      <c r="G547" s="237"/>
      <c r="H547" s="235"/>
      <c r="I547" s="235"/>
      <c r="J547" s="235"/>
      <c r="K547" s="66"/>
    </row>
    <row r="548" ht="12.75" customHeight="1">
      <c r="A548" s="238"/>
      <c r="B548" s="235"/>
      <c r="C548" s="235"/>
      <c r="D548" s="236"/>
      <c r="E548" s="235"/>
      <c r="F548" s="235"/>
      <c r="G548" s="237"/>
      <c r="H548" s="235"/>
      <c r="I548" s="235"/>
      <c r="J548" s="235"/>
      <c r="K548" s="66"/>
    </row>
    <row r="549" ht="12.75" customHeight="1">
      <c r="A549" s="238"/>
      <c r="B549" s="235"/>
      <c r="C549" s="235"/>
      <c r="D549" s="236"/>
      <c r="E549" s="235"/>
      <c r="F549" s="235"/>
      <c r="G549" s="237"/>
      <c r="H549" s="235"/>
      <c r="I549" s="235"/>
      <c r="J549" s="235"/>
      <c r="K549" s="66"/>
    </row>
    <row r="550" ht="12.75" customHeight="1">
      <c r="A550" s="238"/>
      <c r="B550" s="235"/>
      <c r="C550" s="235"/>
      <c r="D550" s="236"/>
      <c r="E550" s="235"/>
      <c r="F550" s="235"/>
      <c r="G550" s="237"/>
      <c r="H550" s="235"/>
      <c r="I550" s="235"/>
      <c r="J550" s="235"/>
      <c r="K550" s="66"/>
    </row>
    <row r="551" ht="12.75" customHeight="1">
      <c r="A551" s="238"/>
      <c r="B551" s="235"/>
      <c r="C551" s="235"/>
      <c r="D551" s="236"/>
      <c r="E551" s="235"/>
      <c r="F551" s="235"/>
      <c r="G551" s="237"/>
      <c r="H551" s="235"/>
      <c r="I551" s="235"/>
      <c r="J551" s="235"/>
      <c r="K551" s="66"/>
    </row>
    <row r="552" ht="12.75" customHeight="1">
      <c r="A552" s="238"/>
      <c r="B552" s="235"/>
      <c r="C552" s="235"/>
      <c r="D552" s="236"/>
      <c r="E552" s="235"/>
      <c r="F552" s="235"/>
      <c r="G552" s="237"/>
      <c r="H552" s="235"/>
      <c r="I552" s="235"/>
      <c r="J552" s="235"/>
      <c r="K552" s="66"/>
    </row>
    <row r="553" ht="12.75" customHeight="1">
      <c r="A553" s="238"/>
      <c r="B553" s="235"/>
      <c r="C553" s="235"/>
      <c r="D553" s="236"/>
      <c r="E553" s="235"/>
      <c r="F553" s="235"/>
      <c r="G553" s="237"/>
      <c r="H553" s="235"/>
      <c r="I553" s="235"/>
      <c r="J553" s="235"/>
      <c r="K553" s="66"/>
    </row>
    <row r="554" ht="12.75" customHeight="1">
      <c r="A554" s="238"/>
      <c r="B554" s="235"/>
      <c r="C554" s="235"/>
      <c r="D554" s="236"/>
      <c r="E554" s="235"/>
      <c r="F554" s="235"/>
      <c r="G554" s="237"/>
      <c r="H554" s="235"/>
      <c r="I554" s="235"/>
      <c r="J554" s="235"/>
      <c r="K554" s="66"/>
    </row>
    <row r="555" ht="12.75" customHeight="1">
      <c r="A555" s="238"/>
      <c r="B555" s="235"/>
      <c r="C555" s="235"/>
      <c r="D555" s="236"/>
      <c r="E555" s="235"/>
      <c r="F555" s="235"/>
      <c r="G555" s="237"/>
      <c r="H555" s="235"/>
      <c r="I555" s="235"/>
      <c r="J555" s="235"/>
      <c r="K555" s="66"/>
    </row>
    <row r="556" ht="12.75" customHeight="1">
      <c r="A556" s="238"/>
      <c r="B556" s="235"/>
      <c r="C556" s="235"/>
      <c r="D556" s="236"/>
      <c r="E556" s="235"/>
      <c r="F556" s="235"/>
      <c r="G556" s="237"/>
      <c r="H556" s="235"/>
      <c r="I556" s="235"/>
      <c r="J556" s="235"/>
      <c r="K556" s="66"/>
    </row>
    <row r="557" ht="12.75" customHeight="1">
      <c r="A557" s="238"/>
      <c r="B557" s="235"/>
      <c r="C557" s="235"/>
      <c r="D557" s="236"/>
      <c r="E557" s="235"/>
      <c r="F557" s="235"/>
      <c r="G557" s="237"/>
      <c r="H557" s="235"/>
      <c r="I557" s="235"/>
      <c r="J557" s="235"/>
      <c r="K557" s="66"/>
    </row>
    <row r="558" ht="12.75" customHeight="1">
      <c r="A558" s="238"/>
      <c r="B558" s="235"/>
      <c r="C558" s="235"/>
      <c r="D558" s="236"/>
      <c r="E558" s="235"/>
      <c r="F558" s="235"/>
      <c r="G558" s="237"/>
      <c r="H558" s="235"/>
      <c r="I558" s="235"/>
      <c r="J558" s="235"/>
      <c r="K558" s="66"/>
    </row>
    <row r="559" ht="12.75" customHeight="1">
      <c r="A559" s="238"/>
      <c r="B559" s="235"/>
      <c r="C559" s="235"/>
      <c r="D559" s="236"/>
      <c r="E559" s="235"/>
      <c r="F559" s="235"/>
      <c r="G559" s="237"/>
      <c r="H559" s="235"/>
      <c r="I559" s="235"/>
      <c r="J559" s="235"/>
      <c r="K559" s="66"/>
    </row>
    <row r="560" ht="12.75" customHeight="1">
      <c r="A560" s="238"/>
      <c r="B560" s="235"/>
      <c r="C560" s="235"/>
      <c r="D560" s="236"/>
      <c r="E560" s="235"/>
      <c r="F560" s="235"/>
      <c r="G560" s="237"/>
      <c r="H560" s="235"/>
      <c r="I560" s="235"/>
      <c r="J560" s="235"/>
      <c r="K560" s="66"/>
    </row>
    <row r="561" ht="12.75" customHeight="1">
      <c r="A561" s="238"/>
      <c r="B561" s="235"/>
      <c r="C561" s="235"/>
      <c r="D561" s="236"/>
      <c r="E561" s="235"/>
      <c r="F561" s="235"/>
      <c r="G561" s="237"/>
      <c r="H561" s="235"/>
      <c r="I561" s="235"/>
      <c r="J561" s="235"/>
      <c r="K561" s="66"/>
    </row>
    <row r="562" ht="12.75" customHeight="1">
      <c r="A562" s="238"/>
      <c r="B562" s="235"/>
      <c r="C562" s="235"/>
      <c r="D562" s="236"/>
      <c r="E562" s="235"/>
      <c r="F562" s="235"/>
      <c r="G562" s="237"/>
      <c r="H562" s="235"/>
      <c r="I562" s="235"/>
      <c r="J562" s="235"/>
      <c r="K562" s="66"/>
    </row>
    <row r="563" ht="12.75" customHeight="1">
      <c r="A563" s="238"/>
      <c r="B563" s="235"/>
      <c r="C563" s="235"/>
      <c r="D563" s="236"/>
      <c r="E563" s="235"/>
      <c r="F563" s="235"/>
      <c r="G563" s="237"/>
      <c r="H563" s="235"/>
      <c r="I563" s="235"/>
      <c r="J563" s="235"/>
      <c r="K563" s="66"/>
    </row>
    <row r="564" ht="12.75" customHeight="1">
      <c r="A564" s="238"/>
      <c r="B564" s="235"/>
      <c r="C564" s="235"/>
      <c r="D564" s="236"/>
      <c r="E564" s="235"/>
      <c r="F564" s="235"/>
      <c r="G564" s="237"/>
      <c r="H564" s="235"/>
      <c r="I564" s="235"/>
      <c r="J564" s="235"/>
      <c r="K564" s="66"/>
    </row>
    <row r="565" ht="12.75" customHeight="1">
      <c r="A565" s="238"/>
      <c r="B565" s="235"/>
      <c r="C565" s="235"/>
      <c r="D565" s="236"/>
      <c r="E565" s="235"/>
      <c r="F565" s="235"/>
      <c r="G565" s="237"/>
      <c r="H565" s="235"/>
      <c r="I565" s="235"/>
      <c r="J565" s="235"/>
      <c r="K565" s="66"/>
    </row>
    <row r="566" ht="12.75" customHeight="1">
      <c r="A566" s="238"/>
      <c r="B566" s="235"/>
      <c r="C566" s="235"/>
      <c r="D566" s="236"/>
      <c r="E566" s="235"/>
      <c r="F566" s="235"/>
      <c r="G566" s="237"/>
      <c r="H566" s="235"/>
      <c r="I566" s="235"/>
      <c r="J566" s="235"/>
      <c r="K566" s="66"/>
    </row>
    <row r="567" ht="12.75" customHeight="1">
      <c r="A567" s="238"/>
      <c r="B567" s="235"/>
      <c r="C567" s="235"/>
      <c r="D567" s="236"/>
      <c r="E567" s="235"/>
      <c r="F567" s="235"/>
      <c r="G567" s="237"/>
      <c r="H567" s="235"/>
      <c r="I567" s="235"/>
      <c r="J567" s="235"/>
      <c r="K567" s="66"/>
    </row>
    <row r="568" ht="12.75" customHeight="1">
      <c r="A568" s="238"/>
      <c r="B568" s="235"/>
      <c r="C568" s="235"/>
      <c r="D568" s="236"/>
      <c r="E568" s="235"/>
      <c r="F568" s="235"/>
      <c r="G568" s="237"/>
      <c r="H568" s="235"/>
      <c r="I568" s="235"/>
      <c r="J568" s="235"/>
      <c r="K568" s="66"/>
    </row>
    <row r="569" ht="12.75" customHeight="1">
      <c r="A569" s="238"/>
      <c r="B569" s="235"/>
      <c r="C569" s="235"/>
      <c r="D569" s="236"/>
      <c r="E569" s="235"/>
      <c r="F569" s="235"/>
      <c r="G569" s="237"/>
      <c r="H569" s="235"/>
      <c r="I569" s="235"/>
      <c r="J569" s="235"/>
      <c r="K569" s="66"/>
    </row>
    <row r="570" ht="12.75" customHeight="1">
      <c r="A570" s="238"/>
      <c r="B570" s="235"/>
      <c r="C570" s="235"/>
      <c r="D570" s="236"/>
      <c r="E570" s="235"/>
      <c r="F570" s="235"/>
      <c r="G570" s="237"/>
      <c r="H570" s="235"/>
      <c r="I570" s="235"/>
      <c r="J570" s="235"/>
      <c r="K570" s="66"/>
    </row>
    <row r="571" ht="12.75" customHeight="1">
      <c r="A571" s="238"/>
      <c r="B571" s="235"/>
      <c r="C571" s="235"/>
      <c r="D571" s="236"/>
      <c r="E571" s="235"/>
      <c r="F571" s="235"/>
      <c r="G571" s="237"/>
      <c r="H571" s="235"/>
      <c r="I571" s="235"/>
      <c r="J571" s="235"/>
      <c r="K571" s="66"/>
    </row>
    <row r="572" ht="12.75" customHeight="1">
      <c r="A572" s="238"/>
      <c r="B572" s="235"/>
      <c r="C572" s="235"/>
      <c r="D572" s="236"/>
      <c r="E572" s="235"/>
      <c r="F572" s="235"/>
      <c r="G572" s="237"/>
      <c r="H572" s="235"/>
      <c r="I572" s="235"/>
      <c r="J572" s="235"/>
      <c r="K572" s="66"/>
    </row>
    <row r="573" ht="12.75" customHeight="1">
      <c r="A573" s="238"/>
      <c r="B573" s="235"/>
      <c r="C573" s="235"/>
      <c r="D573" s="236"/>
      <c r="E573" s="235"/>
      <c r="F573" s="235"/>
      <c r="G573" s="237"/>
      <c r="H573" s="235"/>
      <c r="I573" s="235"/>
      <c r="J573" s="235"/>
      <c r="K573" s="66"/>
    </row>
    <row r="574" ht="12.75" customHeight="1">
      <c r="A574" s="238"/>
      <c r="B574" s="235"/>
      <c r="C574" s="235"/>
      <c r="D574" s="236"/>
      <c r="E574" s="235"/>
      <c r="F574" s="235"/>
      <c r="G574" s="237"/>
      <c r="H574" s="235"/>
      <c r="I574" s="235"/>
      <c r="J574" s="235"/>
      <c r="K574" s="66"/>
    </row>
    <row r="575" ht="12.75" customHeight="1">
      <c r="A575" s="238"/>
      <c r="B575" s="235"/>
      <c r="C575" s="235"/>
      <c r="D575" s="236"/>
      <c r="E575" s="235"/>
      <c r="F575" s="235"/>
      <c r="G575" s="237"/>
      <c r="H575" s="235"/>
      <c r="I575" s="235"/>
      <c r="J575" s="235"/>
      <c r="K575" s="66"/>
    </row>
    <row r="576" ht="12.75" customHeight="1">
      <c r="A576" s="238"/>
      <c r="B576" s="235"/>
      <c r="C576" s="235"/>
      <c r="D576" s="236"/>
      <c r="E576" s="235"/>
      <c r="F576" s="235"/>
      <c r="G576" s="237"/>
      <c r="H576" s="235"/>
      <c r="I576" s="235"/>
      <c r="J576" s="235"/>
      <c r="K576" s="66"/>
    </row>
    <row r="577" ht="12.75" customHeight="1">
      <c r="A577" s="238"/>
      <c r="B577" s="235"/>
      <c r="C577" s="235"/>
      <c r="D577" s="236"/>
      <c r="E577" s="235"/>
      <c r="F577" s="235"/>
      <c r="G577" s="237"/>
      <c r="H577" s="235"/>
      <c r="I577" s="235"/>
      <c r="J577" s="235"/>
      <c r="K577" s="66"/>
    </row>
    <row r="578" ht="12.75" customHeight="1">
      <c r="A578" s="238"/>
      <c r="B578" s="235"/>
      <c r="C578" s="235"/>
      <c r="D578" s="236"/>
      <c r="E578" s="235"/>
      <c r="F578" s="235"/>
      <c r="G578" s="237"/>
      <c r="H578" s="235"/>
      <c r="I578" s="235"/>
      <c r="J578" s="235"/>
      <c r="K578" s="66"/>
    </row>
    <row r="579" ht="12.75" customHeight="1">
      <c r="A579" s="238"/>
      <c r="B579" s="235"/>
      <c r="C579" s="235"/>
      <c r="D579" s="236"/>
      <c r="E579" s="235"/>
      <c r="F579" s="235"/>
      <c r="G579" s="237"/>
      <c r="H579" s="235"/>
      <c r="I579" s="235"/>
      <c r="J579" s="235"/>
      <c r="K579" s="66"/>
    </row>
    <row r="580" ht="12.75" customHeight="1">
      <c r="A580" s="238"/>
      <c r="B580" s="235"/>
      <c r="C580" s="235"/>
      <c r="D580" s="236"/>
      <c r="E580" s="235"/>
      <c r="F580" s="235"/>
      <c r="G580" s="237"/>
      <c r="H580" s="235"/>
      <c r="I580" s="235"/>
      <c r="J580" s="235"/>
      <c r="K580" s="66"/>
    </row>
    <row r="581" ht="12.75" customHeight="1">
      <c r="A581" s="238"/>
      <c r="B581" s="235"/>
      <c r="C581" s="235"/>
      <c r="D581" s="236"/>
      <c r="E581" s="235"/>
      <c r="F581" s="235"/>
      <c r="G581" s="237"/>
      <c r="H581" s="235"/>
      <c r="I581" s="235"/>
      <c r="J581" s="235"/>
      <c r="K581" s="66"/>
    </row>
    <row r="582" ht="12.75" customHeight="1">
      <c r="A582" s="238"/>
      <c r="B582" s="235"/>
      <c r="C582" s="235"/>
      <c r="D582" s="236"/>
      <c r="E582" s="235"/>
      <c r="F582" s="235"/>
      <c r="G582" s="237"/>
      <c r="H582" s="235"/>
      <c r="I582" s="235"/>
      <c r="J582" s="235"/>
      <c r="K582" s="66"/>
    </row>
    <row r="583" ht="12.75" customHeight="1">
      <c r="A583" s="238"/>
      <c r="B583" s="235"/>
      <c r="C583" s="235"/>
      <c r="D583" s="236"/>
      <c r="E583" s="235"/>
      <c r="F583" s="235"/>
      <c r="G583" s="237"/>
      <c r="H583" s="235"/>
      <c r="I583" s="235"/>
      <c r="J583" s="235"/>
      <c r="K583" s="66"/>
    </row>
    <row r="584" ht="12.75" customHeight="1">
      <c r="A584" s="238"/>
      <c r="B584" s="235"/>
      <c r="C584" s="235"/>
      <c r="D584" s="236"/>
      <c r="E584" s="235"/>
      <c r="F584" s="235"/>
      <c r="G584" s="237"/>
      <c r="H584" s="235"/>
      <c r="I584" s="235"/>
      <c r="J584" s="235"/>
      <c r="K584" s="66"/>
    </row>
    <row r="585" ht="12.75" customHeight="1">
      <c r="A585" s="238"/>
      <c r="B585" s="235"/>
      <c r="C585" s="235"/>
      <c r="D585" s="236"/>
      <c r="E585" s="235"/>
      <c r="F585" s="235"/>
      <c r="G585" s="237"/>
      <c r="H585" s="235"/>
      <c r="I585" s="235"/>
      <c r="J585" s="235"/>
      <c r="K585" s="66"/>
    </row>
    <row r="586" ht="12.75" customHeight="1">
      <c r="A586" s="238"/>
      <c r="B586" s="235"/>
      <c r="C586" s="235"/>
      <c r="D586" s="236"/>
      <c r="E586" s="235"/>
      <c r="F586" s="235"/>
      <c r="G586" s="237"/>
      <c r="H586" s="235"/>
      <c r="I586" s="235"/>
      <c r="J586" s="235"/>
      <c r="K586" s="66"/>
    </row>
    <row r="587" ht="12.75" customHeight="1">
      <c r="A587" s="238"/>
      <c r="B587" s="235"/>
      <c r="C587" s="235"/>
      <c r="D587" s="236"/>
      <c r="E587" s="235"/>
      <c r="F587" s="235"/>
      <c r="G587" s="237"/>
      <c r="H587" s="235"/>
      <c r="I587" s="235"/>
      <c r="J587" s="235"/>
      <c r="K587" s="66"/>
    </row>
    <row r="588" ht="12.75" customHeight="1">
      <c r="A588" s="238"/>
      <c r="B588" s="235"/>
      <c r="C588" s="235"/>
      <c r="D588" s="236"/>
      <c r="E588" s="235"/>
      <c r="F588" s="235"/>
      <c r="G588" s="237"/>
      <c r="H588" s="235"/>
      <c r="I588" s="235"/>
      <c r="J588" s="235"/>
      <c r="K588" s="66"/>
    </row>
    <row r="589" ht="12.75" customHeight="1">
      <c r="A589" s="238"/>
      <c r="B589" s="235"/>
      <c r="C589" s="235"/>
      <c r="D589" s="236"/>
      <c r="E589" s="235"/>
      <c r="F589" s="235"/>
      <c r="G589" s="237"/>
      <c r="H589" s="235"/>
      <c r="I589" s="235"/>
      <c r="J589" s="235"/>
      <c r="K589" s="66"/>
    </row>
    <row r="590" ht="12.75" customHeight="1">
      <c r="A590" s="238"/>
      <c r="B590" s="235"/>
      <c r="C590" s="235"/>
      <c r="D590" s="236"/>
      <c r="E590" s="235"/>
      <c r="F590" s="235"/>
      <c r="G590" s="237"/>
      <c r="H590" s="235"/>
      <c r="I590" s="235"/>
      <c r="J590" s="235"/>
      <c r="K590" s="66"/>
    </row>
    <row r="591" ht="12.75" customHeight="1">
      <c r="A591" s="238"/>
      <c r="B591" s="235"/>
      <c r="C591" s="235"/>
      <c r="D591" s="236"/>
      <c r="E591" s="235"/>
      <c r="F591" s="235"/>
      <c r="G591" s="237"/>
      <c r="H591" s="235"/>
      <c r="I591" s="235"/>
      <c r="J591" s="235"/>
      <c r="K591" s="66"/>
    </row>
    <row r="592" ht="12.75" customHeight="1">
      <c r="A592" s="238"/>
      <c r="B592" s="235"/>
      <c r="C592" s="235"/>
      <c r="D592" s="236"/>
      <c r="E592" s="235"/>
      <c r="F592" s="235"/>
      <c r="G592" s="237"/>
      <c r="H592" s="235"/>
      <c r="I592" s="235"/>
      <c r="J592" s="235"/>
      <c r="K592" s="66"/>
    </row>
    <row r="593" ht="12.75" customHeight="1">
      <c r="A593" s="238"/>
      <c r="B593" s="235"/>
      <c r="C593" s="235"/>
      <c r="D593" s="236"/>
      <c r="E593" s="235"/>
      <c r="F593" s="235"/>
      <c r="G593" s="237"/>
      <c r="H593" s="235"/>
      <c r="I593" s="235"/>
      <c r="J593" s="235"/>
      <c r="K593" s="66"/>
    </row>
    <row r="594" ht="12.75" customHeight="1">
      <c r="A594" s="238"/>
      <c r="B594" s="235"/>
      <c r="C594" s="235"/>
      <c r="D594" s="236"/>
      <c r="E594" s="235"/>
      <c r="F594" s="235"/>
      <c r="G594" s="237"/>
      <c r="H594" s="235"/>
      <c r="I594" s="235"/>
      <c r="J594" s="235"/>
      <c r="K594" s="66"/>
    </row>
    <row r="595" ht="12.75" customHeight="1">
      <c r="A595" s="238"/>
      <c r="B595" s="235"/>
      <c r="C595" s="235"/>
      <c r="D595" s="236"/>
      <c r="E595" s="235"/>
      <c r="F595" s="235"/>
      <c r="G595" s="237"/>
      <c r="H595" s="235"/>
      <c r="I595" s="235"/>
      <c r="J595" s="235"/>
      <c r="K595" s="66"/>
    </row>
    <row r="596" ht="12.75" customHeight="1">
      <c r="A596" s="238"/>
      <c r="B596" s="235"/>
      <c r="C596" s="235"/>
      <c r="D596" s="236"/>
      <c r="E596" s="235"/>
      <c r="F596" s="235"/>
      <c r="G596" s="237"/>
      <c r="H596" s="235"/>
      <c r="I596" s="235"/>
      <c r="J596" s="235"/>
      <c r="K596" s="66"/>
    </row>
    <row r="597" ht="12.75" customHeight="1">
      <c r="A597" s="238"/>
      <c r="B597" s="235"/>
      <c r="C597" s="235"/>
      <c r="D597" s="236"/>
      <c r="E597" s="235"/>
      <c r="F597" s="235"/>
      <c r="G597" s="237"/>
      <c r="H597" s="235"/>
      <c r="I597" s="235"/>
      <c r="J597" s="235"/>
      <c r="K597" s="66"/>
    </row>
    <row r="598" ht="12.75" customHeight="1">
      <c r="A598" s="238"/>
      <c r="B598" s="235"/>
      <c r="C598" s="235"/>
      <c r="D598" s="236"/>
      <c r="E598" s="235"/>
      <c r="F598" s="235"/>
      <c r="G598" s="237"/>
      <c r="H598" s="235"/>
      <c r="I598" s="235"/>
      <c r="J598" s="235"/>
      <c r="K598" s="66"/>
    </row>
    <row r="599" ht="12.75" customHeight="1">
      <c r="A599" s="238"/>
      <c r="B599" s="235"/>
      <c r="C599" s="235"/>
      <c r="D599" s="236"/>
      <c r="E599" s="235"/>
      <c r="F599" s="235"/>
      <c r="G599" s="237"/>
      <c r="H599" s="235"/>
      <c r="I599" s="235"/>
      <c r="J599" s="235"/>
      <c r="K599" s="66"/>
    </row>
    <row r="600" ht="12.75" customHeight="1">
      <c r="A600" s="238"/>
      <c r="B600" s="235"/>
      <c r="C600" s="235"/>
      <c r="D600" s="236"/>
      <c r="E600" s="235"/>
      <c r="F600" s="235"/>
      <c r="G600" s="237"/>
      <c r="H600" s="235"/>
      <c r="I600" s="235"/>
      <c r="J600" s="235"/>
      <c r="K600" s="66"/>
    </row>
    <row r="601" ht="12.75" customHeight="1">
      <c r="A601" s="238"/>
      <c r="B601" s="235"/>
      <c r="C601" s="235"/>
      <c r="D601" s="236"/>
      <c r="E601" s="235"/>
      <c r="F601" s="235"/>
      <c r="G601" s="237"/>
      <c r="H601" s="235"/>
      <c r="I601" s="235"/>
      <c r="J601" s="235"/>
      <c r="K601" s="66"/>
    </row>
    <row r="602" ht="12.75" customHeight="1">
      <c r="A602" s="238"/>
      <c r="B602" s="235"/>
      <c r="C602" s="235"/>
      <c r="D602" s="236"/>
      <c r="E602" s="235"/>
      <c r="F602" s="235"/>
      <c r="G602" s="237"/>
      <c r="H602" s="235"/>
      <c r="I602" s="235"/>
      <c r="J602" s="235"/>
      <c r="K602" s="66"/>
    </row>
    <row r="603" ht="12.75" customHeight="1">
      <c r="A603" s="238"/>
      <c r="B603" s="235"/>
      <c r="C603" s="235"/>
      <c r="D603" s="236"/>
      <c r="E603" s="235"/>
      <c r="F603" s="235"/>
      <c r="G603" s="237"/>
      <c r="H603" s="235"/>
      <c r="I603" s="235"/>
      <c r="J603" s="235"/>
      <c r="K603" s="66"/>
    </row>
    <row r="604" ht="12.75" customHeight="1">
      <c r="A604" s="238"/>
      <c r="B604" s="235"/>
      <c r="C604" s="235"/>
      <c r="D604" s="236"/>
      <c r="E604" s="235"/>
      <c r="F604" s="235"/>
      <c r="G604" s="237"/>
      <c r="H604" s="235"/>
      <c r="I604" s="235"/>
      <c r="J604" s="235"/>
      <c r="K604" s="66"/>
    </row>
    <row r="605" ht="12.75" customHeight="1">
      <c r="A605" s="238"/>
      <c r="B605" s="235"/>
      <c r="C605" s="235"/>
      <c r="D605" s="236"/>
      <c r="E605" s="235"/>
      <c r="F605" s="235"/>
      <c r="G605" s="237"/>
      <c r="H605" s="235"/>
      <c r="I605" s="235"/>
      <c r="J605" s="235"/>
      <c r="K605" s="66"/>
    </row>
    <row r="606" ht="12.75" customHeight="1">
      <c r="A606" s="238"/>
      <c r="B606" s="235"/>
      <c r="C606" s="235"/>
      <c r="D606" s="236"/>
      <c r="E606" s="235"/>
      <c r="F606" s="235"/>
      <c r="G606" s="237"/>
      <c r="H606" s="235"/>
      <c r="I606" s="235"/>
      <c r="J606" s="235"/>
      <c r="K606" s="66"/>
    </row>
    <row r="607" ht="12.75" customHeight="1">
      <c r="A607" s="238"/>
      <c r="B607" s="235"/>
      <c r="C607" s="235"/>
      <c r="D607" s="236"/>
      <c r="E607" s="235"/>
      <c r="F607" s="235"/>
      <c r="G607" s="237"/>
      <c r="H607" s="235"/>
      <c r="I607" s="235"/>
      <c r="J607" s="235"/>
      <c r="K607" s="66"/>
    </row>
    <row r="608" ht="12.75" customHeight="1">
      <c r="A608" s="238"/>
      <c r="B608" s="235"/>
      <c r="C608" s="235"/>
      <c r="D608" s="236"/>
      <c r="E608" s="235"/>
      <c r="F608" s="235"/>
      <c r="G608" s="237"/>
      <c r="H608" s="235"/>
      <c r="I608" s="235"/>
      <c r="J608" s="235"/>
      <c r="K608" s="66"/>
    </row>
    <row r="609" ht="12.75" customHeight="1">
      <c r="A609" s="238"/>
      <c r="B609" s="235"/>
      <c r="C609" s="235"/>
      <c r="D609" s="236"/>
      <c r="E609" s="235"/>
      <c r="F609" s="235"/>
      <c r="G609" s="237"/>
      <c r="H609" s="235"/>
      <c r="I609" s="235"/>
      <c r="J609" s="235"/>
      <c r="K609" s="66"/>
    </row>
    <row r="610" ht="12.75" customHeight="1">
      <c r="A610" s="238"/>
      <c r="B610" s="235"/>
      <c r="C610" s="235"/>
      <c r="D610" s="236"/>
      <c r="E610" s="235"/>
      <c r="F610" s="235"/>
      <c r="G610" s="237"/>
      <c r="H610" s="235"/>
      <c r="I610" s="235"/>
      <c r="J610" s="235"/>
      <c r="K610" s="66"/>
    </row>
    <row r="611" ht="12.75" customHeight="1">
      <c r="A611" s="238"/>
      <c r="B611" s="235"/>
      <c r="C611" s="235"/>
      <c r="D611" s="236"/>
      <c r="E611" s="235"/>
      <c r="F611" s="235"/>
      <c r="G611" s="237"/>
      <c r="H611" s="235"/>
      <c r="I611" s="235"/>
      <c r="J611" s="235"/>
      <c r="K611" s="66"/>
    </row>
    <row r="612" ht="12.75" customHeight="1">
      <c r="A612" s="238"/>
      <c r="B612" s="235"/>
      <c r="C612" s="235"/>
      <c r="D612" s="236"/>
      <c r="E612" s="235"/>
      <c r="F612" s="235"/>
      <c r="G612" s="237"/>
      <c r="H612" s="235"/>
      <c r="I612" s="235"/>
      <c r="J612" s="235"/>
      <c r="K612" s="66"/>
    </row>
    <row r="613" ht="12.75" customHeight="1">
      <c r="A613" s="238"/>
      <c r="B613" s="235"/>
      <c r="C613" s="235"/>
      <c r="D613" s="236"/>
      <c r="E613" s="235"/>
      <c r="F613" s="235"/>
      <c r="G613" s="237"/>
      <c r="H613" s="235"/>
      <c r="I613" s="235"/>
      <c r="J613" s="235"/>
      <c r="K613" s="66"/>
    </row>
    <row r="614" ht="12.75" customHeight="1">
      <c r="A614" s="238"/>
      <c r="B614" s="235"/>
      <c r="C614" s="235"/>
      <c r="D614" s="236"/>
      <c r="E614" s="235"/>
      <c r="F614" s="235"/>
      <c r="G614" s="237"/>
      <c r="H614" s="235"/>
      <c r="I614" s="235"/>
      <c r="J614" s="235"/>
      <c r="K614" s="66"/>
    </row>
    <row r="615" ht="12.75" customHeight="1">
      <c r="A615" s="238"/>
      <c r="B615" s="235"/>
      <c r="C615" s="235"/>
      <c r="D615" s="236"/>
      <c r="E615" s="235"/>
      <c r="F615" s="235"/>
      <c r="G615" s="237"/>
      <c r="H615" s="235"/>
      <c r="I615" s="235"/>
      <c r="J615" s="235"/>
      <c r="K615" s="66"/>
    </row>
    <row r="616" ht="12.75" customHeight="1">
      <c r="A616" s="238"/>
      <c r="B616" s="235"/>
      <c r="C616" s="235"/>
      <c r="D616" s="236"/>
      <c r="E616" s="235"/>
      <c r="F616" s="235"/>
      <c r="G616" s="237"/>
      <c r="H616" s="235"/>
      <c r="I616" s="235"/>
      <c r="J616" s="235"/>
      <c r="K616" s="66"/>
    </row>
    <row r="617" ht="12.75" customHeight="1">
      <c r="A617" s="238"/>
      <c r="B617" s="235"/>
      <c r="C617" s="235"/>
      <c r="D617" s="236"/>
      <c r="E617" s="235"/>
      <c r="F617" s="235"/>
      <c r="G617" s="237"/>
      <c r="H617" s="235"/>
      <c r="I617" s="235"/>
      <c r="J617" s="235"/>
      <c r="K617" s="66"/>
    </row>
    <row r="618" ht="12.75" customHeight="1">
      <c r="A618" s="238"/>
      <c r="B618" s="235"/>
      <c r="C618" s="235"/>
      <c r="D618" s="236"/>
      <c r="E618" s="235"/>
      <c r="F618" s="235"/>
      <c r="G618" s="237"/>
      <c r="H618" s="235"/>
      <c r="I618" s="235"/>
      <c r="J618" s="235"/>
      <c r="K618" s="66"/>
    </row>
    <row r="619" ht="12.75" customHeight="1">
      <c r="A619" s="238"/>
      <c r="B619" s="235"/>
      <c r="C619" s="235"/>
      <c r="D619" s="236"/>
      <c r="E619" s="235"/>
      <c r="F619" s="235"/>
      <c r="G619" s="237"/>
      <c r="H619" s="235"/>
      <c r="I619" s="235"/>
      <c r="J619" s="235"/>
      <c r="K619" s="66"/>
    </row>
    <row r="620" ht="12.75" customHeight="1">
      <c r="A620" s="238"/>
      <c r="B620" s="235"/>
      <c r="C620" s="235"/>
      <c r="D620" s="236"/>
      <c r="E620" s="235"/>
      <c r="F620" s="235"/>
      <c r="G620" s="237"/>
      <c r="H620" s="235"/>
      <c r="I620" s="235"/>
      <c r="J620" s="235"/>
      <c r="K620" s="66"/>
    </row>
    <row r="621" ht="12.75" customHeight="1">
      <c r="A621" s="238"/>
      <c r="B621" s="235"/>
      <c r="C621" s="235"/>
      <c r="D621" s="236"/>
      <c r="E621" s="235"/>
      <c r="F621" s="235"/>
      <c r="G621" s="237"/>
      <c r="H621" s="235"/>
      <c r="I621" s="235"/>
      <c r="J621" s="235"/>
      <c r="K621" s="66"/>
    </row>
    <row r="622" ht="12.75" customHeight="1">
      <c r="A622" s="238"/>
      <c r="B622" s="235"/>
      <c r="C622" s="235"/>
      <c r="D622" s="236"/>
      <c r="E622" s="235"/>
      <c r="F622" s="235"/>
      <c r="G622" s="237"/>
      <c r="H622" s="235"/>
      <c r="I622" s="235"/>
      <c r="J622" s="235"/>
      <c r="K622" s="66"/>
    </row>
    <row r="623" ht="12.75" customHeight="1">
      <c r="A623" s="238"/>
      <c r="B623" s="235"/>
      <c r="C623" s="235"/>
      <c r="D623" s="236"/>
      <c r="E623" s="235"/>
      <c r="F623" s="235"/>
      <c r="G623" s="237"/>
      <c r="H623" s="235"/>
      <c r="I623" s="235"/>
      <c r="J623" s="235"/>
      <c r="K623" s="66"/>
    </row>
    <row r="624" ht="12.75" customHeight="1">
      <c r="A624" s="238"/>
      <c r="B624" s="235"/>
      <c r="C624" s="235"/>
      <c r="D624" s="236"/>
      <c r="E624" s="235"/>
      <c r="F624" s="235"/>
      <c r="G624" s="237"/>
      <c r="H624" s="235"/>
      <c r="I624" s="235"/>
      <c r="J624" s="235"/>
      <c r="K624" s="66"/>
    </row>
    <row r="625" ht="12.75" customHeight="1">
      <c r="A625" s="238"/>
      <c r="B625" s="235"/>
      <c r="C625" s="235"/>
      <c r="D625" s="236"/>
      <c r="E625" s="235"/>
      <c r="F625" s="235"/>
      <c r="G625" s="237"/>
      <c r="H625" s="235"/>
      <c r="I625" s="235"/>
      <c r="J625" s="235"/>
      <c r="K625" s="66"/>
    </row>
    <row r="626" ht="12.75" customHeight="1">
      <c r="A626" s="238"/>
      <c r="B626" s="235"/>
      <c r="C626" s="235"/>
      <c r="D626" s="236"/>
      <c r="E626" s="235"/>
      <c r="F626" s="235"/>
      <c r="G626" s="237"/>
      <c r="H626" s="235"/>
      <c r="I626" s="235"/>
      <c r="J626" s="235"/>
      <c r="K626" s="66"/>
    </row>
    <row r="627" ht="12.75" customHeight="1">
      <c r="A627" s="238"/>
      <c r="B627" s="235"/>
      <c r="C627" s="235"/>
      <c r="D627" s="236"/>
      <c r="E627" s="235"/>
      <c r="F627" s="235"/>
      <c r="G627" s="237"/>
      <c r="H627" s="235"/>
      <c r="I627" s="235"/>
      <c r="J627" s="235"/>
      <c r="K627" s="66"/>
    </row>
    <row r="628" ht="12.75" customHeight="1">
      <c r="A628" s="238"/>
      <c r="B628" s="235"/>
      <c r="C628" s="235"/>
      <c r="D628" s="236"/>
      <c r="E628" s="235"/>
      <c r="F628" s="235"/>
      <c r="G628" s="237"/>
      <c r="H628" s="235"/>
      <c r="I628" s="235"/>
      <c r="J628" s="235"/>
      <c r="K628" s="66"/>
    </row>
    <row r="629" ht="12.75" customHeight="1">
      <c r="A629" s="238"/>
      <c r="B629" s="235"/>
      <c r="C629" s="235"/>
      <c r="D629" s="236"/>
      <c r="E629" s="235"/>
      <c r="F629" s="235"/>
      <c r="G629" s="237"/>
      <c r="H629" s="235"/>
      <c r="I629" s="235"/>
      <c r="J629" s="235"/>
      <c r="K629" s="66"/>
    </row>
    <row r="630" ht="12.75" customHeight="1">
      <c r="A630" s="238"/>
      <c r="B630" s="235"/>
      <c r="C630" s="235"/>
      <c r="D630" s="236"/>
      <c r="E630" s="235"/>
      <c r="F630" s="235"/>
      <c r="G630" s="237"/>
      <c r="H630" s="235"/>
      <c r="I630" s="235"/>
      <c r="J630" s="235"/>
      <c r="K630" s="66"/>
    </row>
    <row r="631" ht="12.75" customHeight="1">
      <c r="A631" s="238"/>
      <c r="B631" s="235"/>
      <c r="C631" s="235"/>
      <c r="D631" s="236"/>
      <c r="E631" s="235"/>
      <c r="F631" s="235"/>
      <c r="G631" s="237"/>
      <c r="H631" s="235"/>
      <c r="I631" s="235"/>
      <c r="J631" s="235"/>
      <c r="K631" s="66"/>
    </row>
    <row r="632" ht="12.75" customHeight="1">
      <c r="A632" s="238"/>
      <c r="B632" s="235"/>
      <c r="C632" s="235"/>
      <c r="D632" s="236"/>
      <c r="E632" s="235"/>
      <c r="F632" s="235"/>
      <c r="G632" s="237"/>
      <c r="H632" s="235"/>
      <c r="I632" s="235"/>
      <c r="J632" s="235"/>
      <c r="K632" s="66"/>
    </row>
    <row r="633" ht="12.75" customHeight="1">
      <c r="A633" s="238"/>
      <c r="B633" s="235"/>
      <c r="C633" s="235"/>
      <c r="D633" s="236"/>
      <c r="E633" s="235"/>
      <c r="F633" s="235"/>
      <c r="G633" s="237"/>
      <c r="H633" s="235"/>
      <c r="I633" s="235"/>
      <c r="J633" s="235"/>
      <c r="K633" s="66"/>
    </row>
    <row r="634" ht="12.75" customHeight="1">
      <c r="A634" s="238"/>
      <c r="B634" s="235"/>
      <c r="C634" s="235"/>
      <c r="D634" s="236"/>
      <c r="E634" s="235"/>
      <c r="F634" s="235"/>
      <c r="G634" s="237"/>
      <c r="H634" s="235"/>
      <c r="I634" s="235"/>
      <c r="J634" s="235"/>
      <c r="K634" s="66"/>
    </row>
    <row r="635" ht="12.75" customHeight="1">
      <c r="A635" s="238"/>
      <c r="B635" s="235"/>
      <c r="C635" s="235"/>
      <c r="D635" s="236"/>
      <c r="E635" s="235"/>
      <c r="F635" s="235"/>
      <c r="G635" s="237"/>
      <c r="H635" s="235"/>
      <c r="I635" s="235"/>
      <c r="J635" s="235"/>
      <c r="K635" s="66"/>
    </row>
    <row r="636" ht="12.75" customHeight="1">
      <c r="A636" s="238"/>
      <c r="B636" s="235"/>
      <c r="C636" s="235"/>
      <c r="D636" s="236"/>
      <c r="E636" s="235"/>
      <c r="F636" s="235"/>
      <c r="G636" s="237"/>
      <c r="H636" s="235"/>
      <c r="I636" s="235"/>
      <c r="J636" s="235"/>
      <c r="K636" s="66"/>
    </row>
    <row r="637" ht="12.75" customHeight="1">
      <c r="A637" s="238"/>
      <c r="B637" s="235"/>
      <c r="C637" s="235"/>
      <c r="D637" s="236"/>
      <c r="E637" s="235"/>
      <c r="F637" s="235"/>
      <c r="G637" s="237"/>
      <c r="H637" s="235"/>
      <c r="I637" s="235"/>
      <c r="J637" s="235"/>
      <c r="K637" s="66"/>
    </row>
    <row r="638" ht="12.75" customHeight="1">
      <c r="A638" s="238"/>
      <c r="B638" s="235"/>
      <c r="C638" s="235"/>
      <c r="D638" s="236"/>
      <c r="E638" s="235"/>
      <c r="F638" s="235"/>
      <c r="G638" s="237"/>
      <c r="H638" s="235"/>
      <c r="I638" s="235"/>
      <c r="J638" s="235"/>
      <c r="K638" s="66"/>
    </row>
    <row r="639" ht="12.75" customHeight="1">
      <c r="A639" s="238"/>
      <c r="B639" s="235"/>
      <c r="C639" s="235"/>
      <c r="D639" s="236"/>
      <c r="E639" s="235"/>
      <c r="F639" s="235"/>
      <c r="G639" s="237"/>
      <c r="H639" s="235"/>
      <c r="I639" s="235"/>
      <c r="J639" s="235"/>
      <c r="K639" s="66"/>
    </row>
    <row r="640" ht="12.75" customHeight="1">
      <c r="A640" s="238"/>
      <c r="B640" s="235"/>
      <c r="C640" s="235"/>
      <c r="D640" s="236"/>
      <c r="E640" s="235"/>
      <c r="F640" s="235"/>
      <c r="G640" s="237"/>
      <c r="H640" s="235"/>
      <c r="I640" s="235"/>
      <c r="J640" s="235"/>
      <c r="K640" s="66"/>
    </row>
    <row r="641" ht="12.75" customHeight="1">
      <c r="A641" s="238"/>
      <c r="B641" s="235"/>
      <c r="C641" s="235"/>
      <c r="D641" s="236"/>
      <c r="E641" s="235"/>
      <c r="F641" s="235"/>
      <c r="G641" s="237"/>
      <c r="H641" s="235"/>
      <c r="I641" s="235"/>
      <c r="J641" s="235"/>
      <c r="K641" s="66"/>
    </row>
    <row r="642" ht="12.75" customHeight="1">
      <c r="A642" s="238"/>
      <c r="B642" s="235"/>
      <c r="C642" s="235"/>
      <c r="D642" s="236"/>
      <c r="E642" s="235"/>
      <c r="F642" s="235"/>
      <c r="G642" s="237"/>
      <c r="H642" s="235"/>
      <c r="I642" s="235"/>
      <c r="J642" s="235"/>
      <c r="K642" s="66"/>
    </row>
    <row r="643" ht="12.75" customHeight="1">
      <c r="A643" s="238"/>
      <c r="B643" s="235"/>
      <c r="C643" s="235"/>
      <c r="D643" s="236"/>
      <c r="E643" s="235"/>
      <c r="F643" s="235"/>
      <c r="G643" s="237"/>
      <c r="H643" s="235"/>
      <c r="I643" s="235"/>
      <c r="J643" s="235"/>
      <c r="K643" s="66"/>
    </row>
    <row r="644" ht="12.75" customHeight="1">
      <c r="A644" s="238"/>
      <c r="B644" s="235"/>
      <c r="C644" s="235"/>
      <c r="D644" s="236"/>
      <c r="E644" s="235"/>
      <c r="F644" s="235"/>
      <c r="G644" s="237"/>
      <c r="H644" s="235"/>
      <c r="I644" s="235"/>
      <c r="J644" s="235"/>
      <c r="K644" s="66"/>
    </row>
    <row r="645" ht="12.75" customHeight="1">
      <c r="A645" s="238"/>
      <c r="B645" s="235"/>
      <c r="C645" s="235"/>
      <c r="D645" s="236"/>
      <c r="E645" s="235"/>
      <c r="F645" s="235"/>
      <c r="G645" s="237"/>
      <c r="H645" s="235"/>
      <c r="I645" s="235"/>
      <c r="J645" s="235"/>
      <c r="K645" s="66"/>
    </row>
    <row r="646" ht="12.75" customHeight="1">
      <c r="A646" s="238"/>
      <c r="B646" s="235"/>
      <c r="C646" s="235"/>
      <c r="D646" s="236"/>
      <c r="E646" s="235"/>
      <c r="F646" s="235"/>
      <c r="G646" s="237"/>
      <c r="H646" s="235"/>
      <c r="I646" s="235"/>
      <c r="J646" s="235"/>
      <c r="K646" s="66"/>
    </row>
    <row r="647" ht="12.75" customHeight="1">
      <c r="A647" s="238"/>
      <c r="B647" s="235"/>
      <c r="C647" s="235"/>
      <c r="D647" s="236"/>
      <c r="E647" s="235"/>
      <c r="F647" s="235"/>
      <c r="G647" s="237"/>
      <c r="H647" s="235"/>
      <c r="I647" s="235"/>
      <c r="J647" s="235"/>
      <c r="K647" s="66"/>
    </row>
    <row r="648" ht="12.75" customHeight="1">
      <c r="A648" s="238"/>
      <c r="B648" s="235"/>
      <c r="C648" s="235"/>
      <c r="D648" s="236"/>
      <c r="E648" s="235"/>
      <c r="F648" s="235"/>
      <c r="G648" s="237"/>
      <c r="H648" s="235"/>
      <c r="I648" s="235"/>
      <c r="J648" s="235"/>
      <c r="K648" s="66"/>
    </row>
    <row r="649" ht="12.75" customHeight="1">
      <c r="A649" s="238"/>
      <c r="B649" s="235"/>
      <c r="C649" s="235"/>
      <c r="D649" s="236"/>
      <c r="E649" s="235"/>
      <c r="F649" s="235"/>
      <c r="G649" s="237"/>
      <c r="H649" s="235"/>
      <c r="I649" s="235"/>
      <c r="J649" s="235"/>
      <c r="K649" s="66"/>
    </row>
    <row r="650" ht="12.75" customHeight="1">
      <c r="A650" s="238"/>
      <c r="B650" s="235"/>
      <c r="C650" s="235"/>
      <c r="D650" s="236"/>
      <c r="E650" s="235"/>
      <c r="F650" s="235"/>
      <c r="G650" s="237"/>
      <c r="H650" s="235"/>
      <c r="I650" s="235"/>
      <c r="J650" s="235"/>
      <c r="K650" s="66"/>
    </row>
    <row r="651" ht="12.75" customHeight="1">
      <c r="A651" s="238"/>
      <c r="B651" s="235"/>
      <c r="C651" s="235"/>
      <c r="D651" s="236"/>
      <c r="E651" s="235"/>
      <c r="F651" s="235"/>
      <c r="G651" s="237"/>
      <c r="H651" s="235"/>
      <c r="I651" s="235"/>
      <c r="J651" s="235"/>
      <c r="K651" s="66"/>
    </row>
    <row r="652" ht="12.75" customHeight="1">
      <c r="A652" s="238"/>
      <c r="B652" s="235"/>
      <c r="C652" s="235"/>
      <c r="D652" s="236"/>
      <c r="E652" s="235"/>
      <c r="F652" s="235"/>
      <c r="G652" s="237"/>
      <c r="H652" s="235"/>
      <c r="I652" s="235"/>
      <c r="J652" s="235"/>
      <c r="K652" s="66"/>
    </row>
    <row r="653" ht="12.75" customHeight="1">
      <c r="A653" s="238"/>
      <c r="B653" s="235"/>
      <c r="C653" s="235"/>
      <c r="D653" s="236"/>
      <c r="E653" s="235"/>
      <c r="F653" s="235"/>
      <c r="G653" s="237"/>
      <c r="H653" s="235"/>
      <c r="I653" s="235"/>
      <c r="J653" s="235"/>
      <c r="K653" s="66"/>
    </row>
    <row r="654" ht="12.75" customHeight="1">
      <c r="A654" s="238"/>
      <c r="B654" s="235"/>
      <c r="C654" s="235"/>
      <c r="D654" s="236"/>
      <c r="E654" s="235"/>
      <c r="F654" s="235"/>
      <c r="G654" s="237"/>
      <c r="H654" s="235"/>
      <c r="I654" s="235"/>
      <c r="J654" s="235"/>
      <c r="K654" s="66"/>
    </row>
    <row r="655" ht="12.75" customHeight="1">
      <c r="A655" s="238"/>
      <c r="B655" s="235"/>
      <c r="C655" s="235"/>
      <c r="D655" s="236"/>
      <c r="E655" s="235"/>
      <c r="F655" s="235"/>
      <c r="G655" s="237"/>
      <c r="H655" s="235"/>
      <c r="I655" s="235"/>
      <c r="J655" s="235"/>
      <c r="K655" s="66"/>
    </row>
    <row r="656" ht="12.75" customHeight="1">
      <c r="A656" s="238"/>
      <c r="B656" s="235"/>
      <c r="C656" s="235"/>
      <c r="D656" s="236"/>
      <c r="E656" s="235"/>
      <c r="F656" s="235"/>
      <c r="G656" s="237"/>
      <c r="H656" s="235"/>
      <c r="I656" s="235"/>
      <c r="J656" s="235"/>
      <c r="K656" s="66"/>
    </row>
    <row r="657" ht="12.75" customHeight="1">
      <c r="A657" s="238"/>
      <c r="B657" s="235"/>
      <c r="C657" s="235"/>
      <c r="D657" s="236"/>
      <c r="E657" s="235"/>
      <c r="F657" s="235"/>
      <c r="G657" s="237"/>
      <c r="H657" s="235"/>
      <c r="I657" s="235"/>
      <c r="J657" s="235"/>
      <c r="K657" s="66"/>
    </row>
    <row r="658" ht="12.75" customHeight="1">
      <c r="A658" s="238"/>
      <c r="B658" s="235"/>
      <c r="C658" s="235"/>
      <c r="D658" s="236"/>
      <c r="E658" s="235"/>
      <c r="F658" s="235"/>
      <c r="G658" s="237"/>
      <c r="H658" s="235"/>
      <c r="I658" s="235"/>
      <c r="J658" s="235"/>
      <c r="K658" s="66"/>
    </row>
    <row r="659" ht="12.75" customHeight="1">
      <c r="A659" s="238"/>
      <c r="B659" s="235"/>
      <c r="C659" s="235"/>
      <c r="D659" s="236"/>
      <c r="E659" s="235"/>
      <c r="F659" s="235"/>
      <c r="G659" s="237"/>
      <c r="H659" s="235"/>
      <c r="I659" s="235"/>
      <c r="J659" s="235"/>
      <c r="K659" s="66"/>
    </row>
    <row r="660" ht="12.75" customHeight="1">
      <c r="A660" s="238"/>
      <c r="B660" s="235"/>
      <c r="C660" s="235"/>
      <c r="D660" s="236"/>
      <c r="E660" s="235"/>
      <c r="F660" s="235"/>
      <c r="G660" s="237"/>
      <c r="H660" s="235"/>
      <c r="I660" s="235"/>
      <c r="J660" s="235"/>
      <c r="K660" s="66"/>
    </row>
    <row r="661" ht="12.75" customHeight="1">
      <c r="A661" s="238"/>
      <c r="B661" s="235"/>
      <c r="C661" s="235"/>
      <c r="D661" s="236"/>
      <c r="E661" s="235"/>
      <c r="F661" s="235"/>
      <c r="G661" s="237"/>
      <c r="H661" s="235"/>
      <c r="I661" s="235"/>
      <c r="J661" s="235"/>
      <c r="K661" s="66"/>
    </row>
    <row r="662" ht="12.75" customHeight="1">
      <c r="A662" s="238"/>
      <c r="B662" s="235"/>
      <c r="C662" s="235"/>
      <c r="D662" s="236"/>
      <c r="E662" s="235"/>
      <c r="F662" s="235"/>
      <c r="G662" s="237"/>
      <c r="H662" s="235"/>
      <c r="I662" s="235"/>
      <c r="J662" s="235"/>
      <c r="K662" s="66"/>
    </row>
    <row r="663" ht="12.75" customHeight="1">
      <c r="A663" s="238"/>
      <c r="B663" s="235"/>
      <c r="C663" s="235"/>
      <c r="D663" s="236"/>
      <c r="E663" s="235"/>
      <c r="F663" s="235"/>
      <c r="G663" s="237"/>
      <c r="H663" s="235"/>
      <c r="I663" s="235"/>
      <c r="J663" s="235"/>
      <c r="K663" s="66"/>
    </row>
    <row r="664" ht="12.75" customHeight="1">
      <c r="A664" s="238"/>
      <c r="B664" s="235"/>
      <c r="C664" s="235"/>
      <c r="D664" s="236"/>
      <c r="E664" s="235"/>
      <c r="F664" s="235"/>
      <c r="G664" s="237"/>
      <c r="H664" s="235"/>
      <c r="I664" s="235"/>
      <c r="J664" s="235"/>
      <c r="K664" s="66"/>
    </row>
    <row r="665" ht="12.75" customHeight="1">
      <c r="A665" s="238"/>
      <c r="B665" s="235"/>
      <c r="C665" s="235"/>
      <c r="D665" s="236"/>
      <c r="E665" s="235"/>
      <c r="F665" s="235"/>
      <c r="G665" s="237"/>
      <c r="H665" s="235"/>
      <c r="I665" s="235"/>
      <c r="J665" s="235"/>
      <c r="K665" s="66"/>
    </row>
    <row r="666" ht="12.75" customHeight="1">
      <c r="A666" s="238"/>
      <c r="B666" s="235"/>
      <c r="C666" s="235"/>
      <c r="D666" s="236"/>
      <c r="E666" s="235"/>
      <c r="F666" s="235"/>
      <c r="G666" s="237"/>
      <c r="H666" s="235"/>
      <c r="I666" s="235"/>
      <c r="J666" s="235"/>
      <c r="K666" s="66"/>
    </row>
    <row r="667" ht="12.75" customHeight="1">
      <c r="A667" s="238"/>
      <c r="B667" s="235"/>
      <c r="C667" s="235"/>
      <c r="D667" s="236"/>
      <c r="E667" s="235"/>
      <c r="F667" s="235"/>
      <c r="G667" s="237"/>
      <c r="H667" s="235"/>
      <c r="I667" s="235"/>
      <c r="J667" s="235"/>
      <c r="K667" s="66"/>
    </row>
    <row r="668" ht="12.75" customHeight="1">
      <c r="A668" s="238"/>
      <c r="B668" s="235"/>
      <c r="C668" s="235"/>
      <c r="D668" s="236"/>
      <c r="E668" s="235"/>
      <c r="F668" s="235"/>
      <c r="G668" s="237"/>
      <c r="H668" s="235"/>
      <c r="I668" s="235"/>
      <c r="J668" s="235"/>
      <c r="K668" s="66"/>
    </row>
    <row r="669" ht="12.75" customHeight="1">
      <c r="A669" s="238"/>
      <c r="B669" s="235"/>
      <c r="C669" s="235"/>
      <c r="D669" s="236"/>
      <c r="E669" s="235"/>
      <c r="F669" s="235"/>
      <c r="G669" s="237"/>
      <c r="H669" s="235"/>
      <c r="I669" s="235"/>
      <c r="J669" s="235"/>
      <c r="K669" s="66"/>
    </row>
    <row r="670" ht="12.75" customHeight="1">
      <c r="A670" s="238"/>
      <c r="B670" s="235"/>
      <c r="C670" s="235"/>
      <c r="D670" s="236"/>
      <c r="E670" s="235"/>
      <c r="F670" s="235"/>
      <c r="G670" s="237"/>
      <c r="H670" s="235"/>
      <c r="I670" s="235"/>
      <c r="J670" s="235"/>
      <c r="K670" s="66"/>
    </row>
    <row r="671" ht="12.75" customHeight="1">
      <c r="A671" s="238"/>
      <c r="B671" s="235"/>
      <c r="C671" s="235"/>
      <c r="D671" s="236"/>
      <c r="E671" s="235"/>
      <c r="F671" s="235"/>
      <c r="G671" s="237"/>
      <c r="H671" s="235"/>
      <c r="I671" s="235"/>
      <c r="J671" s="235"/>
      <c r="K671" s="66"/>
    </row>
    <row r="672" ht="12.75" customHeight="1">
      <c r="A672" s="238"/>
      <c r="B672" s="235"/>
      <c r="C672" s="235"/>
      <c r="D672" s="236"/>
      <c r="E672" s="235"/>
      <c r="F672" s="235"/>
      <c r="G672" s="237"/>
      <c r="H672" s="235"/>
      <c r="I672" s="235"/>
      <c r="J672" s="235"/>
      <c r="K672" s="66"/>
    </row>
    <row r="673" ht="12.75" customHeight="1">
      <c r="A673" s="238"/>
      <c r="B673" s="235"/>
      <c r="C673" s="235"/>
      <c r="D673" s="236"/>
      <c r="E673" s="235"/>
      <c r="F673" s="235"/>
      <c r="G673" s="237"/>
      <c r="H673" s="235"/>
      <c r="I673" s="235"/>
      <c r="J673" s="235"/>
      <c r="K673" s="66"/>
    </row>
    <row r="674" ht="12.75" customHeight="1">
      <c r="A674" s="238"/>
      <c r="B674" s="235"/>
      <c r="C674" s="235"/>
      <c r="D674" s="236"/>
      <c r="E674" s="235"/>
      <c r="F674" s="235"/>
      <c r="G674" s="237"/>
      <c r="H674" s="235"/>
      <c r="I674" s="235"/>
      <c r="J674" s="235"/>
      <c r="K674" s="66"/>
    </row>
    <row r="675" ht="12.75" customHeight="1">
      <c r="A675" s="238"/>
      <c r="B675" s="235"/>
      <c r="C675" s="235"/>
      <c r="D675" s="236"/>
      <c r="E675" s="235"/>
      <c r="F675" s="235"/>
      <c r="G675" s="237"/>
      <c r="H675" s="235"/>
      <c r="I675" s="235"/>
      <c r="J675" s="235"/>
      <c r="K675" s="66"/>
    </row>
    <row r="676" ht="12.75" customHeight="1">
      <c r="A676" s="238"/>
      <c r="B676" s="235"/>
      <c r="C676" s="235"/>
      <c r="D676" s="236"/>
      <c r="E676" s="235"/>
      <c r="F676" s="235"/>
      <c r="G676" s="237"/>
      <c r="H676" s="235"/>
      <c r="I676" s="235"/>
      <c r="J676" s="235"/>
      <c r="K676" s="66"/>
    </row>
    <row r="677" ht="12.75" customHeight="1">
      <c r="A677" s="238"/>
      <c r="B677" s="235"/>
      <c r="C677" s="235"/>
      <c r="D677" s="236"/>
      <c r="E677" s="235"/>
      <c r="F677" s="235"/>
      <c r="G677" s="237"/>
      <c r="H677" s="235"/>
      <c r="I677" s="235"/>
      <c r="J677" s="235"/>
      <c r="K677" s="66"/>
    </row>
    <row r="678" ht="12.75" customHeight="1">
      <c r="A678" s="238"/>
      <c r="B678" s="235"/>
      <c r="C678" s="235"/>
      <c r="D678" s="236"/>
      <c r="E678" s="235"/>
      <c r="F678" s="235"/>
      <c r="G678" s="237"/>
      <c r="H678" s="235"/>
      <c r="I678" s="235"/>
      <c r="J678" s="235"/>
      <c r="K678" s="66"/>
    </row>
    <row r="679" ht="12.75" customHeight="1">
      <c r="A679" s="238"/>
      <c r="B679" s="235"/>
      <c r="C679" s="235"/>
      <c r="D679" s="236"/>
      <c r="E679" s="235"/>
      <c r="F679" s="235"/>
      <c r="G679" s="237"/>
      <c r="H679" s="235"/>
      <c r="I679" s="235"/>
      <c r="J679" s="235"/>
      <c r="K679" s="66"/>
    </row>
    <row r="680" ht="12.75" customHeight="1">
      <c r="A680" s="238"/>
      <c r="B680" s="235"/>
      <c r="C680" s="235"/>
      <c r="D680" s="236"/>
      <c r="E680" s="235"/>
      <c r="F680" s="235"/>
      <c r="G680" s="237"/>
      <c r="H680" s="235"/>
      <c r="I680" s="235"/>
      <c r="J680" s="235"/>
      <c r="K680" s="66"/>
    </row>
    <row r="681" ht="12.75" customHeight="1">
      <c r="A681" s="238"/>
      <c r="B681" s="235"/>
      <c r="C681" s="235"/>
      <c r="D681" s="236"/>
      <c r="E681" s="235"/>
      <c r="F681" s="235"/>
      <c r="G681" s="237"/>
      <c r="H681" s="235"/>
      <c r="I681" s="235"/>
      <c r="J681" s="235"/>
      <c r="K681" s="66"/>
    </row>
    <row r="682" ht="12.75" customHeight="1">
      <c r="A682" s="238"/>
      <c r="B682" s="235"/>
      <c r="C682" s="235"/>
      <c r="D682" s="236"/>
      <c r="E682" s="235"/>
      <c r="F682" s="235"/>
      <c r="G682" s="237"/>
      <c r="H682" s="235"/>
      <c r="I682" s="235"/>
      <c r="J682" s="235"/>
      <c r="K682" s="66"/>
    </row>
    <row r="683" ht="12.75" customHeight="1">
      <c r="A683" s="238"/>
      <c r="B683" s="235"/>
      <c r="C683" s="235"/>
      <c r="D683" s="236"/>
      <c r="E683" s="235"/>
      <c r="F683" s="235"/>
      <c r="G683" s="237"/>
      <c r="H683" s="235"/>
      <c r="I683" s="235"/>
      <c r="J683" s="235"/>
      <c r="K683" s="66"/>
    </row>
    <row r="684" ht="12.75" customHeight="1">
      <c r="A684" s="238"/>
      <c r="B684" s="235"/>
      <c r="C684" s="235"/>
      <c r="D684" s="236"/>
      <c r="E684" s="235"/>
      <c r="F684" s="235"/>
      <c r="G684" s="237"/>
      <c r="H684" s="235"/>
      <c r="I684" s="235"/>
      <c r="J684" s="235"/>
      <c r="K684" s="66"/>
    </row>
    <row r="685" ht="12.75" customHeight="1">
      <c r="A685" s="238"/>
      <c r="B685" s="235"/>
      <c r="C685" s="235"/>
      <c r="D685" s="236"/>
      <c r="E685" s="235"/>
      <c r="F685" s="235"/>
      <c r="G685" s="237"/>
      <c r="H685" s="235"/>
      <c r="I685" s="235"/>
      <c r="J685" s="235"/>
      <c r="K685" s="66"/>
    </row>
    <row r="686" ht="12.75" customHeight="1">
      <c r="A686" s="238"/>
      <c r="B686" s="235"/>
      <c r="C686" s="235"/>
      <c r="D686" s="236"/>
      <c r="E686" s="235"/>
      <c r="F686" s="235"/>
      <c r="G686" s="237"/>
      <c r="H686" s="235"/>
      <c r="I686" s="235"/>
      <c r="J686" s="235"/>
      <c r="K686" s="66"/>
    </row>
    <row r="687" ht="12.75" customHeight="1">
      <c r="A687" s="238"/>
      <c r="B687" s="235"/>
      <c r="C687" s="235"/>
      <c r="D687" s="236"/>
      <c r="E687" s="235"/>
      <c r="F687" s="235"/>
      <c r="G687" s="237"/>
      <c r="H687" s="235"/>
      <c r="I687" s="235"/>
      <c r="J687" s="235"/>
      <c r="K687" s="66"/>
    </row>
    <row r="688" ht="12.75" customHeight="1">
      <c r="A688" s="238"/>
      <c r="B688" s="235"/>
      <c r="C688" s="235"/>
      <c r="D688" s="236"/>
      <c r="E688" s="235"/>
      <c r="F688" s="235"/>
      <c r="G688" s="237"/>
      <c r="H688" s="235"/>
      <c r="I688" s="235"/>
      <c r="J688" s="235"/>
      <c r="K688" s="66"/>
    </row>
    <row r="689" ht="12.75" customHeight="1">
      <c r="A689" s="238"/>
      <c r="B689" s="235"/>
      <c r="C689" s="235"/>
      <c r="D689" s="236"/>
      <c r="E689" s="235"/>
      <c r="F689" s="235"/>
      <c r="G689" s="237"/>
      <c r="H689" s="235"/>
      <c r="I689" s="235"/>
      <c r="J689" s="235"/>
      <c r="K689" s="66"/>
    </row>
    <row r="690" ht="12.75" customHeight="1">
      <c r="A690" s="238"/>
      <c r="B690" s="235"/>
      <c r="C690" s="235"/>
      <c r="D690" s="236"/>
      <c r="E690" s="235"/>
      <c r="F690" s="235"/>
      <c r="G690" s="237"/>
      <c r="H690" s="235"/>
      <c r="I690" s="235"/>
      <c r="J690" s="235"/>
      <c r="K690" s="66"/>
    </row>
    <row r="691" ht="12.75" customHeight="1">
      <c r="A691" s="238"/>
      <c r="B691" s="235"/>
      <c r="C691" s="235"/>
      <c r="D691" s="236"/>
      <c r="E691" s="235"/>
      <c r="F691" s="235"/>
      <c r="G691" s="237"/>
      <c r="H691" s="235"/>
      <c r="I691" s="235"/>
      <c r="J691" s="235"/>
      <c r="K691" s="66"/>
    </row>
    <row r="692" ht="12.75" customHeight="1">
      <c r="A692" s="238"/>
      <c r="B692" s="235"/>
      <c r="C692" s="235"/>
      <c r="D692" s="236"/>
      <c r="E692" s="235"/>
      <c r="F692" s="235"/>
      <c r="G692" s="237"/>
      <c r="H692" s="235"/>
      <c r="I692" s="235"/>
      <c r="J692" s="235"/>
      <c r="K692" s="66"/>
    </row>
    <row r="693" ht="12.75" customHeight="1">
      <c r="A693" s="238"/>
      <c r="B693" s="235"/>
      <c r="C693" s="235"/>
      <c r="D693" s="236"/>
      <c r="E693" s="235"/>
      <c r="F693" s="235"/>
      <c r="G693" s="237"/>
      <c r="H693" s="235"/>
      <c r="I693" s="235"/>
      <c r="J693" s="235"/>
      <c r="K693" s="66"/>
    </row>
    <row r="694" ht="12.75" customHeight="1">
      <c r="A694" s="238"/>
      <c r="B694" s="235"/>
      <c r="C694" s="235"/>
      <c r="D694" s="236"/>
      <c r="E694" s="235"/>
      <c r="F694" s="235"/>
      <c r="G694" s="237"/>
      <c r="H694" s="235"/>
      <c r="I694" s="235"/>
      <c r="J694" s="235"/>
      <c r="K694" s="66"/>
    </row>
    <row r="695" ht="12.75" customHeight="1">
      <c r="A695" s="238"/>
      <c r="B695" s="235"/>
      <c r="C695" s="235"/>
      <c r="D695" s="236"/>
      <c r="E695" s="235"/>
      <c r="F695" s="235"/>
      <c r="G695" s="237"/>
      <c r="H695" s="235"/>
      <c r="I695" s="235"/>
      <c r="J695" s="235"/>
      <c r="K695" s="66"/>
    </row>
    <row r="696" ht="12.75" customHeight="1">
      <c r="A696" s="238"/>
      <c r="B696" s="235"/>
      <c r="C696" s="235"/>
      <c r="D696" s="236"/>
      <c r="E696" s="235"/>
      <c r="F696" s="235"/>
      <c r="G696" s="237"/>
      <c r="H696" s="235"/>
      <c r="I696" s="235"/>
      <c r="J696" s="235"/>
      <c r="K696" s="66"/>
    </row>
    <row r="697" ht="12.75" customHeight="1">
      <c r="A697" s="238"/>
      <c r="B697" s="235"/>
      <c r="C697" s="235"/>
      <c r="D697" s="236"/>
      <c r="E697" s="235"/>
      <c r="F697" s="235"/>
      <c r="G697" s="237"/>
      <c r="H697" s="235"/>
      <c r="I697" s="235"/>
      <c r="J697" s="235"/>
      <c r="K697" s="66"/>
    </row>
    <row r="698" ht="12.75" customHeight="1">
      <c r="A698" s="238"/>
      <c r="B698" s="235"/>
      <c r="C698" s="235"/>
      <c r="D698" s="236"/>
      <c r="E698" s="235"/>
      <c r="F698" s="235"/>
      <c r="G698" s="237"/>
      <c r="H698" s="235"/>
      <c r="I698" s="235"/>
      <c r="J698" s="235"/>
      <c r="K698" s="66"/>
    </row>
    <row r="699" ht="12.75" customHeight="1">
      <c r="A699" s="238"/>
      <c r="B699" s="235"/>
      <c r="C699" s="235"/>
      <c r="D699" s="236"/>
      <c r="E699" s="235"/>
      <c r="F699" s="235"/>
      <c r="G699" s="237"/>
      <c r="H699" s="235"/>
      <c r="I699" s="235"/>
      <c r="J699" s="235"/>
      <c r="K699" s="66"/>
    </row>
    <row r="700" ht="12.75" customHeight="1">
      <c r="A700" s="238"/>
      <c r="B700" s="235"/>
      <c r="C700" s="235"/>
      <c r="D700" s="236"/>
      <c r="E700" s="235"/>
      <c r="F700" s="235"/>
      <c r="G700" s="237"/>
      <c r="H700" s="235"/>
      <c r="I700" s="235"/>
      <c r="J700" s="235"/>
      <c r="K700" s="66"/>
    </row>
    <row r="701" ht="12.75" customHeight="1">
      <c r="A701" s="238"/>
      <c r="B701" s="235"/>
      <c r="C701" s="235"/>
      <c r="D701" s="236"/>
      <c r="E701" s="235"/>
      <c r="F701" s="235"/>
      <c r="G701" s="237"/>
      <c r="H701" s="235"/>
      <c r="I701" s="235"/>
      <c r="J701" s="235"/>
      <c r="K701" s="66"/>
    </row>
    <row r="702" ht="12.75" customHeight="1">
      <c r="A702" s="238"/>
      <c r="B702" s="235"/>
      <c r="C702" s="235"/>
      <c r="D702" s="236"/>
      <c r="E702" s="235"/>
      <c r="F702" s="235"/>
      <c r="G702" s="237"/>
      <c r="H702" s="235"/>
      <c r="I702" s="235"/>
      <c r="J702" s="235"/>
      <c r="K702" s="66"/>
    </row>
    <row r="703" ht="12.75" customHeight="1">
      <c r="A703" s="238"/>
      <c r="B703" s="235"/>
      <c r="C703" s="235"/>
      <c r="D703" s="236"/>
      <c r="E703" s="235"/>
      <c r="F703" s="235"/>
      <c r="G703" s="237"/>
      <c r="H703" s="235"/>
      <c r="I703" s="235"/>
      <c r="J703" s="235"/>
      <c r="K703" s="66"/>
    </row>
    <row r="704" ht="12.75" customHeight="1">
      <c r="A704" s="238"/>
      <c r="B704" s="235"/>
      <c r="C704" s="235"/>
      <c r="D704" s="236"/>
      <c r="E704" s="235"/>
      <c r="F704" s="235"/>
      <c r="G704" s="237"/>
      <c r="H704" s="235"/>
      <c r="I704" s="235"/>
      <c r="J704" s="235"/>
      <c r="K704" s="66"/>
    </row>
    <row r="705" ht="12.75" customHeight="1">
      <c r="A705" s="238"/>
      <c r="B705" s="235"/>
      <c r="C705" s="235"/>
      <c r="D705" s="236"/>
      <c r="E705" s="235"/>
      <c r="F705" s="235"/>
      <c r="G705" s="237"/>
      <c r="H705" s="235"/>
      <c r="I705" s="235"/>
      <c r="J705" s="235"/>
      <c r="K705" s="66"/>
    </row>
    <row r="706" ht="12.75" customHeight="1">
      <c r="A706" s="238"/>
      <c r="B706" s="235"/>
      <c r="C706" s="235"/>
      <c r="D706" s="236"/>
      <c r="E706" s="235"/>
      <c r="F706" s="235"/>
      <c r="G706" s="237"/>
      <c r="H706" s="235"/>
      <c r="I706" s="235"/>
      <c r="J706" s="235"/>
      <c r="K706" s="66"/>
    </row>
    <row r="707" ht="12.75" customHeight="1">
      <c r="A707" s="238"/>
      <c r="B707" s="235"/>
      <c r="C707" s="235"/>
      <c r="D707" s="236"/>
      <c r="E707" s="235"/>
      <c r="F707" s="235"/>
      <c r="G707" s="237"/>
      <c r="H707" s="235"/>
      <c r="I707" s="235"/>
      <c r="J707" s="235"/>
      <c r="K707" s="66"/>
    </row>
    <row r="708" ht="12.75" customHeight="1">
      <c r="A708" s="238"/>
      <c r="B708" s="235"/>
      <c r="C708" s="235"/>
      <c r="D708" s="236"/>
      <c r="E708" s="235"/>
      <c r="F708" s="235"/>
      <c r="G708" s="237"/>
      <c r="H708" s="235"/>
      <c r="I708" s="235"/>
      <c r="J708" s="235"/>
      <c r="K708" s="66"/>
    </row>
    <row r="709" ht="12.75" customHeight="1">
      <c r="A709" s="238"/>
      <c r="B709" s="235"/>
      <c r="C709" s="235"/>
      <c r="D709" s="236"/>
      <c r="E709" s="235"/>
      <c r="F709" s="235"/>
      <c r="G709" s="237"/>
      <c r="H709" s="235"/>
      <c r="I709" s="235"/>
      <c r="J709" s="235"/>
      <c r="K709" s="66"/>
    </row>
    <row r="710" ht="12.75" customHeight="1">
      <c r="A710" s="238"/>
      <c r="B710" s="235"/>
      <c r="C710" s="235"/>
      <c r="D710" s="236"/>
      <c r="E710" s="235"/>
      <c r="F710" s="235"/>
      <c r="G710" s="237"/>
      <c r="H710" s="235"/>
      <c r="I710" s="235"/>
      <c r="J710" s="235"/>
      <c r="K710" s="66"/>
    </row>
    <row r="711" ht="12.75" customHeight="1">
      <c r="A711" s="238"/>
      <c r="B711" s="235"/>
      <c r="C711" s="235"/>
      <c r="D711" s="236"/>
      <c r="E711" s="235"/>
      <c r="F711" s="235"/>
      <c r="G711" s="237"/>
      <c r="H711" s="235"/>
      <c r="I711" s="235"/>
      <c r="J711" s="235"/>
      <c r="K711" s="66"/>
    </row>
    <row r="712" ht="12.75" customHeight="1">
      <c r="A712" s="238"/>
      <c r="B712" s="235"/>
      <c r="C712" s="235"/>
      <c r="D712" s="236"/>
      <c r="E712" s="235"/>
      <c r="F712" s="235"/>
      <c r="G712" s="237"/>
      <c r="H712" s="235"/>
      <c r="I712" s="235"/>
      <c r="J712" s="235"/>
      <c r="K712" s="66"/>
    </row>
    <row r="713" ht="12.75" customHeight="1">
      <c r="A713" s="238"/>
      <c r="B713" s="235"/>
      <c r="C713" s="235"/>
      <c r="D713" s="236"/>
      <c r="E713" s="235"/>
      <c r="F713" s="235"/>
      <c r="G713" s="237"/>
      <c r="H713" s="235"/>
      <c r="I713" s="235"/>
      <c r="J713" s="235"/>
      <c r="K713" s="66"/>
    </row>
    <row r="714" ht="12.75" customHeight="1">
      <c r="A714" s="238"/>
      <c r="B714" s="235"/>
      <c r="C714" s="235"/>
      <c r="D714" s="236"/>
      <c r="E714" s="235"/>
      <c r="F714" s="235"/>
      <c r="G714" s="237"/>
      <c r="H714" s="235"/>
      <c r="I714" s="235"/>
      <c r="J714" s="235"/>
      <c r="K714" s="66"/>
    </row>
    <row r="715" ht="12.75" customHeight="1">
      <c r="A715" s="238"/>
      <c r="B715" s="235"/>
      <c r="C715" s="235"/>
      <c r="D715" s="236"/>
      <c r="E715" s="235"/>
      <c r="F715" s="235"/>
      <c r="G715" s="237"/>
      <c r="H715" s="235"/>
      <c r="I715" s="235"/>
      <c r="J715" s="235"/>
      <c r="K715" s="66"/>
    </row>
    <row r="716" ht="12.75" customHeight="1">
      <c r="A716" s="238"/>
      <c r="B716" s="235"/>
      <c r="C716" s="235"/>
      <c r="D716" s="236"/>
      <c r="E716" s="235"/>
      <c r="F716" s="235"/>
      <c r="G716" s="237"/>
      <c r="H716" s="235"/>
      <c r="I716" s="235"/>
      <c r="J716" s="235"/>
      <c r="K716" s="66"/>
    </row>
    <row r="717" ht="12.75" customHeight="1">
      <c r="A717" s="238"/>
      <c r="B717" s="235"/>
      <c r="C717" s="235"/>
      <c r="D717" s="236"/>
      <c r="E717" s="235"/>
      <c r="F717" s="235"/>
      <c r="G717" s="237"/>
      <c r="H717" s="235"/>
      <c r="I717" s="235"/>
      <c r="J717" s="235"/>
      <c r="K717" s="66"/>
    </row>
    <row r="718" ht="12.75" customHeight="1">
      <c r="A718" s="238"/>
      <c r="B718" s="235"/>
      <c r="C718" s="235"/>
      <c r="D718" s="236"/>
      <c r="E718" s="235"/>
      <c r="F718" s="235"/>
      <c r="G718" s="237"/>
      <c r="H718" s="235"/>
      <c r="I718" s="235"/>
      <c r="J718" s="235"/>
      <c r="K718" s="66"/>
    </row>
    <row r="719" ht="12.75" customHeight="1">
      <c r="A719" s="238"/>
      <c r="B719" s="235"/>
      <c r="C719" s="235"/>
      <c r="D719" s="236"/>
      <c r="E719" s="235"/>
      <c r="F719" s="235"/>
      <c r="G719" s="237"/>
      <c r="H719" s="235"/>
      <c r="I719" s="235"/>
      <c r="J719" s="235"/>
      <c r="K719" s="66"/>
    </row>
    <row r="720" ht="12.75" customHeight="1">
      <c r="A720" s="238"/>
      <c r="B720" s="235"/>
      <c r="C720" s="235"/>
      <c r="D720" s="236"/>
      <c r="E720" s="235"/>
      <c r="F720" s="235"/>
      <c r="G720" s="237"/>
      <c r="H720" s="235"/>
      <c r="I720" s="235"/>
      <c r="J720" s="235"/>
      <c r="K720" s="66"/>
    </row>
    <row r="721" ht="12.75" customHeight="1">
      <c r="A721" s="238"/>
      <c r="B721" s="235"/>
      <c r="C721" s="235"/>
      <c r="D721" s="236"/>
      <c r="E721" s="235"/>
      <c r="F721" s="235"/>
      <c r="G721" s="237"/>
      <c r="H721" s="235"/>
      <c r="I721" s="235"/>
      <c r="J721" s="235"/>
      <c r="K721" s="66"/>
    </row>
    <row r="722" ht="12.75" customHeight="1">
      <c r="A722" s="238"/>
      <c r="B722" s="235"/>
      <c r="C722" s="235"/>
      <c r="D722" s="236"/>
      <c r="E722" s="235"/>
      <c r="F722" s="235"/>
      <c r="G722" s="237"/>
      <c r="H722" s="235"/>
      <c r="I722" s="235"/>
      <c r="J722" s="235"/>
      <c r="K722" s="66"/>
    </row>
    <row r="723" ht="12.75" customHeight="1">
      <c r="A723" s="238"/>
      <c r="B723" s="235"/>
      <c r="C723" s="235"/>
      <c r="D723" s="236"/>
      <c r="E723" s="235"/>
      <c r="F723" s="235"/>
      <c r="G723" s="237"/>
      <c r="H723" s="235"/>
      <c r="I723" s="235"/>
      <c r="J723" s="235"/>
      <c r="K723" s="66"/>
    </row>
    <row r="724" ht="12.75" customHeight="1">
      <c r="A724" s="238"/>
      <c r="B724" s="235"/>
      <c r="C724" s="235"/>
      <c r="D724" s="236"/>
      <c r="E724" s="235"/>
      <c r="F724" s="235"/>
      <c r="G724" s="237"/>
      <c r="H724" s="235"/>
      <c r="I724" s="235"/>
      <c r="J724" s="235"/>
      <c r="K724" s="66"/>
    </row>
    <row r="725" ht="12.75" customHeight="1">
      <c r="A725" s="238"/>
      <c r="B725" s="235"/>
      <c r="C725" s="235"/>
      <c r="D725" s="236"/>
      <c r="E725" s="235"/>
      <c r="F725" s="235"/>
      <c r="G725" s="237"/>
      <c r="H725" s="235"/>
      <c r="I725" s="235"/>
      <c r="J725" s="235"/>
      <c r="K725" s="66"/>
    </row>
    <row r="726" ht="12.75" customHeight="1">
      <c r="A726" s="238"/>
      <c r="B726" s="235"/>
      <c r="C726" s="235"/>
      <c r="D726" s="236"/>
      <c r="E726" s="235"/>
      <c r="F726" s="235"/>
      <c r="G726" s="237"/>
      <c r="H726" s="235"/>
      <c r="I726" s="235"/>
      <c r="J726" s="235"/>
      <c r="K726" s="66"/>
    </row>
    <row r="727" ht="12.75" customHeight="1">
      <c r="A727" s="238"/>
      <c r="B727" s="235"/>
      <c r="C727" s="235"/>
      <c r="D727" s="236"/>
      <c r="E727" s="235"/>
      <c r="F727" s="235"/>
      <c r="G727" s="237"/>
      <c r="H727" s="235"/>
      <c r="I727" s="235"/>
      <c r="J727" s="235"/>
      <c r="K727" s="66"/>
    </row>
    <row r="728" ht="12.75" customHeight="1">
      <c r="A728" s="238"/>
      <c r="B728" s="235"/>
      <c r="C728" s="235"/>
      <c r="D728" s="236"/>
      <c r="E728" s="235"/>
      <c r="F728" s="235"/>
      <c r="G728" s="237"/>
      <c r="H728" s="235"/>
      <c r="I728" s="235"/>
      <c r="J728" s="235"/>
      <c r="K728" s="66"/>
    </row>
    <row r="729" ht="12.75" customHeight="1">
      <c r="A729" s="238"/>
      <c r="B729" s="235"/>
      <c r="C729" s="235"/>
      <c r="D729" s="236"/>
      <c r="E729" s="235"/>
      <c r="F729" s="235"/>
      <c r="G729" s="237"/>
      <c r="H729" s="235"/>
      <c r="I729" s="235"/>
      <c r="J729" s="235"/>
      <c r="K729" s="66"/>
    </row>
    <row r="730" ht="12.75" customHeight="1">
      <c r="A730" s="238"/>
      <c r="B730" s="235"/>
      <c r="C730" s="235"/>
      <c r="D730" s="236"/>
      <c r="E730" s="235"/>
      <c r="F730" s="235"/>
      <c r="G730" s="237"/>
      <c r="H730" s="235"/>
      <c r="I730" s="235"/>
      <c r="J730" s="235"/>
      <c r="K730" s="66"/>
    </row>
    <row r="731" ht="12.75" customHeight="1">
      <c r="A731" s="238"/>
      <c r="B731" s="235"/>
      <c r="C731" s="235"/>
      <c r="D731" s="236"/>
      <c r="E731" s="235"/>
      <c r="F731" s="235"/>
      <c r="G731" s="237"/>
      <c r="H731" s="235"/>
      <c r="I731" s="235"/>
      <c r="J731" s="235"/>
      <c r="K731" s="66"/>
    </row>
    <row r="732" ht="12.75" customHeight="1">
      <c r="A732" s="238"/>
      <c r="B732" s="235"/>
      <c r="C732" s="235"/>
      <c r="D732" s="236"/>
      <c r="E732" s="235"/>
      <c r="F732" s="235"/>
      <c r="G732" s="237"/>
      <c r="H732" s="235"/>
      <c r="I732" s="235"/>
      <c r="J732" s="235"/>
      <c r="K732" s="66"/>
    </row>
    <row r="733" ht="12.75" customHeight="1">
      <c r="A733" s="238"/>
      <c r="B733" s="235"/>
      <c r="C733" s="235"/>
      <c r="D733" s="236"/>
      <c r="E733" s="235"/>
      <c r="F733" s="235"/>
      <c r="G733" s="237"/>
      <c r="H733" s="235"/>
      <c r="I733" s="235"/>
      <c r="J733" s="235"/>
      <c r="K733" s="66"/>
    </row>
    <row r="734" ht="12.75" customHeight="1">
      <c r="A734" s="238"/>
      <c r="B734" s="235"/>
      <c r="C734" s="235"/>
      <c r="D734" s="236"/>
      <c r="E734" s="235"/>
      <c r="F734" s="235"/>
      <c r="G734" s="237"/>
      <c r="H734" s="235"/>
      <c r="I734" s="235"/>
      <c r="J734" s="235"/>
      <c r="K734" s="66"/>
    </row>
    <row r="735" ht="12.75" customHeight="1">
      <c r="A735" s="238"/>
      <c r="B735" s="235"/>
      <c r="C735" s="235"/>
      <c r="D735" s="236"/>
      <c r="E735" s="235"/>
      <c r="F735" s="235"/>
      <c r="G735" s="237"/>
      <c r="H735" s="235"/>
      <c r="I735" s="235"/>
      <c r="J735" s="235"/>
      <c r="K735" s="66"/>
    </row>
    <row r="736" ht="12.75" customHeight="1">
      <c r="A736" s="238"/>
      <c r="B736" s="235"/>
      <c r="C736" s="235"/>
      <c r="D736" s="236"/>
      <c r="E736" s="235"/>
      <c r="F736" s="235"/>
      <c r="G736" s="237"/>
      <c r="H736" s="235"/>
      <c r="I736" s="235"/>
      <c r="J736" s="235"/>
      <c r="K736" s="66"/>
    </row>
    <row r="737" ht="12.75" customHeight="1">
      <c r="A737" s="238"/>
      <c r="B737" s="235"/>
      <c r="C737" s="235"/>
      <c r="D737" s="236"/>
      <c r="E737" s="235"/>
      <c r="F737" s="235"/>
      <c r="G737" s="237"/>
      <c r="H737" s="235"/>
      <c r="I737" s="235"/>
      <c r="J737" s="235"/>
      <c r="K737" s="66"/>
    </row>
    <row r="738" ht="12.75" customHeight="1">
      <c r="A738" s="238"/>
      <c r="B738" s="235"/>
      <c r="C738" s="235"/>
      <c r="D738" s="236"/>
      <c r="E738" s="235"/>
      <c r="F738" s="235"/>
      <c r="G738" s="237"/>
      <c r="H738" s="235"/>
      <c r="I738" s="235"/>
      <c r="J738" s="235"/>
      <c r="K738" s="66"/>
    </row>
    <row r="739" ht="12.75" customHeight="1">
      <c r="A739" s="238"/>
      <c r="B739" s="235"/>
      <c r="C739" s="235"/>
      <c r="D739" s="236"/>
      <c r="E739" s="235"/>
      <c r="F739" s="235"/>
      <c r="G739" s="237"/>
      <c r="H739" s="235"/>
      <c r="I739" s="235"/>
      <c r="J739" s="235"/>
      <c r="K739" s="66"/>
    </row>
    <row r="740" ht="12.75" customHeight="1">
      <c r="A740" s="238"/>
      <c r="B740" s="235"/>
      <c r="C740" s="235"/>
      <c r="D740" s="236"/>
      <c r="E740" s="235"/>
      <c r="F740" s="235"/>
      <c r="G740" s="237"/>
      <c r="H740" s="235"/>
      <c r="I740" s="235"/>
      <c r="J740" s="235"/>
      <c r="K740" s="66"/>
    </row>
    <row r="741" ht="12.75" customHeight="1">
      <c r="A741" s="238"/>
      <c r="B741" s="235"/>
      <c r="C741" s="235"/>
      <c r="D741" s="236"/>
      <c r="E741" s="235"/>
      <c r="F741" s="235"/>
      <c r="G741" s="237"/>
      <c r="H741" s="235"/>
      <c r="I741" s="235"/>
      <c r="J741" s="235"/>
      <c r="K741" s="66"/>
    </row>
    <row r="742" ht="12.75" customHeight="1">
      <c r="A742" s="238"/>
      <c r="B742" s="235"/>
      <c r="C742" s="235"/>
      <c r="D742" s="236"/>
      <c r="E742" s="235"/>
      <c r="F742" s="235"/>
      <c r="G742" s="237"/>
      <c r="H742" s="235"/>
      <c r="I742" s="235"/>
      <c r="J742" s="235"/>
      <c r="K742" s="66"/>
    </row>
    <row r="743" ht="12.75" customHeight="1">
      <c r="A743" s="238"/>
      <c r="B743" s="235"/>
      <c r="C743" s="235"/>
      <c r="D743" s="236"/>
      <c r="E743" s="235"/>
      <c r="F743" s="235"/>
      <c r="G743" s="237"/>
      <c r="H743" s="235"/>
      <c r="I743" s="235"/>
      <c r="J743" s="235"/>
      <c r="K743" s="66"/>
    </row>
    <row r="744" ht="12.75" customHeight="1">
      <c r="A744" s="238"/>
      <c r="B744" s="235"/>
      <c r="C744" s="235"/>
      <c r="D744" s="236"/>
      <c r="E744" s="235"/>
      <c r="F744" s="235"/>
      <c r="G744" s="237"/>
      <c r="H744" s="235"/>
      <c r="I744" s="235"/>
      <c r="J744" s="235"/>
      <c r="K744" s="66"/>
    </row>
    <row r="745" ht="12.75" customHeight="1">
      <c r="A745" s="238"/>
      <c r="B745" s="235"/>
      <c r="C745" s="235"/>
      <c r="D745" s="236"/>
      <c r="E745" s="235"/>
      <c r="F745" s="235"/>
      <c r="G745" s="237"/>
      <c r="H745" s="235"/>
      <c r="I745" s="235"/>
      <c r="J745" s="235"/>
      <c r="K745" s="66"/>
    </row>
    <row r="746" ht="12.75" customHeight="1">
      <c r="A746" s="238"/>
      <c r="B746" s="235"/>
      <c r="C746" s="235"/>
      <c r="D746" s="236"/>
      <c r="E746" s="235"/>
      <c r="F746" s="235"/>
      <c r="G746" s="237"/>
      <c r="H746" s="235"/>
      <c r="I746" s="235"/>
      <c r="J746" s="235"/>
      <c r="K746" s="66"/>
    </row>
    <row r="747" ht="12.75" customHeight="1">
      <c r="A747" s="238"/>
      <c r="B747" s="235"/>
      <c r="C747" s="235"/>
      <c r="D747" s="236"/>
      <c r="E747" s="235"/>
      <c r="F747" s="235"/>
      <c r="G747" s="237"/>
      <c r="H747" s="235"/>
      <c r="I747" s="235"/>
      <c r="J747" s="235"/>
      <c r="K747" s="66"/>
    </row>
    <row r="748" ht="12.75" customHeight="1">
      <c r="A748" s="238"/>
      <c r="B748" s="235"/>
      <c r="C748" s="235"/>
      <c r="D748" s="236"/>
      <c r="E748" s="235"/>
      <c r="F748" s="235"/>
      <c r="G748" s="237"/>
      <c r="H748" s="235"/>
      <c r="I748" s="235"/>
      <c r="J748" s="235"/>
      <c r="K748" s="66"/>
    </row>
    <row r="749" ht="12.75" customHeight="1">
      <c r="A749" s="238"/>
      <c r="B749" s="235"/>
      <c r="C749" s="235"/>
      <c r="D749" s="236"/>
      <c r="E749" s="235"/>
      <c r="F749" s="235"/>
      <c r="G749" s="237"/>
      <c r="H749" s="235"/>
      <c r="I749" s="235"/>
      <c r="J749" s="235"/>
      <c r="K749" s="66"/>
    </row>
    <row r="750" ht="12.75" customHeight="1">
      <c r="A750" s="238"/>
      <c r="B750" s="235"/>
      <c r="C750" s="235"/>
      <c r="D750" s="236"/>
      <c r="E750" s="235"/>
      <c r="F750" s="235"/>
      <c r="G750" s="237"/>
      <c r="H750" s="235"/>
      <c r="I750" s="235"/>
      <c r="J750" s="235"/>
      <c r="K750" s="66"/>
    </row>
    <row r="751" ht="12.75" customHeight="1">
      <c r="A751" s="238"/>
      <c r="B751" s="235"/>
      <c r="C751" s="235"/>
      <c r="D751" s="236"/>
      <c r="E751" s="235"/>
      <c r="F751" s="235"/>
      <c r="G751" s="237"/>
      <c r="H751" s="235"/>
      <c r="I751" s="235"/>
      <c r="J751" s="235"/>
      <c r="K751" s="66"/>
    </row>
    <row r="752" ht="12.75" customHeight="1">
      <c r="A752" s="238"/>
      <c r="B752" s="235"/>
      <c r="C752" s="235"/>
      <c r="D752" s="236"/>
      <c r="E752" s="235"/>
      <c r="F752" s="235"/>
      <c r="G752" s="237"/>
      <c r="H752" s="235"/>
      <c r="I752" s="235"/>
      <c r="J752" s="235"/>
      <c r="K752" s="66"/>
    </row>
    <row r="753" ht="12.75" customHeight="1">
      <c r="A753" s="238"/>
      <c r="B753" s="235"/>
      <c r="C753" s="235"/>
      <c r="D753" s="236"/>
      <c r="E753" s="235"/>
      <c r="F753" s="235"/>
      <c r="G753" s="237"/>
      <c r="H753" s="235"/>
      <c r="I753" s="235"/>
      <c r="J753" s="235"/>
      <c r="K753" s="66"/>
    </row>
    <row r="754" ht="12.75" customHeight="1">
      <c r="A754" s="238"/>
      <c r="B754" s="235"/>
      <c r="C754" s="235"/>
      <c r="D754" s="236"/>
      <c r="E754" s="235"/>
      <c r="F754" s="235"/>
      <c r="G754" s="237"/>
      <c r="H754" s="235"/>
      <c r="I754" s="235"/>
      <c r="J754" s="235"/>
      <c r="K754" s="66"/>
    </row>
    <row r="755" ht="12.75" customHeight="1">
      <c r="A755" s="238"/>
      <c r="B755" s="235"/>
      <c r="C755" s="235"/>
      <c r="D755" s="236"/>
      <c r="E755" s="235"/>
      <c r="F755" s="235"/>
      <c r="G755" s="237"/>
      <c r="H755" s="235"/>
      <c r="I755" s="235"/>
      <c r="J755" s="235"/>
      <c r="K755" s="66"/>
    </row>
    <row r="756" ht="12.75" customHeight="1">
      <c r="A756" s="238"/>
      <c r="B756" s="235"/>
      <c r="C756" s="235"/>
      <c r="D756" s="236"/>
      <c r="E756" s="235"/>
      <c r="F756" s="235"/>
      <c r="G756" s="237"/>
      <c r="H756" s="235"/>
      <c r="I756" s="235"/>
      <c r="J756" s="235"/>
      <c r="K756" s="66"/>
    </row>
    <row r="757" ht="12.75" customHeight="1">
      <c r="A757" s="238"/>
      <c r="B757" s="235"/>
      <c r="C757" s="235"/>
      <c r="D757" s="236"/>
      <c r="E757" s="235"/>
      <c r="F757" s="235"/>
      <c r="G757" s="237"/>
      <c r="H757" s="235"/>
      <c r="I757" s="235"/>
      <c r="J757" s="235"/>
      <c r="K757" s="66"/>
    </row>
    <row r="758" ht="12.75" customHeight="1">
      <c r="A758" s="238"/>
      <c r="B758" s="235"/>
      <c r="C758" s="235"/>
      <c r="D758" s="236"/>
      <c r="E758" s="235"/>
      <c r="F758" s="235"/>
      <c r="G758" s="237"/>
      <c r="H758" s="235"/>
      <c r="I758" s="235"/>
      <c r="J758" s="235"/>
      <c r="K758" s="66"/>
    </row>
    <row r="759" ht="12.75" customHeight="1">
      <c r="A759" s="238"/>
      <c r="B759" s="235"/>
      <c r="C759" s="235"/>
      <c r="D759" s="236"/>
      <c r="E759" s="235"/>
      <c r="F759" s="235"/>
      <c r="G759" s="237"/>
      <c r="H759" s="235"/>
      <c r="I759" s="235"/>
      <c r="J759" s="235"/>
      <c r="K759" s="66"/>
    </row>
    <row r="760" ht="12.75" customHeight="1">
      <c r="A760" s="238"/>
      <c r="B760" s="235"/>
      <c r="C760" s="235"/>
      <c r="D760" s="236"/>
      <c r="E760" s="235"/>
      <c r="F760" s="235"/>
      <c r="G760" s="237"/>
      <c r="H760" s="235"/>
      <c r="I760" s="235"/>
      <c r="J760" s="235"/>
      <c r="K760" s="66"/>
    </row>
    <row r="761" ht="12.75" customHeight="1">
      <c r="A761" s="238"/>
      <c r="B761" s="235"/>
      <c r="C761" s="235"/>
      <c r="D761" s="236"/>
      <c r="E761" s="235"/>
      <c r="F761" s="235"/>
      <c r="G761" s="237"/>
      <c r="H761" s="235"/>
      <c r="I761" s="235"/>
      <c r="J761" s="235"/>
      <c r="K761" s="66"/>
    </row>
    <row r="762" ht="12.75" customHeight="1">
      <c r="A762" s="238"/>
      <c r="B762" s="235"/>
      <c r="C762" s="235"/>
      <c r="D762" s="236"/>
      <c r="E762" s="235"/>
      <c r="F762" s="235"/>
      <c r="G762" s="237"/>
      <c r="H762" s="235"/>
      <c r="I762" s="235"/>
      <c r="J762" s="235"/>
      <c r="K762" s="66"/>
    </row>
    <row r="763" ht="12.75" customHeight="1">
      <c r="A763" s="238"/>
      <c r="B763" s="235"/>
      <c r="C763" s="235"/>
      <c r="D763" s="236"/>
      <c r="E763" s="235"/>
      <c r="F763" s="235"/>
      <c r="G763" s="237"/>
      <c r="H763" s="235"/>
      <c r="I763" s="235"/>
      <c r="J763" s="235"/>
      <c r="K763" s="66"/>
    </row>
    <row r="764" ht="12.75" customHeight="1">
      <c r="A764" s="238"/>
      <c r="B764" s="235"/>
      <c r="C764" s="235"/>
      <c r="D764" s="236"/>
      <c r="E764" s="235"/>
      <c r="F764" s="235"/>
      <c r="G764" s="237"/>
      <c r="H764" s="235"/>
      <c r="I764" s="235"/>
      <c r="J764" s="235"/>
      <c r="K764" s="66"/>
    </row>
    <row r="765" ht="12.75" customHeight="1">
      <c r="A765" s="238"/>
      <c r="B765" s="235"/>
      <c r="C765" s="235"/>
      <c r="D765" s="236"/>
      <c r="E765" s="235"/>
      <c r="F765" s="235"/>
      <c r="G765" s="237"/>
      <c r="H765" s="235"/>
      <c r="I765" s="235"/>
      <c r="J765" s="235"/>
      <c r="K765" s="66"/>
    </row>
    <row r="766" ht="12.75" customHeight="1">
      <c r="A766" s="238"/>
      <c r="B766" s="235"/>
      <c r="C766" s="235"/>
      <c r="D766" s="236"/>
      <c r="E766" s="235"/>
      <c r="F766" s="235"/>
      <c r="G766" s="237"/>
      <c r="H766" s="235"/>
      <c r="I766" s="235"/>
      <c r="J766" s="235"/>
      <c r="K766" s="66"/>
    </row>
    <row r="767" ht="12.75" customHeight="1">
      <c r="A767" s="238"/>
      <c r="B767" s="235"/>
      <c r="C767" s="235"/>
      <c r="D767" s="236"/>
      <c r="E767" s="235"/>
      <c r="F767" s="235"/>
      <c r="G767" s="237"/>
      <c r="H767" s="235"/>
      <c r="I767" s="235"/>
      <c r="J767" s="235"/>
      <c r="K767" s="66"/>
    </row>
    <row r="768" ht="12.75" customHeight="1">
      <c r="A768" s="238"/>
      <c r="B768" s="235"/>
      <c r="C768" s="235"/>
      <c r="D768" s="236"/>
      <c r="E768" s="235"/>
      <c r="F768" s="235"/>
      <c r="G768" s="237"/>
      <c r="H768" s="235"/>
      <c r="I768" s="235"/>
      <c r="J768" s="235"/>
      <c r="K768" s="66"/>
    </row>
    <row r="769" ht="12.75" customHeight="1">
      <c r="A769" s="238"/>
      <c r="B769" s="235"/>
      <c r="C769" s="235"/>
      <c r="D769" s="236"/>
      <c r="E769" s="235"/>
      <c r="F769" s="235"/>
      <c r="G769" s="237"/>
      <c r="H769" s="235"/>
      <c r="I769" s="235"/>
      <c r="J769" s="235"/>
      <c r="K769" s="66"/>
    </row>
    <row r="770" ht="12.75" customHeight="1">
      <c r="A770" s="238"/>
      <c r="B770" s="235"/>
      <c r="C770" s="235"/>
      <c r="D770" s="236"/>
      <c r="E770" s="235"/>
      <c r="F770" s="235"/>
      <c r="G770" s="237"/>
      <c r="H770" s="235"/>
      <c r="I770" s="235"/>
      <c r="J770" s="235"/>
      <c r="K770" s="66"/>
    </row>
    <row r="771" ht="12.75" customHeight="1">
      <c r="A771" s="238"/>
      <c r="B771" s="235"/>
      <c r="C771" s="235"/>
      <c r="D771" s="236"/>
      <c r="E771" s="235"/>
      <c r="F771" s="235"/>
      <c r="G771" s="237"/>
      <c r="H771" s="235"/>
      <c r="I771" s="235"/>
      <c r="J771" s="235"/>
      <c r="K771" s="66"/>
    </row>
    <row r="772" ht="12.75" customHeight="1">
      <c r="A772" s="238"/>
      <c r="B772" s="235"/>
      <c r="C772" s="235"/>
      <c r="D772" s="236"/>
      <c r="E772" s="235"/>
      <c r="F772" s="235"/>
      <c r="G772" s="237"/>
      <c r="H772" s="235"/>
      <c r="I772" s="235"/>
      <c r="J772" s="235"/>
      <c r="K772" s="66"/>
    </row>
    <row r="773" ht="12.75" customHeight="1">
      <c r="A773" s="238"/>
      <c r="B773" s="235"/>
      <c r="C773" s="235"/>
      <c r="D773" s="236"/>
      <c r="E773" s="235"/>
      <c r="F773" s="235"/>
      <c r="G773" s="237"/>
      <c r="H773" s="235"/>
      <c r="I773" s="235"/>
      <c r="J773" s="235"/>
      <c r="K773" s="66"/>
    </row>
    <row r="774" ht="12.75" customHeight="1">
      <c r="A774" s="238"/>
      <c r="B774" s="235"/>
      <c r="C774" s="235"/>
      <c r="D774" s="236"/>
      <c r="E774" s="235"/>
      <c r="F774" s="235"/>
      <c r="G774" s="237"/>
      <c r="H774" s="235"/>
      <c r="I774" s="235"/>
      <c r="J774" s="235"/>
      <c r="K774" s="66"/>
    </row>
    <row r="775" ht="12.75" customHeight="1">
      <c r="A775" s="238"/>
      <c r="B775" s="235"/>
      <c r="C775" s="235"/>
      <c r="D775" s="236"/>
      <c r="E775" s="235"/>
      <c r="F775" s="235"/>
      <c r="G775" s="237"/>
      <c r="H775" s="235"/>
      <c r="I775" s="235"/>
      <c r="J775" s="235"/>
      <c r="K775" s="66"/>
    </row>
    <row r="776" ht="12.75" customHeight="1">
      <c r="A776" s="238"/>
      <c r="B776" s="235"/>
      <c r="C776" s="235"/>
      <c r="D776" s="236"/>
      <c r="E776" s="235"/>
      <c r="F776" s="235"/>
      <c r="G776" s="237"/>
      <c r="H776" s="235"/>
      <c r="I776" s="235"/>
      <c r="J776" s="235"/>
      <c r="K776" s="66"/>
    </row>
    <row r="777" ht="12.75" customHeight="1">
      <c r="A777" s="238"/>
      <c r="B777" s="235"/>
      <c r="C777" s="235"/>
      <c r="D777" s="236"/>
      <c r="E777" s="235"/>
      <c r="F777" s="235"/>
      <c r="G777" s="237"/>
      <c r="H777" s="235"/>
      <c r="I777" s="235"/>
      <c r="J777" s="235"/>
      <c r="K777" s="66"/>
    </row>
    <row r="778" ht="12.75" customHeight="1">
      <c r="A778" s="238"/>
      <c r="B778" s="235"/>
      <c r="C778" s="235"/>
      <c r="D778" s="236"/>
      <c r="E778" s="235"/>
      <c r="F778" s="235"/>
      <c r="G778" s="237"/>
      <c r="H778" s="235"/>
      <c r="I778" s="235"/>
      <c r="J778" s="235"/>
      <c r="K778" s="66"/>
    </row>
    <row r="779" ht="12.75" customHeight="1">
      <c r="A779" s="238"/>
      <c r="B779" s="235"/>
      <c r="C779" s="235"/>
      <c r="D779" s="236"/>
      <c r="E779" s="235"/>
      <c r="F779" s="235"/>
      <c r="G779" s="237"/>
      <c r="H779" s="235"/>
      <c r="I779" s="235"/>
      <c r="J779" s="235"/>
      <c r="K779" s="66"/>
    </row>
    <row r="780" ht="12.75" customHeight="1">
      <c r="A780" s="238"/>
      <c r="B780" s="235"/>
      <c r="C780" s="235"/>
      <c r="D780" s="236"/>
      <c r="E780" s="235"/>
      <c r="F780" s="235"/>
      <c r="G780" s="237"/>
      <c r="H780" s="235"/>
      <c r="I780" s="235"/>
      <c r="J780" s="235"/>
      <c r="K780" s="66"/>
    </row>
    <row r="781" ht="12.75" customHeight="1">
      <c r="A781" s="238"/>
      <c r="B781" s="235"/>
      <c r="C781" s="235"/>
      <c r="D781" s="236"/>
      <c r="E781" s="235"/>
      <c r="F781" s="235"/>
      <c r="G781" s="237"/>
      <c r="H781" s="235"/>
      <c r="I781" s="235"/>
      <c r="J781" s="235"/>
      <c r="K781" s="66"/>
    </row>
    <row r="782" ht="12.75" customHeight="1">
      <c r="A782" s="238"/>
      <c r="B782" s="235"/>
      <c r="C782" s="235"/>
      <c r="D782" s="236"/>
      <c r="E782" s="235"/>
      <c r="F782" s="235"/>
      <c r="G782" s="237"/>
      <c r="H782" s="235"/>
      <c r="I782" s="235"/>
      <c r="J782" s="235"/>
      <c r="K782" s="66"/>
    </row>
    <row r="783" ht="12.75" customHeight="1">
      <c r="A783" s="238"/>
      <c r="B783" s="235"/>
      <c r="C783" s="235"/>
      <c r="D783" s="236"/>
      <c r="E783" s="235"/>
      <c r="F783" s="235"/>
      <c r="G783" s="237"/>
      <c r="H783" s="235"/>
      <c r="I783" s="235"/>
      <c r="J783" s="235"/>
      <c r="K783" s="66"/>
    </row>
    <row r="784" ht="12.75" customHeight="1">
      <c r="A784" s="238"/>
      <c r="B784" s="235"/>
      <c r="C784" s="235"/>
      <c r="D784" s="236"/>
      <c r="E784" s="235"/>
      <c r="F784" s="235"/>
      <c r="G784" s="237"/>
      <c r="H784" s="235"/>
      <c r="I784" s="235"/>
      <c r="J784" s="235"/>
      <c r="K784" s="66"/>
    </row>
    <row r="785" ht="12.75" customHeight="1">
      <c r="A785" s="238"/>
      <c r="B785" s="235"/>
      <c r="C785" s="235"/>
      <c r="D785" s="236"/>
      <c r="E785" s="235"/>
      <c r="F785" s="235"/>
      <c r="G785" s="237"/>
      <c r="H785" s="235"/>
      <c r="I785" s="235"/>
      <c r="J785" s="235"/>
      <c r="K785" s="66"/>
    </row>
    <row r="786" ht="12.75" customHeight="1">
      <c r="A786" s="238"/>
      <c r="B786" s="235"/>
      <c r="C786" s="235"/>
      <c r="D786" s="236"/>
      <c r="E786" s="235"/>
      <c r="F786" s="235"/>
      <c r="G786" s="237"/>
      <c r="H786" s="235"/>
      <c r="I786" s="235"/>
      <c r="J786" s="235"/>
      <c r="K786" s="66"/>
    </row>
    <row r="787" ht="12.75" customHeight="1">
      <c r="A787" s="238"/>
      <c r="B787" s="235"/>
      <c r="C787" s="235"/>
      <c r="D787" s="236"/>
      <c r="E787" s="235"/>
      <c r="F787" s="235"/>
      <c r="G787" s="237"/>
      <c r="H787" s="235"/>
      <c r="I787" s="235"/>
      <c r="J787" s="235"/>
      <c r="K787" s="66"/>
    </row>
    <row r="788" ht="12.75" customHeight="1">
      <c r="A788" s="238"/>
      <c r="B788" s="235"/>
      <c r="C788" s="235"/>
      <c r="D788" s="236"/>
      <c r="E788" s="235"/>
      <c r="F788" s="235"/>
      <c r="G788" s="237"/>
      <c r="H788" s="235"/>
      <c r="I788" s="235"/>
      <c r="J788" s="235"/>
      <c r="K788" s="66"/>
    </row>
    <row r="789" ht="12.75" customHeight="1">
      <c r="A789" s="238"/>
      <c r="B789" s="235"/>
      <c r="C789" s="235"/>
      <c r="D789" s="236"/>
      <c r="E789" s="235"/>
      <c r="F789" s="235"/>
      <c r="G789" s="237"/>
      <c r="H789" s="235"/>
      <c r="I789" s="235"/>
      <c r="J789" s="235"/>
      <c r="K789" s="66"/>
    </row>
    <row r="790" ht="12.75" customHeight="1">
      <c r="A790" s="238"/>
      <c r="B790" s="235"/>
      <c r="C790" s="235"/>
      <c r="D790" s="236"/>
      <c r="E790" s="235"/>
      <c r="F790" s="235"/>
      <c r="G790" s="237"/>
      <c r="H790" s="235"/>
      <c r="I790" s="235"/>
      <c r="J790" s="235"/>
      <c r="K790" s="66"/>
    </row>
    <row r="791" ht="12.75" customHeight="1">
      <c r="A791" s="238"/>
      <c r="B791" s="235"/>
      <c r="C791" s="235"/>
      <c r="D791" s="236"/>
      <c r="E791" s="235"/>
      <c r="F791" s="235"/>
      <c r="G791" s="237"/>
      <c r="H791" s="235"/>
      <c r="I791" s="235"/>
      <c r="J791" s="235"/>
      <c r="K791" s="66"/>
    </row>
    <row r="792" ht="12.75" customHeight="1">
      <c r="A792" s="238"/>
      <c r="B792" s="235"/>
      <c r="C792" s="235"/>
      <c r="D792" s="236"/>
      <c r="E792" s="235"/>
      <c r="F792" s="235"/>
      <c r="G792" s="237"/>
      <c r="H792" s="235"/>
      <c r="I792" s="235"/>
      <c r="J792" s="235"/>
      <c r="K792" s="66"/>
    </row>
    <row r="793" ht="12.75" customHeight="1">
      <c r="A793" s="238"/>
      <c r="B793" s="235"/>
      <c r="C793" s="235"/>
      <c r="D793" s="236"/>
      <c r="E793" s="235"/>
      <c r="F793" s="235"/>
      <c r="G793" s="237"/>
      <c r="H793" s="235"/>
      <c r="I793" s="235"/>
      <c r="J793" s="235"/>
      <c r="K793" s="66"/>
    </row>
    <row r="794" ht="12.75" customHeight="1">
      <c r="A794" s="238"/>
      <c r="B794" s="235"/>
      <c r="C794" s="235"/>
      <c r="D794" s="236"/>
      <c r="E794" s="235"/>
      <c r="F794" s="235"/>
      <c r="G794" s="237"/>
      <c r="H794" s="235"/>
      <c r="I794" s="235"/>
      <c r="J794" s="235"/>
      <c r="K794" s="66"/>
    </row>
    <row r="795" ht="12.75" customHeight="1">
      <c r="A795" s="238"/>
      <c r="B795" s="235"/>
      <c r="C795" s="235"/>
      <c r="D795" s="236"/>
      <c r="E795" s="235"/>
      <c r="F795" s="235"/>
      <c r="G795" s="237"/>
      <c r="H795" s="235"/>
      <c r="I795" s="235"/>
      <c r="J795" s="235"/>
      <c r="K795" s="66"/>
    </row>
    <row r="796" ht="12.75" customHeight="1">
      <c r="A796" s="238"/>
      <c r="B796" s="235"/>
      <c r="C796" s="235"/>
      <c r="D796" s="236"/>
      <c r="E796" s="235"/>
      <c r="F796" s="235"/>
      <c r="G796" s="237"/>
      <c r="H796" s="235"/>
      <c r="I796" s="235"/>
      <c r="J796" s="235"/>
      <c r="K796" s="66"/>
    </row>
    <row r="797" ht="12.75" customHeight="1">
      <c r="A797" s="238"/>
      <c r="B797" s="235"/>
      <c r="C797" s="235"/>
      <c r="D797" s="236"/>
      <c r="E797" s="235"/>
      <c r="F797" s="235"/>
      <c r="G797" s="237"/>
      <c r="H797" s="235"/>
      <c r="I797" s="235"/>
      <c r="J797" s="235"/>
      <c r="K797" s="66"/>
    </row>
    <row r="798" ht="12.75" customHeight="1">
      <c r="A798" s="238"/>
      <c r="B798" s="235"/>
      <c r="C798" s="235"/>
      <c r="D798" s="236"/>
      <c r="E798" s="235"/>
      <c r="F798" s="235"/>
      <c r="G798" s="237"/>
      <c r="H798" s="235"/>
      <c r="I798" s="235"/>
      <c r="J798" s="235"/>
      <c r="K798" s="66"/>
    </row>
    <row r="799" ht="12.75" customHeight="1">
      <c r="A799" s="238"/>
      <c r="B799" s="235"/>
      <c r="C799" s="235"/>
      <c r="D799" s="236"/>
      <c r="E799" s="235"/>
      <c r="F799" s="235"/>
      <c r="G799" s="237"/>
      <c r="H799" s="235"/>
      <c r="I799" s="235"/>
      <c r="J799" s="235"/>
      <c r="K799" s="66"/>
    </row>
    <row r="800" ht="12.75" customHeight="1">
      <c r="A800" s="238"/>
      <c r="B800" s="235"/>
      <c r="C800" s="235"/>
      <c r="D800" s="236"/>
      <c r="E800" s="235"/>
      <c r="F800" s="235"/>
      <c r="G800" s="237"/>
      <c r="H800" s="235"/>
      <c r="I800" s="235"/>
      <c r="J800" s="235"/>
      <c r="K800" s="66"/>
    </row>
    <row r="801" ht="12.75" customHeight="1">
      <c r="A801" s="238"/>
      <c r="B801" s="235"/>
      <c r="C801" s="235"/>
      <c r="D801" s="236"/>
      <c r="E801" s="235"/>
      <c r="F801" s="235"/>
      <c r="G801" s="237"/>
      <c r="H801" s="235"/>
      <c r="I801" s="235"/>
      <c r="J801" s="235"/>
      <c r="K801" s="66"/>
    </row>
    <row r="802" ht="12.75" customHeight="1">
      <c r="A802" s="238"/>
      <c r="B802" s="235"/>
      <c r="C802" s="235"/>
      <c r="D802" s="236"/>
      <c r="E802" s="235"/>
      <c r="F802" s="235"/>
      <c r="G802" s="237"/>
      <c r="H802" s="235"/>
      <c r="I802" s="235"/>
      <c r="J802" s="235"/>
      <c r="K802" s="66"/>
    </row>
    <row r="803" ht="12.75" customHeight="1">
      <c r="A803" s="238"/>
      <c r="B803" s="235"/>
      <c r="C803" s="235"/>
      <c r="D803" s="236"/>
      <c r="E803" s="235"/>
      <c r="F803" s="235"/>
      <c r="G803" s="237"/>
      <c r="H803" s="235"/>
      <c r="I803" s="235"/>
      <c r="J803" s="235"/>
      <c r="K803" s="66"/>
    </row>
    <row r="804" ht="12.75" customHeight="1">
      <c r="A804" s="238"/>
      <c r="B804" s="235"/>
      <c r="C804" s="235"/>
      <c r="D804" s="236"/>
      <c r="E804" s="235"/>
      <c r="F804" s="235"/>
      <c r="G804" s="237"/>
      <c r="H804" s="235"/>
      <c r="I804" s="235"/>
      <c r="J804" s="235"/>
      <c r="K804" s="66"/>
    </row>
    <row r="805" ht="12.75" customHeight="1">
      <c r="A805" s="238"/>
      <c r="B805" s="235"/>
      <c r="C805" s="235"/>
      <c r="D805" s="236"/>
      <c r="E805" s="235"/>
      <c r="F805" s="235"/>
      <c r="G805" s="237"/>
      <c r="H805" s="235"/>
      <c r="I805" s="235"/>
      <c r="J805" s="235"/>
      <c r="K805" s="66"/>
    </row>
    <row r="806" ht="12.75" customHeight="1">
      <c r="A806" s="238"/>
      <c r="B806" s="235"/>
      <c r="C806" s="235"/>
      <c r="D806" s="236"/>
      <c r="E806" s="235"/>
      <c r="F806" s="235"/>
      <c r="G806" s="237"/>
      <c r="H806" s="235"/>
      <c r="I806" s="235"/>
      <c r="J806" s="235"/>
      <c r="K806" s="66"/>
    </row>
    <row r="807" ht="12.75" customHeight="1">
      <c r="A807" s="238"/>
      <c r="B807" s="235"/>
      <c r="C807" s="235"/>
      <c r="D807" s="236"/>
      <c r="E807" s="235"/>
      <c r="F807" s="235"/>
      <c r="G807" s="237"/>
      <c r="H807" s="235"/>
      <c r="I807" s="235"/>
      <c r="J807" s="235"/>
      <c r="K807" s="66"/>
    </row>
    <row r="808" ht="12.75" customHeight="1">
      <c r="A808" s="238"/>
      <c r="B808" s="235"/>
      <c r="C808" s="235"/>
      <c r="D808" s="236"/>
      <c r="E808" s="235"/>
      <c r="F808" s="235"/>
      <c r="G808" s="237"/>
      <c r="H808" s="235"/>
      <c r="I808" s="235"/>
      <c r="J808" s="235"/>
      <c r="K808" s="66"/>
    </row>
    <row r="809" ht="12.75" customHeight="1">
      <c r="A809" s="238"/>
      <c r="B809" s="235"/>
      <c r="C809" s="235"/>
      <c r="D809" s="236"/>
      <c r="E809" s="235"/>
      <c r="F809" s="235"/>
      <c r="G809" s="237"/>
      <c r="H809" s="235"/>
      <c r="I809" s="235"/>
      <c r="J809" s="235"/>
      <c r="K809" s="66"/>
    </row>
    <row r="810" ht="12.75" customHeight="1">
      <c r="A810" s="238"/>
      <c r="B810" s="235"/>
      <c r="C810" s="235"/>
      <c r="D810" s="236"/>
      <c r="E810" s="235"/>
      <c r="F810" s="235"/>
      <c r="G810" s="237"/>
      <c r="H810" s="235"/>
      <c r="I810" s="235"/>
      <c r="J810" s="235"/>
      <c r="K810" s="66"/>
    </row>
    <row r="811" ht="12.75" customHeight="1">
      <c r="A811" s="238"/>
      <c r="B811" s="235"/>
      <c r="C811" s="235"/>
      <c r="D811" s="236"/>
      <c r="E811" s="235"/>
      <c r="F811" s="235"/>
      <c r="G811" s="237"/>
      <c r="H811" s="235"/>
      <c r="I811" s="235"/>
      <c r="J811" s="235"/>
      <c r="K811" s="66"/>
    </row>
    <row r="812" ht="12.75" customHeight="1">
      <c r="A812" s="238"/>
      <c r="B812" s="235"/>
      <c r="C812" s="235"/>
      <c r="D812" s="236"/>
      <c r="E812" s="235"/>
      <c r="F812" s="235"/>
      <c r="G812" s="237"/>
      <c r="H812" s="235"/>
      <c r="I812" s="235"/>
      <c r="J812" s="235"/>
      <c r="K812" s="66"/>
    </row>
    <row r="813" ht="12.75" customHeight="1">
      <c r="A813" s="238"/>
      <c r="B813" s="235"/>
      <c r="C813" s="235"/>
      <c r="D813" s="236"/>
      <c r="E813" s="235"/>
      <c r="F813" s="235"/>
      <c r="G813" s="237"/>
      <c r="H813" s="235"/>
      <c r="I813" s="235"/>
      <c r="J813" s="235"/>
      <c r="K813" s="66"/>
    </row>
    <row r="814" ht="12.75" customHeight="1">
      <c r="A814" s="238"/>
      <c r="B814" s="235"/>
      <c r="C814" s="235"/>
      <c r="D814" s="236"/>
      <c r="E814" s="235"/>
      <c r="F814" s="235"/>
      <c r="G814" s="237"/>
      <c r="H814" s="235"/>
      <c r="I814" s="235"/>
      <c r="J814" s="235"/>
      <c r="K814" s="66"/>
    </row>
    <row r="815" ht="12.75" customHeight="1">
      <c r="A815" s="238"/>
      <c r="B815" s="235"/>
      <c r="C815" s="235"/>
      <c r="D815" s="236"/>
      <c r="E815" s="235"/>
      <c r="F815" s="235"/>
      <c r="G815" s="237"/>
      <c r="H815" s="235"/>
      <c r="I815" s="235"/>
      <c r="J815" s="235"/>
      <c r="K815" s="66"/>
    </row>
    <row r="816" ht="12.75" customHeight="1">
      <c r="A816" s="238"/>
      <c r="B816" s="235"/>
      <c r="C816" s="235"/>
      <c r="D816" s="236"/>
      <c r="E816" s="235"/>
      <c r="F816" s="235"/>
      <c r="G816" s="237"/>
      <c r="H816" s="235"/>
      <c r="I816" s="235"/>
      <c r="J816" s="235"/>
      <c r="K816" s="66"/>
    </row>
    <row r="817" ht="12.75" customHeight="1">
      <c r="A817" s="238"/>
      <c r="B817" s="235"/>
      <c r="C817" s="235"/>
      <c r="D817" s="236"/>
      <c r="E817" s="235"/>
      <c r="F817" s="235"/>
      <c r="G817" s="237"/>
      <c r="H817" s="235"/>
      <c r="I817" s="235"/>
      <c r="J817" s="235"/>
      <c r="K817" s="66"/>
    </row>
    <row r="818" ht="12.75" customHeight="1">
      <c r="A818" s="238"/>
      <c r="B818" s="235"/>
      <c r="C818" s="235"/>
      <c r="D818" s="236"/>
      <c r="E818" s="235"/>
      <c r="F818" s="235"/>
      <c r="G818" s="237"/>
      <c r="H818" s="235"/>
      <c r="I818" s="235"/>
      <c r="J818" s="235"/>
      <c r="K818" s="66"/>
    </row>
    <row r="819" ht="12.75" customHeight="1">
      <c r="A819" s="238"/>
      <c r="B819" s="235"/>
      <c r="C819" s="235"/>
      <c r="D819" s="236"/>
      <c r="E819" s="235"/>
      <c r="F819" s="235"/>
      <c r="G819" s="237"/>
      <c r="H819" s="235"/>
      <c r="I819" s="235"/>
      <c r="J819" s="235"/>
      <c r="K819" s="66"/>
    </row>
    <row r="820" ht="12.75" customHeight="1">
      <c r="A820" s="238"/>
      <c r="B820" s="235"/>
      <c r="C820" s="235"/>
      <c r="D820" s="236"/>
      <c r="E820" s="235"/>
      <c r="F820" s="235"/>
      <c r="G820" s="237"/>
      <c r="H820" s="235"/>
      <c r="I820" s="235"/>
      <c r="J820" s="235"/>
      <c r="K820" s="66"/>
    </row>
    <row r="821" ht="12.75" customHeight="1">
      <c r="A821" s="238"/>
      <c r="B821" s="235"/>
      <c r="C821" s="235"/>
      <c r="D821" s="236"/>
      <c r="E821" s="235"/>
      <c r="F821" s="235"/>
      <c r="G821" s="237"/>
      <c r="H821" s="235"/>
      <c r="I821" s="235"/>
      <c r="J821" s="235"/>
      <c r="K821" s="66"/>
    </row>
    <row r="822" ht="12.75" customHeight="1">
      <c r="A822" s="238"/>
      <c r="B822" s="235"/>
      <c r="C822" s="235"/>
      <c r="D822" s="236"/>
      <c r="E822" s="235"/>
      <c r="F822" s="235"/>
      <c r="G822" s="237"/>
      <c r="H822" s="235"/>
      <c r="I822" s="235"/>
      <c r="J822" s="235"/>
      <c r="K822" s="66"/>
    </row>
    <row r="823" ht="12.75" customHeight="1">
      <c r="A823" s="238"/>
      <c r="B823" s="235"/>
      <c r="C823" s="235"/>
      <c r="D823" s="236"/>
      <c r="E823" s="235"/>
      <c r="F823" s="235"/>
      <c r="G823" s="237"/>
      <c r="H823" s="235"/>
      <c r="I823" s="235"/>
      <c r="J823" s="235"/>
      <c r="K823" s="66"/>
    </row>
    <row r="824" ht="12.75" customHeight="1">
      <c r="A824" s="238"/>
      <c r="B824" s="235"/>
      <c r="C824" s="235"/>
      <c r="D824" s="236"/>
      <c r="E824" s="235"/>
      <c r="F824" s="235"/>
      <c r="G824" s="237"/>
      <c r="H824" s="235"/>
      <c r="I824" s="235"/>
      <c r="J824" s="235"/>
      <c r="K824" s="66"/>
    </row>
    <row r="825" ht="12.75" customHeight="1">
      <c r="A825" s="238"/>
      <c r="B825" s="235"/>
      <c r="C825" s="235"/>
      <c r="D825" s="236"/>
      <c r="E825" s="235"/>
      <c r="F825" s="235"/>
      <c r="G825" s="237"/>
      <c r="H825" s="235"/>
      <c r="I825" s="235"/>
      <c r="J825" s="235"/>
      <c r="K825" s="66"/>
    </row>
    <row r="826" ht="12.75" customHeight="1">
      <c r="A826" s="238"/>
      <c r="B826" s="235"/>
      <c r="C826" s="235"/>
      <c r="D826" s="236"/>
      <c r="E826" s="235"/>
      <c r="F826" s="235"/>
      <c r="G826" s="237"/>
      <c r="H826" s="235"/>
      <c r="I826" s="235"/>
      <c r="J826" s="235"/>
      <c r="K826" s="66"/>
    </row>
    <row r="827" ht="12.75" customHeight="1">
      <c r="A827" s="238"/>
      <c r="B827" s="235"/>
      <c r="C827" s="235"/>
      <c r="D827" s="236"/>
      <c r="E827" s="235"/>
      <c r="F827" s="235"/>
      <c r="G827" s="237"/>
      <c r="H827" s="235"/>
      <c r="I827" s="235"/>
      <c r="J827" s="235"/>
      <c r="K827" s="66"/>
    </row>
    <row r="828" ht="12.75" customHeight="1">
      <c r="A828" s="238"/>
      <c r="B828" s="235"/>
      <c r="C828" s="235"/>
      <c r="D828" s="236"/>
      <c r="E828" s="235"/>
      <c r="F828" s="235"/>
      <c r="G828" s="237"/>
      <c r="H828" s="235"/>
      <c r="I828" s="235"/>
      <c r="J828" s="235"/>
      <c r="K828" s="66"/>
    </row>
    <row r="829" ht="12.75" customHeight="1">
      <c r="A829" s="238"/>
      <c r="B829" s="235"/>
      <c r="C829" s="235"/>
      <c r="D829" s="236"/>
      <c r="E829" s="235"/>
      <c r="F829" s="235"/>
      <c r="G829" s="237"/>
      <c r="H829" s="235"/>
      <c r="I829" s="235"/>
      <c r="J829" s="235"/>
      <c r="K829" s="66"/>
    </row>
    <row r="830" ht="12.75" customHeight="1">
      <c r="A830" s="238"/>
      <c r="B830" s="235"/>
      <c r="C830" s="235"/>
      <c r="D830" s="236"/>
      <c r="E830" s="235"/>
      <c r="F830" s="235"/>
      <c r="G830" s="237"/>
      <c r="H830" s="235"/>
      <c r="I830" s="235"/>
      <c r="J830" s="235"/>
      <c r="K830" s="66"/>
    </row>
    <row r="831" ht="12.75" customHeight="1">
      <c r="A831" s="238"/>
      <c r="B831" s="235"/>
      <c r="C831" s="235"/>
      <c r="D831" s="236"/>
      <c r="E831" s="235"/>
      <c r="F831" s="235"/>
      <c r="G831" s="237"/>
      <c r="H831" s="235"/>
      <c r="I831" s="235"/>
      <c r="J831" s="235"/>
      <c r="K831" s="66"/>
    </row>
    <row r="832" ht="12.75" customHeight="1">
      <c r="A832" s="238"/>
      <c r="B832" s="235"/>
      <c r="C832" s="235"/>
      <c r="D832" s="236"/>
      <c r="E832" s="235"/>
      <c r="F832" s="235"/>
      <c r="G832" s="237"/>
      <c r="H832" s="235"/>
      <c r="I832" s="235"/>
      <c r="J832" s="235"/>
      <c r="K832" s="66"/>
    </row>
    <row r="833" ht="12.75" customHeight="1">
      <c r="A833" s="238"/>
      <c r="B833" s="235"/>
      <c r="C833" s="235"/>
      <c r="D833" s="236"/>
      <c r="E833" s="235"/>
      <c r="F833" s="235"/>
      <c r="G833" s="237"/>
      <c r="H833" s="235"/>
      <c r="I833" s="235"/>
      <c r="J833" s="235"/>
      <c r="K833" s="66"/>
    </row>
    <row r="834" ht="12.75" customHeight="1">
      <c r="A834" s="238"/>
      <c r="B834" s="235"/>
      <c r="C834" s="235"/>
      <c r="D834" s="236"/>
      <c r="E834" s="235"/>
      <c r="F834" s="235"/>
      <c r="G834" s="237"/>
      <c r="H834" s="235"/>
      <c r="I834" s="235"/>
      <c r="J834" s="235"/>
      <c r="K834" s="66"/>
    </row>
    <row r="835" ht="12.75" customHeight="1">
      <c r="A835" s="238"/>
      <c r="B835" s="235"/>
      <c r="C835" s="235"/>
      <c r="D835" s="236"/>
      <c r="E835" s="235"/>
      <c r="F835" s="235"/>
      <c r="G835" s="237"/>
      <c r="H835" s="235"/>
      <c r="I835" s="235"/>
      <c r="J835" s="235"/>
      <c r="K835" s="66"/>
    </row>
    <row r="836" ht="12.75" customHeight="1">
      <c r="A836" s="238"/>
      <c r="B836" s="235"/>
      <c r="C836" s="235"/>
      <c r="D836" s="236"/>
      <c r="E836" s="235"/>
      <c r="F836" s="235"/>
      <c r="G836" s="237"/>
      <c r="H836" s="235"/>
      <c r="I836" s="235"/>
      <c r="J836" s="235"/>
      <c r="K836" s="66"/>
    </row>
    <row r="837" ht="12.75" customHeight="1">
      <c r="A837" s="238"/>
      <c r="B837" s="235"/>
      <c r="C837" s="235"/>
      <c r="D837" s="236"/>
      <c r="E837" s="235"/>
      <c r="F837" s="235"/>
      <c r="G837" s="237"/>
      <c r="H837" s="235"/>
      <c r="I837" s="235"/>
      <c r="J837" s="235"/>
      <c r="K837" s="66"/>
    </row>
    <row r="838" ht="12.75" customHeight="1">
      <c r="A838" s="238"/>
      <c r="B838" s="235"/>
      <c r="C838" s="235"/>
      <c r="D838" s="236"/>
      <c r="E838" s="235"/>
      <c r="F838" s="235"/>
      <c r="G838" s="237"/>
      <c r="H838" s="235"/>
      <c r="I838" s="235"/>
      <c r="J838" s="235"/>
      <c r="K838" s="66"/>
    </row>
    <row r="839" ht="12.75" customHeight="1">
      <c r="A839" s="238"/>
      <c r="B839" s="235"/>
      <c r="C839" s="235"/>
      <c r="D839" s="236"/>
      <c r="E839" s="235"/>
      <c r="F839" s="235"/>
      <c r="G839" s="237"/>
      <c r="H839" s="235"/>
      <c r="I839" s="235"/>
      <c r="J839" s="235"/>
      <c r="K839" s="66"/>
    </row>
    <row r="840" ht="12.75" customHeight="1">
      <c r="A840" s="238"/>
      <c r="B840" s="235"/>
      <c r="C840" s="235"/>
      <c r="D840" s="236"/>
      <c r="E840" s="235"/>
      <c r="F840" s="235"/>
      <c r="G840" s="237"/>
      <c r="H840" s="235"/>
      <c r="I840" s="235"/>
      <c r="J840" s="235"/>
      <c r="K840" s="66"/>
    </row>
    <row r="841" ht="12.75" customHeight="1">
      <c r="A841" s="238"/>
      <c r="B841" s="235"/>
      <c r="C841" s="235"/>
      <c r="D841" s="236"/>
      <c r="E841" s="235"/>
      <c r="F841" s="235"/>
      <c r="G841" s="237"/>
      <c r="H841" s="235"/>
      <c r="I841" s="235"/>
      <c r="J841" s="235"/>
      <c r="K841" s="66"/>
    </row>
    <row r="842" ht="12.75" customHeight="1">
      <c r="A842" s="238"/>
      <c r="B842" s="235"/>
      <c r="C842" s="235"/>
      <c r="D842" s="236"/>
      <c r="E842" s="235"/>
      <c r="F842" s="235"/>
      <c r="G842" s="237"/>
      <c r="H842" s="235"/>
      <c r="I842" s="235"/>
      <c r="J842" s="235"/>
      <c r="K842" s="66"/>
    </row>
    <row r="843" ht="12.75" customHeight="1">
      <c r="A843" s="238"/>
      <c r="B843" s="235"/>
      <c r="C843" s="235"/>
      <c r="D843" s="236"/>
      <c r="E843" s="235"/>
      <c r="F843" s="235"/>
      <c r="G843" s="237"/>
      <c r="H843" s="235"/>
      <c r="I843" s="235"/>
      <c r="J843" s="235"/>
      <c r="K843" s="66"/>
    </row>
    <row r="844" ht="12.75" customHeight="1">
      <c r="A844" s="238"/>
      <c r="B844" s="235"/>
      <c r="C844" s="235"/>
      <c r="D844" s="236"/>
      <c r="E844" s="235"/>
      <c r="F844" s="235"/>
      <c r="G844" s="237"/>
      <c r="H844" s="235"/>
      <c r="I844" s="235"/>
      <c r="J844" s="235"/>
      <c r="K844" s="66"/>
    </row>
    <row r="845" ht="12.75" customHeight="1">
      <c r="A845" s="238"/>
      <c r="B845" s="235"/>
      <c r="C845" s="235"/>
      <c r="D845" s="236"/>
      <c r="E845" s="235"/>
      <c r="F845" s="235"/>
      <c r="G845" s="237"/>
      <c r="H845" s="235"/>
      <c r="I845" s="235"/>
      <c r="J845" s="235"/>
      <c r="K845" s="66"/>
    </row>
    <row r="846" ht="12.75" customHeight="1">
      <c r="A846" s="238"/>
      <c r="B846" s="235"/>
      <c r="C846" s="235"/>
      <c r="D846" s="236"/>
      <c r="E846" s="235"/>
      <c r="F846" s="235"/>
      <c r="G846" s="237"/>
      <c r="H846" s="235"/>
      <c r="I846" s="235"/>
      <c r="J846" s="235"/>
      <c r="K846" s="66"/>
    </row>
    <row r="847" ht="12.75" customHeight="1">
      <c r="A847" s="238"/>
      <c r="B847" s="235"/>
      <c r="C847" s="235"/>
      <c r="D847" s="236"/>
      <c r="E847" s="235"/>
      <c r="F847" s="235"/>
      <c r="G847" s="237"/>
      <c r="H847" s="235"/>
      <c r="I847" s="235"/>
      <c r="J847" s="235"/>
      <c r="K847" s="66"/>
    </row>
    <row r="848" ht="12.75" customHeight="1">
      <c r="A848" s="238"/>
      <c r="B848" s="235"/>
      <c r="C848" s="235"/>
      <c r="D848" s="236"/>
      <c r="E848" s="235"/>
      <c r="F848" s="235"/>
      <c r="G848" s="237"/>
      <c r="H848" s="235"/>
      <c r="I848" s="235"/>
      <c r="J848" s="235"/>
      <c r="K848" s="66"/>
    </row>
    <row r="849" ht="12.75" customHeight="1">
      <c r="A849" s="238"/>
      <c r="B849" s="235"/>
      <c r="C849" s="235"/>
      <c r="D849" s="236"/>
      <c r="E849" s="235"/>
      <c r="F849" s="235"/>
      <c r="G849" s="237"/>
      <c r="H849" s="235"/>
      <c r="I849" s="235"/>
      <c r="J849" s="235"/>
      <c r="K849" s="66"/>
    </row>
    <row r="850" ht="12.75" customHeight="1">
      <c r="A850" s="238"/>
      <c r="B850" s="235"/>
      <c r="C850" s="235"/>
      <c r="D850" s="236"/>
      <c r="E850" s="235"/>
      <c r="F850" s="235"/>
      <c r="G850" s="237"/>
      <c r="H850" s="235"/>
      <c r="I850" s="235"/>
      <c r="J850" s="235"/>
      <c r="K850" s="66"/>
    </row>
    <row r="851" ht="12.75" customHeight="1">
      <c r="A851" s="238"/>
      <c r="B851" s="235"/>
      <c r="C851" s="235"/>
      <c r="D851" s="236"/>
      <c r="E851" s="235"/>
      <c r="F851" s="235"/>
      <c r="G851" s="237"/>
      <c r="H851" s="235"/>
      <c r="I851" s="235"/>
      <c r="J851" s="235"/>
      <c r="K851" s="66"/>
    </row>
    <row r="852" ht="12.75" customHeight="1">
      <c r="A852" s="238"/>
      <c r="B852" s="235"/>
      <c r="C852" s="235"/>
      <c r="D852" s="236"/>
      <c r="E852" s="235"/>
      <c r="F852" s="235"/>
      <c r="G852" s="237"/>
      <c r="H852" s="235"/>
      <c r="I852" s="235"/>
      <c r="J852" s="235"/>
      <c r="K852" s="66"/>
    </row>
    <row r="853" ht="12.75" customHeight="1">
      <c r="A853" s="238"/>
      <c r="B853" s="235"/>
      <c r="C853" s="235"/>
      <c r="D853" s="236"/>
      <c r="E853" s="235"/>
      <c r="F853" s="235"/>
      <c r="G853" s="237"/>
      <c r="H853" s="235"/>
      <c r="I853" s="235"/>
      <c r="J853" s="235"/>
      <c r="K853" s="66"/>
    </row>
    <row r="854" ht="12.75" customHeight="1">
      <c r="A854" s="238"/>
      <c r="B854" s="235"/>
      <c r="C854" s="235"/>
      <c r="D854" s="236"/>
      <c r="E854" s="235"/>
      <c r="F854" s="235"/>
      <c r="G854" s="237"/>
      <c r="H854" s="235"/>
      <c r="I854" s="235"/>
      <c r="J854" s="235"/>
      <c r="K854" s="66"/>
    </row>
    <row r="855" ht="12.75" customHeight="1">
      <c r="A855" s="238"/>
      <c r="B855" s="235"/>
      <c r="C855" s="235"/>
      <c r="D855" s="236"/>
      <c r="E855" s="235"/>
      <c r="F855" s="235"/>
      <c r="G855" s="237"/>
      <c r="H855" s="235"/>
      <c r="I855" s="235"/>
      <c r="J855" s="235"/>
      <c r="K855" s="66"/>
    </row>
    <row r="856" ht="12.75" customHeight="1">
      <c r="A856" s="238"/>
      <c r="B856" s="235"/>
      <c r="C856" s="235"/>
      <c r="D856" s="236"/>
      <c r="E856" s="235"/>
      <c r="F856" s="235"/>
      <c r="G856" s="237"/>
      <c r="H856" s="235"/>
      <c r="I856" s="235"/>
      <c r="J856" s="235"/>
      <c r="K856" s="66"/>
    </row>
    <row r="857" ht="12.75" customHeight="1">
      <c r="A857" s="238"/>
      <c r="B857" s="235"/>
      <c r="C857" s="235"/>
      <c r="D857" s="236"/>
      <c r="E857" s="235"/>
      <c r="F857" s="235"/>
      <c r="G857" s="237"/>
      <c r="H857" s="235"/>
      <c r="I857" s="235"/>
      <c r="J857" s="235"/>
      <c r="K857" s="66"/>
    </row>
    <row r="858" ht="12.75" customHeight="1">
      <c r="A858" s="238"/>
      <c r="B858" s="235"/>
      <c r="C858" s="235"/>
      <c r="D858" s="236"/>
      <c r="E858" s="235"/>
      <c r="F858" s="235"/>
      <c r="G858" s="237"/>
      <c r="H858" s="235"/>
      <c r="I858" s="235"/>
      <c r="J858" s="235"/>
      <c r="K858" s="66"/>
    </row>
    <row r="859" ht="12.75" customHeight="1">
      <c r="A859" s="238"/>
      <c r="B859" s="235"/>
      <c r="C859" s="235"/>
      <c r="D859" s="236"/>
      <c r="E859" s="235"/>
      <c r="F859" s="235"/>
      <c r="G859" s="237"/>
      <c r="H859" s="235"/>
      <c r="I859" s="235"/>
      <c r="J859" s="235"/>
      <c r="K859" s="66"/>
    </row>
    <row r="860" ht="12.75" customHeight="1">
      <c r="A860" s="238"/>
      <c r="B860" s="235"/>
      <c r="C860" s="235"/>
      <c r="D860" s="236"/>
      <c r="E860" s="235"/>
      <c r="F860" s="235"/>
      <c r="G860" s="237"/>
      <c r="H860" s="235"/>
      <c r="I860" s="235"/>
      <c r="J860" s="235"/>
      <c r="K860" s="66"/>
    </row>
    <row r="861" ht="12.75" customHeight="1">
      <c r="A861" s="238"/>
      <c r="B861" s="235"/>
      <c r="C861" s="235"/>
      <c r="D861" s="236"/>
      <c r="E861" s="235"/>
      <c r="F861" s="235"/>
      <c r="G861" s="237"/>
      <c r="H861" s="235"/>
      <c r="I861" s="235"/>
      <c r="J861" s="235"/>
      <c r="K861" s="66"/>
    </row>
    <row r="862" ht="12.75" customHeight="1">
      <c r="A862" s="238"/>
      <c r="B862" s="235"/>
      <c r="C862" s="235"/>
      <c r="D862" s="236"/>
      <c r="E862" s="235"/>
      <c r="F862" s="235"/>
      <c r="G862" s="237"/>
      <c r="H862" s="235"/>
      <c r="I862" s="235"/>
      <c r="J862" s="235"/>
      <c r="K862" s="66"/>
    </row>
    <row r="863" ht="12.75" customHeight="1">
      <c r="A863" s="238"/>
      <c r="B863" s="235"/>
      <c r="C863" s="235"/>
      <c r="D863" s="236"/>
      <c r="E863" s="235"/>
      <c r="F863" s="235"/>
      <c r="G863" s="237"/>
      <c r="H863" s="235"/>
      <c r="I863" s="235"/>
      <c r="J863" s="235"/>
      <c r="K863" s="66"/>
    </row>
    <row r="864" ht="12.75" customHeight="1">
      <c r="A864" s="238"/>
      <c r="B864" s="235"/>
      <c r="C864" s="235"/>
      <c r="D864" s="236"/>
      <c r="E864" s="235"/>
      <c r="F864" s="235"/>
      <c r="G864" s="237"/>
      <c r="H864" s="235"/>
      <c r="I864" s="235"/>
      <c r="J864" s="235"/>
      <c r="K864" s="66"/>
    </row>
    <row r="865" ht="12.75" customHeight="1">
      <c r="A865" s="238"/>
      <c r="B865" s="235"/>
      <c r="C865" s="235"/>
      <c r="D865" s="236"/>
      <c r="E865" s="235"/>
      <c r="F865" s="235"/>
      <c r="G865" s="237"/>
      <c r="H865" s="235"/>
      <c r="I865" s="235"/>
      <c r="J865" s="235"/>
      <c r="K865" s="66"/>
    </row>
    <row r="866" ht="12.75" customHeight="1">
      <c r="A866" s="238"/>
      <c r="B866" s="235"/>
      <c r="C866" s="235"/>
      <c r="D866" s="236"/>
      <c r="E866" s="235"/>
      <c r="F866" s="235"/>
      <c r="G866" s="237"/>
      <c r="H866" s="235"/>
      <c r="I866" s="235"/>
      <c r="J866" s="235"/>
      <c r="K866" s="66"/>
    </row>
    <row r="867" ht="12.75" customHeight="1">
      <c r="A867" s="238"/>
      <c r="B867" s="235"/>
      <c r="C867" s="235"/>
      <c r="D867" s="236"/>
      <c r="E867" s="235"/>
      <c r="F867" s="235"/>
      <c r="G867" s="237"/>
      <c r="H867" s="235"/>
      <c r="I867" s="235"/>
      <c r="J867" s="235"/>
      <c r="K867" s="66"/>
    </row>
    <row r="868" ht="12.75" customHeight="1">
      <c r="A868" s="238"/>
      <c r="B868" s="235"/>
      <c r="C868" s="235"/>
      <c r="D868" s="236"/>
      <c r="E868" s="235"/>
      <c r="F868" s="235"/>
      <c r="G868" s="237"/>
      <c r="H868" s="235"/>
      <c r="I868" s="235"/>
      <c r="J868" s="235"/>
      <c r="K868" s="66"/>
    </row>
    <row r="869" ht="12.75" customHeight="1">
      <c r="A869" s="238"/>
      <c r="B869" s="235"/>
      <c r="C869" s="235"/>
      <c r="D869" s="236"/>
      <c r="E869" s="235"/>
      <c r="F869" s="235"/>
      <c r="G869" s="237"/>
      <c r="H869" s="235"/>
      <c r="I869" s="235"/>
      <c r="J869" s="235"/>
      <c r="K869" s="66"/>
    </row>
    <row r="870" ht="12.75" customHeight="1">
      <c r="A870" s="238"/>
      <c r="B870" s="235"/>
      <c r="C870" s="235"/>
      <c r="D870" s="236"/>
      <c r="E870" s="235"/>
      <c r="F870" s="235"/>
      <c r="G870" s="237"/>
      <c r="H870" s="235"/>
      <c r="I870" s="235"/>
      <c r="J870" s="235"/>
      <c r="K870" s="66"/>
    </row>
    <row r="871" ht="12.75" customHeight="1">
      <c r="A871" s="238"/>
      <c r="B871" s="235"/>
      <c r="C871" s="235"/>
      <c r="D871" s="236"/>
      <c r="E871" s="235"/>
      <c r="F871" s="235"/>
      <c r="G871" s="237"/>
      <c r="H871" s="235"/>
      <c r="I871" s="235"/>
      <c r="J871" s="235"/>
      <c r="K871" s="66"/>
    </row>
    <row r="872" ht="12.75" customHeight="1">
      <c r="A872" s="238"/>
      <c r="B872" s="235"/>
      <c r="C872" s="235"/>
      <c r="D872" s="236"/>
      <c r="E872" s="235"/>
      <c r="F872" s="235"/>
      <c r="G872" s="237"/>
      <c r="H872" s="235"/>
      <c r="I872" s="235"/>
      <c r="J872" s="235"/>
      <c r="K872" s="66"/>
    </row>
    <row r="873" ht="12.75" customHeight="1">
      <c r="A873" s="238"/>
      <c r="B873" s="235"/>
      <c r="C873" s="235"/>
      <c r="D873" s="236"/>
      <c r="E873" s="235"/>
      <c r="F873" s="235"/>
      <c r="G873" s="237"/>
      <c r="H873" s="235"/>
      <c r="I873" s="235"/>
      <c r="J873" s="235"/>
      <c r="K873" s="66"/>
    </row>
    <row r="874" ht="12.75" customHeight="1">
      <c r="A874" s="238"/>
      <c r="B874" s="235"/>
      <c r="C874" s="235"/>
      <c r="D874" s="236"/>
      <c r="E874" s="235"/>
      <c r="F874" s="235"/>
      <c r="G874" s="237"/>
      <c r="H874" s="235"/>
      <c r="I874" s="235"/>
      <c r="J874" s="235"/>
      <c r="K874" s="66"/>
    </row>
    <row r="875" ht="12.75" customHeight="1">
      <c r="A875" s="238"/>
      <c r="B875" s="235"/>
      <c r="C875" s="235"/>
      <c r="D875" s="236"/>
      <c r="E875" s="235"/>
      <c r="F875" s="235"/>
      <c r="G875" s="237"/>
      <c r="H875" s="235"/>
      <c r="I875" s="235"/>
      <c r="J875" s="235"/>
      <c r="K875" s="66"/>
    </row>
    <row r="876" ht="12.75" customHeight="1">
      <c r="A876" s="238"/>
      <c r="B876" s="235"/>
      <c r="C876" s="235"/>
      <c r="D876" s="236"/>
      <c r="E876" s="235"/>
      <c r="F876" s="235"/>
      <c r="G876" s="237"/>
      <c r="H876" s="235"/>
      <c r="I876" s="235"/>
      <c r="J876" s="235"/>
      <c r="K876" s="66"/>
    </row>
    <row r="877" ht="12.75" customHeight="1">
      <c r="A877" s="238"/>
      <c r="B877" s="235"/>
      <c r="C877" s="235"/>
      <c r="D877" s="236"/>
      <c r="E877" s="235"/>
      <c r="F877" s="235"/>
      <c r="G877" s="237"/>
      <c r="H877" s="235"/>
      <c r="I877" s="235"/>
      <c r="J877" s="235"/>
      <c r="K877" s="66"/>
    </row>
    <row r="878" ht="12.75" customHeight="1">
      <c r="A878" s="238"/>
      <c r="B878" s="235"/>
      <c r="C878" s="235"/>
      <c r="D878" s="236"/>
      <c r="E878" s="235"/>
      <c r="F878" s="235"/>
      <c r="G878" s="237"/>
      <c r="H878" s="235"/>
      <c r="I878" s="235"/>
      <c r="J878" s="235"/>
      <c r="K878" s="66"/>
    </row>
    <row r="879" ht="12.75" customHeight="1">
      <c r="A879" s="238"/>
      <c r="B879" s="235"/>
      <c r="C879" s="235"/>
      <c r="D879" s="236"/>
      <c r="E879" s="235"/>
      <c r="F879" s="235"/>
      <c r="G879" s="237"/>
      <c r="H879" s="235"/>
      <c r="I879" s="235"/>
      <c r="J879" s="235"/>
      <c r="K879" s="66"/>
    </row>
    <row r="880" ht="12.75" customHeight="1">
      <c r="A880" s="238"/>
      <c r="B880" s="235"/>
      <c r="C880" s="235"/>
      <c r="D880" s="236"/>
      <c r="E880" s="235"/>
      <c r="F880" s="235"/>
      <c r="G880" s="237"/>
      <c r="H880" s="235"/>
      <c r="I880" s="235"/>
      <c r="J880" s="235"/>
      <c r="K880" s="66"/>
    </row>
    <row r="881" ht="12.75" customHeight="1">
      <c r="A881" s="238"/>
      <c r="B881" s="235"/>
      <c r="C881" s="235"/>
      <c r="D881" s="236"/>
      <c r="E881" s="235"/>
      <c r="F881" s="235"/>
      <c r="G881" s="237"/>
      <c r="H881" s="235"/>
      <c r="I881" s="235"/>
      <c r="J881" s="235"/>
      <c r="K881" s="66"/>
    </row>
    <row r="882" ht="12.75" customHeight="1">
      <c r="A882" s="238"/>
      <c r="B882" s="235"/>
      <c r="C882" s="235"/>
      <c r="D882" s="236"/>
      <c r="E882" s="235"/>
      <c r="F882" s="235"/>
      <c r="G882" s="237"/>
      <c r="H882" s="235"/>
      <c r="I882" s="235"/>
      <c r="J882" s="235"/>
      <c r="K882" s="66"/>
    </row>
    <row r="883" ht="12.75" customHeight="1">
      <c r="A883" s="238"/>
      <c r="B883" s="235"/>
      <c r="C883" s="235"/>
      <c r="D883" s="236"/>
      <c r="E883" s="235"/>
      <c r="F883" s="235"/>
      <c r="G883" s="237"/>
      <c r="H883" s="235"/>
      <c r="I883" s="235"/>
      <c r="J883" s="235"/>
      <c r="K883" s="66"/>
    </row>
    <row r="884" ht="12.75" customHeight="1">
      <c r="A884" s="238"/>
      <c r="B884" s="235"/>
      <c r="C884" s="235"/>
      <c r="D884" s="236"/>
      <c r="E884" s="235"/>
      <c r="F884" s="235"/>
      <c r="G884" s="237"/>
      <c r="H884" s="235"/>
      <c r="I884" s="235"/>
      <c r="J884" s="235"/>
      <c r="K884" s="66"/>
    </row>
    <row r="885" ht="12.75" customHeight="1">
      <c r="A885" s="238"/>
      <c r="B885" s="235"/>
      <c r="C885" s="235"/>
      <c r="D885" s="236"/>
      <c r="E885" s="235"/>
      <c r="F885" s="235"/>
      <c r="G885" s="237"/>
      <c r="H885" s="235"/>
      <c r="I885" s="235"/>
      <c r="J885" s="235"/>
      <c r="K885" s="66"/>
    </row>
    <row r="886" ht="12.75" customHeight="1">
      <c r="A886" s="238"/>
      <c r="B886" s="235"/>
      <c r="C886" s="235"/>
      <c r="D886" s="236"/>
      <c r="E886" s="235"/>
      <c r="F886" s="235"/>
      <c r="G886" s="237"/>
      <c r="H886" s="235"/>
      <c r="I886" s="235"/>
      <c r="J886" s="235"/>
      <c r="K886" s="66"/>
    </row>
    <row r="887" ht="12.75" customHeight="1">
      <c r="A887" s="238"/>
      <c r="B887" s="235"/>
      <c r="C887" s="235"/>
      <c r="D887" s="236"/>
      <c r="E887" s="235"/>
      <c r="F887" s="235"/>
      <c r="G887" s="237"/>
      <c r="H887" s="235"/>
      <c r="I887" s="235"/>
      <c r="J887" s="235"/>
      <c r="K887" s="66"/>
    </row>
    <row r="888" ht="12.75" customHeight="1">
      <c r="A888" s="238"/>
      <c r="B888" s="235"/>
      <c r="C888" s="235"/>
      <c r="D888" s="236"/>
      <c r="E888" s="235"/>
      <c r="F888" s="235"/>
      <c r="G888" s="237"/>
      <c r="H888" s="235"/>
      <c r="I888" s="235"/>
      <c r="J888" s="235"/>
      <c r="K888" s="66"/>
    </row>
    <row r="889" ht="12.75" customHeight="1">
      <c r="A889" s="238"/>
      <c r="B889" s="235"/>
      <c r="C889" s="235"/>
      <c r="D889" s="236"/>
      <c r="E889" s="235"/>
      <c r="F889" s="235"/>
      <c r="G889" s="237"/>
      <c r="H889" s="235"/>
      <c r="I889" s="235"/>
      <c r="J889" s="235"/>
      <c r="K889" s="66"/>
    </row>
    <row r="890" ht="12.75" customHeight="1">
      <c r="A890" s="238"/>
      <c r="B890" s="235"/>
      <c r="C890" s="235"/>
      <c r="D890" s="236"/>
      <c r="E890" s="235"/>
      <c r="F890" s="235"/>
      <c r="G890" s="237"/>
      <c r="H890" s="235"/>
      <c r="I890" s="235"/>
      <c r="J890" s="235"/>
      <c r="K890" s="66"/>
    </row>
    <row r="891" ht="12.75" customHeight="1">
      <c r="A891" s="238"/>
      <c r="B891" s="235"/>
      <c r="C891" s="235"/>
      <c r="D891" s="236"/>
      <c r="E891" s="235"/>
      <c r="F891" s="235"/>
      <c r="G891" s="237"/>
      <c r="H891" s="235"/>
      <c r="I891" s="235"/>
      <c r="J891" s="235"/>
      <c r="K891" s="66"/>
    </row>
    <row r="892" ht="12.75" customHeight="1">
      <c r="A892" s="238"/>
      <c r="B892" s="235"/>
      <c r="C892" s="235"/>
      <c r="D892" s="236"/>
      <c r="E892" s="235"/>
      <c r="F892" s="235"/>
      <c r="G892" s="237"/>
      <c r="H892" s="235"/>
      <c r="I892" s="235"/>
      <c r="J892" s="235"/>
      <c r="K892" s="66"/>
    </row>
    <row r="893" ht="12.75" customHeight="1">
      <c r="A893" s="238"/>
      <c r="B893" s="235"/>
      <c r="C893" s="235"/>
      <c r="D893" s="236"/>
      <c r="E893" s="235"/>
      <c r="F893" s="235"/>
      <c r="G893" s="237"/>
      <c r="H893" s="235"/>
      <c r="I893" s="235"/>
      <c r="J893" s="235"/>
      <c r="K893" s="66"/>
    </row>
    <row r="894" ht="12.75" customHeight="1">
      <c r="A894" s="238"/>
      <c r="B894" s="235"/>
      <c r="C894" s="235"/>
      <c r="D894" s="236"/>
      <c r="E894" s="235"/>
      <c r="F894" s="235"/>
      <c r="G894" s="237"/>
      <c r="H894" s="235"/>
      <c r="I894" s="235"/>
      <c r="J894" s="235"/>
      <c r="K894" s="66"/>
    </row>
    <row r="895" ht="12.75" customHeight="1">
      <c r="A895" s="238"/>
      <c r="B895" s="235"/>
      <c r="C895" s="235"/>
      <c r="D895" s="236"/>
      <c r="E895" s="235"/>
      <c r="F895" s="235"/>
      <c r="G895" s="237"/>
      <c r="H895" s="235"/>
      <c r="I895" s="235"/>
      <c r="J895" s="235"/>
      <c r="K895" s="66"/>
    </row>
    <row r="896" ht="12.75" customHeight="1">
      <c r="A896" s="238"/>
      <c r="B896" s="235"/>
      <c r="C896" s="235"/>
      <c r="D896" s="236"/>
      <c r="E896" s="235"/>
      <c r="F896" s="235"/>
      <c r="G896" s="237"/>
      <c r="H896" s="235"/>
      <c r="I896" s="235"/>
      <c r="J896" s="235"/>
      <c r="K896" s="66"/>
    </row>
    <row r="897" ht="12.75" customHeight="1">
      <c r="A897" s="238"/>
      <c r="B897" s="235"/>
      <c r="C897" s="235"/>
      <c r="D897" s="236"/>
      <c r="E897" s="235"/>
      <c r="F897" s="235"/>
      <c r="G897" s="237"/>
      <c r="H897" s="235"/>
      <c r="I897" s="235"/>
      <c r="J897" s="235"/>
      <c r="K897" s="66"/>
    </row>
    <row r="898" ht="12.75" customHeight="1">
      <c r="A898" s="238"/>
      <c r="B898" s="235"/>
      <c r="C898" s="235"/>
      <c r="D898" s="236"/>
      <c r="E898" s="235"/>
      <c r="F898" s="235"/>
      <c r="G898" s="237"/>
      <c r="H898" s="235"/>
      <c r="I898" s="235"/>
      <c r="J898" s="235"/>
      <c r="K898" s="66"/>
    </row>
    <row r="899" ht="12.75" customHeight="1">
      <c r="A899" s="238"/>
      <c r="B899" s="235"/>
      <c r="C899" s="235"/>
      <c r="D899" s="236"/>
      <c r="E899" s="235"/>
      <c r="F899" s="235"/>
      <c r="G899" s="237"/>
      <c r="H899" s="235"/>
      <c r="I899" s="235"/>
      <c r="J899" s="235"/>
      <c r="K899" s="66"/>
    </row>
    <row r="900" ht="12.75" customHeight="1">
      <c r="A900" s="238"/>
      <c r="B900" s="235"/>
      <c r="C900" s="235"/>
      <c r="D900" s="236"/>
      <c r="E900" s="235"/>
      <c r="F900" s="235"/>
      <c r="G900" s="237"/>
      <c r="H900" s="235"/>
      <c r="I900" s="235"/>
      <c r="J900" s="235"/>
      <c r="K900" s="66"/>
    </row>
    <row r="901" ht="12.75" customHeight="1">
      <c r="A901" s="238"/>
      <c r="B901" s="235"/>
      <c r="C901" s="235"/>
      <c r="D901" s="236"/>
      <c r="E901" s="235"/>
      <c r="F901" s="235"/>
      <c r="G901" s="237"/>
      <c r="H901" s="235"/>
      <c r="I901" s="235"/>
      <c r="J901" s="235"/>
      <c r="K901" s="66"/>
    </row>
    <row r="902" ht="12.75" customHeight="1">
      <c r="A902" s="238"/>
      <c r="B902" s="235"/>
      <c r="C902" s="235"/>
      <c r="D902" s="236"/>
      <c r="E902" s="235"/>
      <c r="F902" s="235"/>
      <c r="G902" s="237"/>
      <c r="H902" s="235"/>
      <c r="I902" s="235"/>
      <c r="J902" s="235"/>
      <c r="K902" s="66"/>
    </row>
    <row r="903" ht="12.75" customHeight="1">
      <c r="A903" s="238"/>
      <c r="B903" s="235"/>
      <c r="C903" s="235"/>
      <c r="D903" s="236"/>
      <c r="E903" s="235"/>
      <c r="F903" s="235"/>
      <c r="G903" s="237"/>
      <c r="H903" s="235"/>
      <c r="I903" s="235"/>
      <c r="J903" s="235"/>
      <c r="K903" s="66"/>
    </row>
    <row r="904" ht="12.75" customHeight="1">
      <c r="A904" s="238"/>
      <c r="B904" s="235"/>
      <c r="C904" s="235"/>
      <c r="D904" s="236"/>
      <c r="E904" s="235"/>
      <c r="F904" s="235"/>
      <c r="G904" s="237"/>
      <c r="H904" s="235"/>
      <c r="I904" s="235"/>
      <c r="J904" s="235"/>
      <c r="K904" s="66"/>
    </row>
    <row r="905" ht="12.75" customHeight="1">
      <c r="A905" s="238"/>
      <c r="B905" s="235"/>
      <c r="C905" s="235"/>
      <c r="D905" s="236"/>
      <c r="E905" s="235"/>
      <c r="F905" s="235"/>
      <c r="G905" s="237"/>
      <c r="H905" s="235"/>
      <c r="I905" s="235"/>
      <c r="J905" s="235"/>
      <c r="K905" s="66"/>
    </row>
    <row r="906" ht="12.75" customHeight="1">
      <c r="A906" s="238"/>
      <c r="B906" s="235"/>
      <c r="C906" s="235"/>
      <c r="D906" s="236"/>
      <c r="E906" s="235"/>
      <c r="F906" s="235"/>
      <c r="G906" s="237"/>
      <c r="H906" s="235"/>
      <c r="I906" s="235"/>
      <c r="J906" s="235"/>
      <c r="K906" s="66"/>
    </row>
    <row r="907" ht="12.75" customHeight="1">
      <c r="A907" s="238"/>
      <c r="B907" s="235"/>
      <c r="C907" s="235"/>
      <c r="D907" s="236"/>
      <c r="E907" s="235"/>
      <c r="F907" s="235"/>
      <c r="G907" s="237"/>
      <c r="H907" s="235"/>
      <c r="I907" s="235"/>
      <c r="J907" s="235"/>
      <c r="K907" s="66"/>
    </row>
    <row r="908" ht="12.75" customHeight="1">
      <c r="A908" s="238"/>
      <c r="B908" s="235"/>
      <c r="C908" s="235"/>
      <c r="D908" s="236"/>
      <c r="E908" s="235"/>
      <c r="F908" s="235"/>
      <c r="G908" s="237"/>
      <c r="H908" s="235"/>
      <c r="I908" s="235"/>
      <c r="J908" s="235"/>
      <c r="K908" s="66"/>
    </row>
    <row r="909" ht="12.75" customHeight="1">
      <c r="A909" s="238"/>
      <c r="B909" s="235"/>
      <c r="C909" s="235"/>
      <c r="D909" s="236"/>
      <c r="E909" s="235"/>
      <c r="F909" s="235"/>
      <c r="G909" s="237"/>
      <c r="H909" s="235"/>
      <c r="I909" s="235"/>
      <c r="J909" s="235"/>
      <c r="K909" s="66"/>
    </row>
    <row r="910" ht="12.75" customHeight="1">
      <c r="A910" s="238"/>
      <c r="B910" s="235"/>
      <c r="C910" s="235"/>
      <c r="D910" s="236"/>
      <c r="E910" s="235"/>
      <c r="F910" s="235"/>
      <c r="G910" s="237"/>
      <c r="H910" s="235"/>
      <c r="I910" s="235"/>
      <c r="J910" s="235"/>
      <c r="K910" s="66"/>
    </row>
    <row r="911" ht="12.75" customHeight="1">
      <c r="A911" s="238"/>
      <c r="B911" s="235"/>
      <c r="C911" s="235"/>
      <c r="D911" s="236"/>
      <c r="E911" s="235"/>
      <c r="F911" s="235"/>
      <c r="G911" s="237"/>
      <c r="H911" s="235"/>
      <c r="I911" s="235"/>
      <c r="J911" s="235"/>
      <c r="K911" s="66"/>
    </row>
    <row r="912" ht="12.75" customHeight="1">
      <c r="A912" s="238"/>
      <c r="B912" s="235"/>
      <c r="C912" s="235"/>
      <c r="D912" s="236"/>
      <c r="E912" s="235"/>
      <c r="F912" s="235"/>
      <c r="G912" s="237"/>
      <c r="H912" s="235"/>
      <c r="I912" s="235"/>
      <c r="J912" s="235"/>
      <c r="K912" s="66"/>
    </row>
    <row r="913" ht="12.75" customHeight="1">
      <c r="A913" s="238"/>
      <c r="B913" s="235"/>
      <c r="C913" s="235"/>
      <c r="D913" s="236"/>
      <c r="E913" s="235"/>
      <c r="F913" s="235"/>
      <c r="G913" s="237"/>
      <c r="H913" s="235"/>
      <c r="I913" s="235"/>
      <c r="J913" s="235"/>
      <c r="K913" s="66"/>
    </row>
    <row r="914" ht="12.75" customHeight="1">
      <c r="A914" s="238"/>
      <c r="B914" s="235"/>
      <c r="C914" s="235"/>
      <c r="D914" s="236"/>
      <c r="E914" s="235"/>
      <c r="F914" s="235"/>
      <c r="G914" s="237"/>
      <c r="H914" s="235"/>
      <c r="I914" s="235"/>
      <c r="J914" s="235"/>
      <c r="K914" s="66"/>
    </row>
    <row r="915" ht="12.75" customHeight="1">
      <c r="A915" s="238"/>
      <c r="B915" s="235"/>
      <c r="C915" s="235"/>
      <c r="D915" s="236"/>
      <c r="E915" s="235"/>
      <c r="F915" s="235"/>
      <c r="G915" s="237"/>
      <c r="H915" s="235"/>
      <c r="I915" s="235"/>
      <c r="J915" s="235"/>
      <c r="K915" s="66"/>
    </row>
    <row r="916" ht="12.75" customHeight="1">
      <c r="A916" s="238"/>
      <c r="B916" s="235"/>
      <c r="C916" s="235"/>
      <c r="D916" s="236"/>
      <c r="E916" s="235"/>
      <c r="F916" s="235"/>
      <c r="G916" s="237"/>
      <c r="H916" s="235"/>
      <c r="I916" s="235"/>
      <c r="J916" s="235"/>
      <c r="K916" s="66"/>
    </row>
    <row r="917" ht="12.75" customHeight="1">
      <c r="A917" s="238"/>
      <c r="B917" s="235"/>
      <c r="C917" s="235"/>
      <c r="D917" s="236"/>
      <c r="E917" s="235"/>
      <c r="F917" s="235"/>
      <c r="G917" s="237"/>
      <c r="H917" s="235"/>
      <c r="I917" s="235"/>
      <c r="J917" s="235"/>
      <c r="K917" s="66"/>
    </row>
    <row r="918" ht="12.75" customHeight="1">
      <c r="A918" s="238"/>
      <c r="B918" s="235"/>
      <c r="C918" s="235"/>
      <c r="D918" s="236"/>
      <c r="E918" s="235"/>
      <c r="F918" s="235"/>
      <c r="G918" s="237"/>
      <c r="H918" s="235"/>
      <c r="I918" s="235"/>
      <c r="J918" s="235"/>
      <c r="K918" s="66"/>
    </row>
    <row r="919" ht="12.75" customHeight="1">
      <c r="A919" s="238"/>
      <c r="B919" s="235"/>
      <c r="C919" s="235"/>
      <c r="D919" s="236"/>
      <c r="E919" s="235"/>
      <c r="F919" s="235"/>
      <c r="G919" s="237"/>
      <c r="H919" s="235"/>
      <c r="I919" s="235"/>
      <c r="J919" s="235"/>
      <c r="K919" s="66"/>
    </row>
    <row r="920" ht="12.75" customHeight="1">
      <c r="A920" s="238"/>
      <c r="B920" s="235"/>
      <c r="C920" s="235"/>
      <c r="D920" s="236"/>
      <c r="E920" s="235"/>
      <c r="F920" s="235"/>
      <c r="G920" s="237"/>
      <c r="H920" s="235"/>
      <c r="I920" s="235"/>
      <c r="J920" s="235"/>
      <c r="K920" s="66"/>
    </row>
    <row r="921" ht="12.75" customHeight="1">
      <c r="A921" s="238"/>
      <c r="B921" s="235"/>
      <c r="C921" s="235"/>
      <c r="D921" s="236"/>
      <c r="E921" s="235"/>
      <c r="F921" s="235"/>
      <c r="G921" s="237"/>
      <c r="H921" s="235"/>
      <c r="I921" s="235"/>
      <c r="J921" s="235"/>
      <c r="K921" s="66"/>
    </row>
    <row r="922" ht="12.75" customHeight="1">
      <c r="A922" s="238"/>
      <c r="B922" s="235"/>
      <c r="C922" s="235"/>
      <c r="D922" s="236"/>
      <c r="E922" s="235"/>
      <c r="F922" s="235"/>
      <c r="G922" s="237"/>
      <c r="H922" s="235"/>
      <c r="I922" s="235"/>
      <c r="J922" s="235"/>
      <c r="K922" s="66"/>
    </row>
    <row r="923" ht="12.75" customHeight="1">
      <c r="A923" s="238"/>
      <c r="B923" s="235"/>
      <c r="C923" s="235"/>
      <c r="D923" s="236"/>
      <c r="E923" s="235"/>
      <c r="F923" s="235"/>
      <c r="G923" s="237"/>
      <c r="H923" s="235"/>
      <c r="I923" s="235"/>
      <c r="J923" s="235"/>
      <c r="K923" s="66"/>
    </row>
    <row r="924" ht="12.75" customHeight="1">
      <c r="A924" s="238"/>
      <c r="B924" s="235"/>
      <c r="C924" s="235"/>
      <c r="D924" s="236"/>
      <c r="E924" s="235"/>
      <c r="F924" s="235"/>
      <c r="G924" s="237"/>
      <c r="H924" s="235"/>
      <c r="I924" s="235"/>
      <c r="J924" s="235"/>
      <c r="K924" s="66"/>
    </row>
    <row r="925" ht="12.75" customHeight="1">
      <c r="A925" s="238"/>
      <c r="B925" s="235"/>
      <c r="C925" s="235"/>
      <c r="D925" s="236"/>
      <c r="E925" s="235"/>
      <c r="F925" s="235"/>
      <c r="G925" s="237"/>
      <c r="H925" s="235"/>
      <c r="I925" s="235"/>
      <c r="J925" s="235"/>
      <c r="K925" s="66"/>
    </row>
    <row r="926" ht="12.75" customHeight="1">
      <c r="A926" s="238"/>
      <c r="B926" s="235"/>
      <c r="C926" s="235"/>
      <c r="D926" s="236"/>
      <c r="E926" s="235"/>
      <c r="F926" s="235"/>
      <c r="G926" s="237"/>
      <c r="H926" s="235"/>
      <c r="I926" s="235"/>
      <c r="J926" s="235"/>
      <c r="K926" s="66"/>
    </row>
    <row r="927" ht="12.75" customHeight="1">
      <c r="A927" s="238"/>
      <c r="B927" s="235"/>
      <c r="C927" s="235"/>
      <c r="D927" s="236"/>
      <c r="E927" s="235"/>
      <c r="F927" s="235"/>
      <c r="G927" s="237"/>
      <c r="H927" s="235"/>
      <c r="I927" s="235"/>
      <c r="J927" s="235"/>
      <c r="K927" s="66"/>
    </row>
    <row r="928" ht="12.75" customHeight="1">
      <c r="A928" s="238"/>
      <c r="B928" s="235"/>
      <c r="C928" s="235"/>
      <c r="D928" s="236"/>
      <c r="E928" s="235"/>
      <c r="F928" s="235"/>
      <c r="G928" s="237"/>
      <c r="H928" s="235"/>
      <c r="I928" s="235"/>
      <c r="J928" s="235"/>
      <c r="K928" s="66"/>
    </row>
    <row r="929" ht="12.75" customHeight="1">
      <c r="A929" s="238"/>
      <c r="B929" s="235"/>
      <c r="C929" s="235"/>
      <c r="D929" s="236"/>
      <c r="E929" s="235"/>
      <c r="F929" s="235"/>
      <c r="G929" s="237"/>
      <c r="H929" s="235"/>
      <c r="I929" s="235"/>
      <c r="J929" s="235"/>
      <c r="K929" s="66"/>
    </row>
    <row r="930" ht="12.75" customHeight="1">
      <c r="A930" s="238"/>
      <c r="B930" s="235"/>
      <c r="C930" s="235"/>
      <c r="D930" s="236"/>
      <c r="E930" s="235"/>
      <c r="F930" s="235"/>
      <c r="G930" s="237"/>
      <c r="H930" s="235"/>
      <c r="I930" s="235"/>
      <c r="J930" s="235"/>
      <c r="K930" s="66"/>
    </row>
    <row r="931" ht="12.75" customHeight="1">
      <c r="A931" s="238"/>
      <c r="B931" s="235"/>
      <c r="C931" s="235"/>
      <c r="D931" s="236"/>
      <c r="E931" s="235"/>
      <c r="F931" s="235"/>
      <c r="G931" s="237"/>
      <c r="H931" s="235"/>
      <c r="I931" s="235"/>
      <c r="J931" s="235"/>
      <c r="K931" s="66"/>
    </row>
    <row r="932" ht="12.75" customHeight="1">
      <c r="A932" s="238"/>
      <c r="B932" s="235"/>
      <c r="C932" s="235"/>
      <c r="D932" s="236"/>
      <c r="E932" s="235"/>
      <c r="F932" s="235"/>
      <c r="G932" s="237"/>
      <c r="H932" s="235"/>
      <c r="I932" s="235"/>
      <c r="J932" s="235"/>
      <c r="K932" s="66"/>
    </row>
    <row r="933" ht="12.75" customHeight="1">
      <c r="A933" s="238"/>
      <c r="B933" s="235"/>
      <c r="C933" s="235"/>
      <c r="D933" s="236"/>
      <c r="E933" s="235"/>
      <c r="F933" s="235"/>
      <c r="G933" s="237"/>
      <c r="H933" s="235"/>
      <c r="I933" s="235"/>
      <c r="J933" s="235"/>
      <c r="K933" s="66"/>
    </row>
    <row r="934" ht="12.75" customHeight="1">
      <c r="A934" s="238"/>
      <c r="B934" s="235"/>
      <c r="C934" s="235"/>
      <c r="D934" s="236"/>
      <c r="E934" s="235"/>
      <c r="F934" s="235"/>
      <c r="G934" s="237"/>
      <c r="H934" s="235"/>
      <c r="I934" s="235"/>
      <c r="J934" s="235"/>
      <c r="K934" s="66"/>
    </row>
    <row r="935" ht="12.75" customHeight="1">
      <c r="A935" s="238"/>
      <c r="B935" s="235"/>
      <c r="C935" s="235"/>
      <c r="D935" s="236"/>
      <c r="E935" s="235"/>
      <c r="F935" s="235"/>
      <c r="G935" s="237"/>
      <c r="H935" s="235"/>
      <c r="I935" s="235"/>
      <c r="J935" s="235"/>
      <c r="K935" s="66"/>
    </row>
    <row r="936" ht="12.75" customHeight="1">
      <c r="A936" s="238"/>
      <c r="B936" s="235"/>
      <c r="C936" s="235"/>
      <c r="D936" s="236"/>
      <c r="E936" s="235"/>
      <c r="F936" s="235"/>
      <c r="G936" s="237"/>
      <c r="H936" s="235"/>
      <c r="I936" s="235"/>
      <c r="J936" s="235"/>
      <c r="K936" s="66"/>
    </row>
    <row r="937" ht="12.75" customHeight="1">
      <c r="A937" s="238"/>
      <c r="B937" s="235"/>
      <c r="C937" s="235"/>
      <c r="D937" s="236"/>
      <c r="E937" s="235"/>
      <c r="F937" s="235"/>
      <c r="G937" s="237"/>
      <c r="H937" s="235"/>
      <c r="I937" s="235"/>
      <c r="J937" s="235"/>
      <c r="K937" s="66"/>
    </row>
    <row r="938" ht="12.75" customHeight="1">
      <c r="A938" s="238"/>
      <c r="B938" s="235"/>
      <c r="C938" s="235"/>
      <c r="D938" s="236"/>
      <c r="E938" s="235"/>
      <c r="F938" s="235"/>
      <c r="G938" s="237"/>
      <c r="H938" s="235"/>
      <c r="I938" s="235"/>
      <c r="J938" s="235"/>
      <c r="K938" s="66"/>
    </row>
    <row r="939" ht="12.75" customHeight="1">
      <c r="A939" s="238"/>
      <c r="B939" s="235"/>
      <c r="C939" s="235"/>
      <c r="D939" s="236"/>
      <c r="E939" s="235"/>
      <c r="F939" s="235"/>
      <c r="G939" s="237"/>
      <c r="H939" s="235"/>
      <c r="I939" s="235"/>
      <c r="J939" s="235"/>
      <c r="K939" s="66"/>
    </row>
    <row r="940" ht="12.75" customHeight="1">
      <c r="A940" s="238"/>
      <c r="B940" s="235"/>
      <c r="C940" s="235"/>
      <c r="D940" s="236"/>
      <c r="E940" s="235"/>
      <c r="F940" s="235"/>
      <c r="G940" s="237"/>
      <c r="H940" s="235"/>
      <c r="I940" s="235"/>
      <c r="J940" s="235"/>
      <c r="K940" s="66"/>
    </row>
    <row r="941" ht="12.75" customHeight="1">
      <c r="A941" s="238"/>
      <c r="B941" s="235"/>
      <c r="C941" s="235"/>
      <c r="D941" s="236"/>
      <c r="E941" s="235"/>
      <c r="F941" s="235"/>
      <c r="G941" s="237"/>
      <c r="H941" s="235"/>
      <c r="I941" s="235"/>
      <c r="J941" s="235"/>
      <c r="K941" s="66"/>
    </row>
    <row r="942" ht="12.75" customHeight="1">
      <c r="A942" s="238"/>
      <c r="B942" s="235"/>
      <c r="C942" s="235"/>
      <c r="D942" s="236"/>
      <c r="E942" s="235"/>
      <c r="F942" s="235"/>
      <c r="G942" s="237"/>
      <c r="H942" s="235"/>
      <c r="I942" s="235"/>
      <c r="J942" s="235"/>
      <c r="K942" s="66"/>
    </row>
    <row r="943" ht="12.75" customHeight="1">
      <c r="A943" s="238"/>
      <c r="B943" s="235"/>
      <c r="C943" s="235"/>
      <c r="D943" s="236"/>
      <c r="E943" s="235"/>
      <c r="F943" s="235"/>
      <c r="G943" s="237"/>
      <c r="H943" s="235"/>
      <c r="I943" s="235"/>
      <c r="J943" s="235"/>
      <c r="K943" s="66"/>
    </row>
    <row r="944" ht="12.75" customHeight="1">
      <c r="A944" s="238"/>
      <c r="B944" s="235"/>
      <c r="C944" s="235"/>
      <c r="D944" s="236"/>
      <c r="E944" s="235"/>
      <c r="F944" s="235"/>
      <c r="G944" s="237"/>
      <c r="H944" s="235"/>
      <c r="I944" s="235"/>
      <c r="J944" s="235"/>
      <c r="K944" s="66"/>
    </row>
    <row r="945" ht="12.75" customHeight="1">
      <c r="A945" s="238"/>
      <c r="B945" s="235"/>
      <c r="C945" s="235"/>
      <c r="D945" s="236"/>
      <c r="E945" s="235"/>
      <c r="F945" s="235"/>
      <c r="G945" s="237"/>
      <c r="H945" s="235"/>
      <c r="I945" s="235"/>
      <c r="J945" s="235"/>
      <c r="K945" s="66"/>
    </row>
    <row r="946" ht="12.75" customHeight="1">
      <c r="A946" s="238"/>
      <c r="B946" s="235"/>
      <c r="C946" s="235"/>
      <c r="D946" s="236"/>
      <c r="E946" s="235"/>
      <c r="F946" s="235"/>
      <c r="G946" s="237"/>
      <c r="H946" s="235"/>
      <c r="I946" s="235"/>
      <c r="J946" s="235"/>
      <c r="K946" s="66"/>
    </row>
    <row r="947" ht="12.75" customHeight="1">
      <c r="A947" s="238"/>
      <c r="B947" s="235"/>
      <c r="C947" s="235"/>
      <c r="D947" s="236"/>
      <c r="E947" s="235"/>
      <c r="F947" s="235"/>
      <c r="G947" s="237"/>
      <c r="H947" s="235"/>
      <c r="I947" s="235"/>
      <c r="J947" s="235"/>
      <c r="K947" s="66"/>
    </row>
    <row r="948" ht="12.75" customHeight="1">
      <c r="A948" s="238"/>
      <c r="B948" s="235"/>
      <c r="C948" s="235"/>
      <c r="D948" s="236"/>
      <c r="E948" s="235"/>
      <c r="F948" s="235"/>
      <c r="G948" s="237"/>
      <c r="H948" s="235"/>
      <c r="I948" s="235"/>
      <c r="J948" s="235"/>
      <c r="K948" s="66"/>
    </row>
    <row r="949" ht="12.75" customHeight="1">
      <c r="A949" s="238"/>
      <c r="B949" s="235"/>
      <c r="C949" s="235"/>
      <c r="D949" s="236"/>
      <c r="E949" s="235"/>
      <c r="F949" s="235"/>
      <c r="G949" s="237"/>
      <c r="H949" s="235"/>
      <c r="I949" s="235"/>
      <c r="J949" s="235"/>
      <c r="K949" s="66"/>
    </row>
    <row r="950" ht="12.75" customHeight="1">
      <c r="A950" s="238"/>
      <c r="B950" s="235"/>
      <c r="C950" s="235"/>
      <c r="D950" s="236"/>
      <c r="E950" s="235"/>
      <c r="F950" s="235"/>
      <c r="G950" s="237"/>
      <c r="H950" s="235"/>
      <c r="I950" s="235"/>
      <c r="J950" s="235"/>
      <c r="K950" s="66"/>
    </row>
    <row r="951" ht="12.75" customHeight="1">
      <c r="A951" s="238"/>
      <c r="B951" s="235"/>
      <c r="C951" s="235"/>
      <c r="D951" s="236"/>
      <c r="E951" s="235"/>
      <c r="F951" s="235"/>
      <c r="G951" s="237"/>
      <c r="H951" s="235"/>
      <c r="I951" s="235"/>
      <c r="J951" s="235"/>
      <c r="K951" s="66"/>
    </row>
    <row r="952" ht="12.75" customHeight="1">
      <c r="A952" s="238"/>
      <c r="B952" s="235"/>
      <c r="C952" s="235"/>
      <c r="D952" s="236"/>
      <c r="E952" s="235"/>
      <c r="F952" s="235"/>
      <c r="G952" s="237"/>
      <c r="H952" s="235"/>
      <c r="I952" s="235"/>
      <c r="J952" s="235"/>
      <c r="K952" s="66"/>
    </row>
    <row r="953" ht="12.75" customHeight="1">
      <c r="A953" s="238"/>
      <c r="B953" s="235"/>
      <c r="C953" s="235"/>
      <c r="D953" s="236"/>
      <c r="E953" s="235"/>
      <c r="F953" s="235"/>
      <c r="G953" s="237"/>
      <c r="H953" s="235"/>
      <c r="I953" s="235"/>
      <c r="J953" s="235"/>
      <c r="K953" s="66"/>
    </row>
    <row r="954" ht="12.75" customHeight="1">
      <c r="A954" s="238"/>
      <c r="B954" s="235"/>
      <c r="C954" s="235"/>
      <c r="D954" s="236"/>
      <c r="E954" s="235"/>
      <c r="F954" s="235"/>
      <c r="G954" s="237"/>
      <c r="H954" s="235"/>
      <c r="I954" s="235"/>
      <c r="J954" s="235"/>
      <c r="K954" s="66"/>
    </row>
    <row r="955" ht="12.75" customHeight="1">
      <c r="A955" s="238"/>
      <c r="B955" s="235"/>
      <c r="C955" s="235"/>
      <c r="D955" s="236"/>
      <c r="E955" s="235"/>
      <c r="F955" s="235"/>
      <c r="G955" s="237"/>
      <c r="H955" s="235"/>
      <c r="I955" s="235"/>
      <c r="J955" s="235"/>
      <c r="K955" s="66"/>
    </row>
    <row r="956" ht="12.75" customHeight="1">
      <c r="A956" s="238"/>
      <c r="B956" s="235"/>
      <c r="C956" s="235"/>
      <c r="D956" s="236"/>
      <c r="E956" s="235"/>
      <c r="F956" s="235"/>
      <c r="G956" s="237"/>
      <c r="H956" s="235"/>
      <c r="I956" s="235"/>
      <c r="J956" s="235"/>
      <c r="K956" s="66"/>
    </row>
    <row r="957" ht="12.75" customHeight="1">
      <c r="A957" s="238"/>
      <c r="B957" s="235"/>
      <c r="C957" s="235"/>
      <c r="D957" s="236"/>
      <c r="E957" s="235"/>
      <c r="F957" s="235"/>
      <c r="G957" s="237"/>
      <c r="H957" s="235"/>
      <c r="I957" s="235"/>
      <c r="J957" s="235"/>
      <c r="K957" s="66"/>
    </row>
    <row r="958" ht="12.75" customHeight="1">
      <c r="A958" s="238"/>
      <c r="B958" s="235"/>
      <c r="C958" s="235"/>
      <c r="D958" s="236"/>
      <c r="E958" s="235"/>
      <c r="F958" s="235"/>
      <c r="G958" s="237"/>
      <c r="H958" s="235"/>
      <c r="I958" s="235"/>
      <c r="J958" s="235"/>
      <c r="K958" s="66"/>
    </row>
    <row r="959" ht="12.75" customHeight="1">
      <c r="A959" s="238"/>
      <c r="B959" s="235"/>
      <c r="C959" s="235"/>
      <c r="D959" s="236"/>
      <c r="E959" s="235"/>
      <c r="F959" s="235"/>
      <c r="G959" s="237"/>
      <c r="H959" s="235"/>
      <c r="I959" s="235"/>
      <c r="J959" s="235"/>
      <c r="K959" s="66"/>
    </row>
    <row r="960" ht="12.75" customHeight="1">
      <c r="A960" s="238"/>
      <c r="B960" s="235"/>
      <c r="C960" s="235"/>
      <c r="D960" s="236"/>
      <c r="E960" s="235"/>
      <c r="F960" s="235"/>
      <c r="G960" s="237"/>
      <c r="H960" s="235"/>
      <c r="I960" s="235"/>
      <c r="J960" s="235"/>
      <c r="K960" s="66"/>
    </row>
    <row r="961" ht="12.75" customHeight="1">
      <c r="A961" s="238"/>
      <c r="B961" s="235"/>
      <c r="C961" s="235"/>
      <c r="D961" s="236"/>
      <c r="E961" s="235"/>
      <c r="F961" s="235"/>
      <c r="G961" s="237"/>
      <c r="H961" s="235"/>
      <c r="I961" s="235"/>
      <c r="J961" s="235"/>
      <c r="K961" s="66"/>
    </row>
    <row r="962" ht="12.75" customHeight="1">
      <c r="A962" s="238"/>
      <c r="B962" s="235"/>
      <c r="C962" s="235"/>
      <c r="D962" s="236"/>
      <c r="E962" s="235"/>
      <c r="F962" s="235"/>
      <c r="G962" s="237"/>
      <c r="H962" s="235"/>
      <c r="I962" s="235"/>
      <c r="J962" s="235"/>
      <c r="K962" s="66"/>
    </row>
    <row r="963" ht="12.75" customHeight="1">
      <c r="A963" s="238"/>
      <c r="B963" s="235"/>
      <c r="C963" s="235"/>
      <c r="D963" s="236"/>
      <c r="E963" s="235"/>
      <c r="F963" s="235"/>
      <c r="G963" s="237"/>
      <c r="H963" s="235"/>
      <c r="I963" s="235"/>
      <c r="J963" s="235"/>
      <c r="K963" s="66"/>
    </row>
    <row r="964" ht="12.75" customHeight="1">
      <c r="A964" s="238"/>
      <c r="B964" s="235"/>
      <c r="C964" s="235"/>
      <c r="D964" s="236"/>
      <c r="E964" s="235"/>
      <c r="F964" s="235"/>
      <c r="G964" s="237"/>
      <c r="H964" s="235"/>
      <c r="I964" s="235"/>
      <c r="J964" s="235"/>
      <c r="K964" s="66"/>
    </row>
    <row r="965" ht="12.75" customHeight="1">
      <c r="A965" s="238"/>
      <c r="B965" s="235"/>
      <c r="C965" s="235"/>
      <c r="D965" s="236"/>
      <c r="E965" s="235"/>
      <c r="F965" s="235"/>
      <c r="G965" s="237"/>
      <c r="H965" s="235"/>
      <c r="I965" s="235"/>
      <c r="J965" s="235"/>
      <c r="K965" s="66"/>
    </row>
    <row r="966" ht="12.75" customHeight="1">
      <c r="A966" s="238"/>
      <c r="B966" s="235"/>
      <c r="C966" s="235"/>
      <c r="D966" s="236"/>
      <c r="E966" s="235"/>
      <c r="F966" s="235"/>
      <c r="G966" s="237"/>
      <c r="H966" s="235"/>
      <c r="I966" s="235"/>
      <c r="J966" s="235"/>
      <c r="K966" s="66"/>
    </row>
    <row r="967" ht="12.75" customHeight="1">
      <c r="A967" s="238"/>
      <c r="B967" s="235"/>
      <c r="C967" s="235"/>
      <c r="D967" s="236"/>
      <c r="E967" s="235"/>
      <c r="F967" s="235"/>
      <c r="G967" s="237"/>
      <c r="H967" s="235"/>
      <c r="I967" s="235"/>
      <c r="J967" s="235"/>
      <c r="K967" s="66"/>
    </row>
    <row r="968" ht="12.75" customHeight="1">
      <c r="A968" s="238"/>
      <c r="B968" s="235"/>
      <c r="C968" s="235"/>
      <c r="D968" s="236"/>
      <c r="E968" s="235"/>
      <c r="F968" s="235"/>
      <c r="G968" s="237"/>
      <c r="H968" s="235"/>
      <c r="I968" s="235"/>
      <c r="J968" s="235"/>
      <c r="K968" s="66"/>
    </row>
    <row r="969" ht="12.75" customHeight="1">
      <c r="A969" s="238"/>
      <c r="B969" s="235"/>
      <c r="C969" s="235"/>
      <c r="D969" s="236"/>
      <c r="E969" s="235"/>
      <c r="F969" s="235"/>
      <c r="G969" s="237"/>
      <c r="H969" s="235"/>
      <c r="I969" s="235"/>
      <c r="J969" s="235"/>
      <c r="K969" s="66"/>
    </row>
    <row r="970" ht="12.75" customHeight="1">
      <c r="A970" s="238"/>
      <c r="B970" s="235"/>
      <c r="C970" s="235"/>
      <c r="D970" s="236"/>
      <c r="E970" s="235"/>
      <c r="F970" s="235"/>
      <c r="G970" s="237"/>
      <c r="H970" s="235"/>
      <c r="I970" s="235"/>
      <c r="J970" s="235"/>
      <c r="K970" s="66"/>
    </row>
    <row r="971" ht="12.75" customHeight="1">
      <c r="A971" s="238"/>
      <c r="B971" s="235"/>
      <c r="C971" s="235"/>
      <c r="D971" s="236"/>
      <c r="E971" s="235"/>
      <c r="F971" s="235"/>
      <c r="G971" s="237"/>
      <c r="H971" s="235"/>
      <c r="I971" s="235"/>
      <c r="J971" s="235"/>
      <c r="K971" s="66"/>
    </row>
    <row r="972" ht="12.75" customHeight="1">
      <c r="A972" s="238"/>
      <c r="B972" s="235"/>
      <c r="C972" s="235"/>
      <c r="D972" s="236"/>
      <c r="E972" s="235"/>
      <c r="F972" s="235"/>
      <c r="G972" s="237"/>
      <c r="H972" s="235"/>
      <c r="I972" s="235"/>
      <c r="J972" s="235"/>
      <c r="K972" s="66"/>
    </row>
    <row r="973" ht="12.75" customHeight="1">
      <c r="A973" s="238"/>
      <c r="B973" s="235"/>
      <c r="C973" s="235"/>
      <c r="D973" s="236"/>
      <c r="E973" s="235"/>
      <c r="F973" s="235"/>
      <c r="G973" s="237"/>
      <c r="H973" s="235"/>
      <c r="I973" s="235"/>
      <c r="J973" s="235"/>
      <c r="K973" s="66"/>
    </row>
    <row r="974" ht="12.75" customHeight="1">
      <c r="A974" s="238"/>
      <c r="B974" s="235"/>
      <c r="C974" s="235"/>
      <c r="D974" s="236"/>
      <c r="E974" s="235"/>
      <c r="F974" s="235"/>
      <c r="G974" s="237"/>
      <c r="H974" s="235"/>
      <c r="I974" s="235"/>
      <c r="J974" s="235"/>
      <c r="K974" s="66"/>
    </row>
    <row r="975" ht="12.75" customHeight="1">
      <c r="A975" s="238"/>
      <c r="B975" s="235"/>
      <c r="C975" s="235"/>
      <c r="D975" s="236"/>
      <c r="E975" s="235"/>
      <c r="F975" s="235"/>
      <c r="G975" s="237"/>
      <c r="H975" s="235"/>
      <c r="I975" s="235"/>
      <c r="J975" s="235"/>
      <c r="K975" s="66"/>
    </row>
    <row r="976" ht="12.75" customHeight="1">
      <c r="A976" s="238"/>
      <c r="B976" s="235"/>
      <c r="C976" s="235"/>
      <c r="D976" s="236"/>
      <c r="E976" s="235"/>
      <c r="F976" s="235"/>
      <c r="G976" s="237"/>
      <c r="H976" s="235"/>
      <c r="I976" s="235"/>
      <c r="J976" s="235"/>
      <c r="K976" s="66"/>
    </row>
    <row r="977" ht="12.75" customHeight="1">
      <c r="A977" s="238"/>
      <c r="B977" s="235"/>
      <c r="C977" s="235"/>
      <c r="D977" s="236"/>
      <c r="E977" s="235"/>
      <c r="F977" s="235"/>
      <c r="G977" s="237"/>
      <c r="H977" s="235"/>
      <c r="I977" s="235"/>
      <c r="J977" s="235"/>
      <c r="K977" s="66"/>
    </row>
    <row r="978" ht="12.75" customHeight="1">
      <c r="A978" s="238"/>
      <c r="B978" s="235"/>
      <c r="C978" s="235"/>
      <c r="D978" s="236"/>
      <c r="E978" s="235"/>
      <c r="F978" s="235"/>
      <c r="G978" s="237"/>
      <c r="H978" s="235"/>
      <c r="I978" s="235"/>
      <c r="J978" s="235"/>
      <c r="K978" s="66"/>
    </row>
    <row r="979" ht="12.75" customHeight="1">
      <c r="A979" s="238"/>
      <c r="B979" s="235"/>
      <c r="C979" s="235"/>
      <c r="D979" s="236"/>
      <c r="E979" s="235"/>
      <c r="F979" s="235"/>
      <c r="G979" s="237"/>
      <c r="H979" s="235"/>
      <c r="I979" s="235"/>
      <c r="J979" s="235"/>
      <c r="K979" s="66"/>
    </row>
    <row r="980" ht="12.75" customHeight="1">
      <c r="A980" s="238"/>
      <c r="B980" s="235"/>
      <c r="C980" s="235"/>
      <c r="D980" s="236"/>
      <c r="E980" s="235"/>
      <c r="F980" s="235"/>
      <c r="G980" s="237"/>
      <c r="H980" s="235"/>
      <c r="I980" s="235"/>
      <c r="J980" s="235"/>
      <c r="K980" s="66"/>
    </row>
    <row r="981" ht="12.75" customHeight="1">
      <c r="A981" s="238"/>
      <c r="B981" s="235"/>
      <c r="C981" s="235"/>
      <c r="D981" s="236"/>
      <c r="E981" s="235"/>
      <c r="F981" s="235"/>
      <c r="G981" s="237"/>
      <c r="H981" s="235"/>
      <c r="I981" s="235"/>
      <c r="J981" s="235"/>
      <c r="K981" s="66"/>
    </row>
    <row r="982" ht="12.75" customHeight="1">
      <c r="A982" s="238"/>
      <c r="B982" s="235"/>
      <c r="C982" s="235"/>
      <c r="D982" s="236"/>
      <c r="E982" s="235"/>
      <c r="F982" s="235"/>
      <c r="G982" s="237"/>
      <c r="H982" s="235"/>
      <c r="I982" s="235"/>
      <c r="J982" s="235"/>
      <c r="K982" s="66"/>
    </row>
    <row r="983" ht="12.75" customHeight="1">
      <c r="A983" s="238"/>
      <c r="B983" s="235"/>
      <c r="C983" s="235"/>
      <c r="D983" s="236"/>
      <c r="E983" s="235"/>
      <c r="F983" s="235"/>
      <c r="G983" s="237"/>
      <c r="H983" s="235"/>
      <c r="I983" s="235"/>
      <c r="J983" s="235"/>
      <c r="K983" s="66"/>
    </row>
    <row r="984" ht="12.75" customHeight="1">
      <c r="A984" s="238"/>
      <c r="B984" s="235"/>
      <c r="C984" s="235"/>
      <c r="D984" s="236"/>
      <c r="E984" s="235"/>
      <c r="F984" s="235"/>
      <c r="G984" s="237"/>
      <c r="H984" s="235"/>
      <c r="I984" s="235"/>
      <c r="J984" s="235"/>
      <c r="K984" s="66"/>
    </row>
    <row r="985" ht="12.75" customHeight="1">
      <c r="A985" s="238"/>
      <c r="B985" s="235"/>
      <c r="C985" s="235"/>
      <c r="D985" s="236"/>
      <c r="E985" s="235"/>
      <c r="F985" s="235"/>
      <c r="G985" s="237"/>
      <c r="H985" s="235"/>
      <c r="I985" s="235"/>
      <c r="J985" s="235"/>
      <c r="K985" s="66"/>
    </row>
    <row r="986" ht="12.75" customHeight="1">
      <c r="A986" s="238"/>
      <c r="B986" s="235"/>
      <c r="C986" s="235"/>
      <c r="D986" s="236"/>
      <c r="E986" s="235"/>
      <c r="F986" s="235"/>
      <c r="G986" s="237"/>
      <c r="H986" s="235"/>
      <c r="I986" s="235"/>
      <c r="J986" s="235"/>
      <c r="K986" s="66"/>
    </row>
    <row r="987" ht="12.75" customHeight="1">
      <c r="A987" s="238"/>
      <c r="B987" s="235"/>
      <c r="C987" s="235"/>
      <c r="D987" s="236"/>
      <c r="E987" s="235"/>
      <c r="F987" s="235"/>
      <c r="G987" s="237"/>
      <c r="H987" s="235"/>
      <c r="I987" s="235"/>
      <c r="J987" s="235"/>
      <c r="K987" s="66"/>
    </row>
    <row r="988" ht="12.75" customHeight="1">
      <c r="A988" s="238"/>
      <c r="B988" s="235"/>
      <c r="C988" s="235"/>
      <c r="D988" s="236"/>
      <c r="E988" s="235"/>
      <c r="F988" s="235"/>
      <c r="G988" s="237"/>
      <c r="H988" s="235"/>
      <c r="I988" s="235"/>
      <c r="J988" s="235"/>
      <c r="K988" s="66"/>
    </row>
    <row r="989" ht="12.75" customHeight="1">
      <c r="A989" s="238"/>
      <c r="B989" s="235"/>
      <c r="C989" s="235"/>
      <c r="D989" s="236"/>
      <c r="E989" s="235"/>
      <c r="F989" s="235"/>
      <c r="G989" s="237"/>
      <c r="H989" s="235"/>
      <c r="I989" s="235"/>
      <c r="J989" s="235"/>
      <c r="K989" s="66"/>
    </row>
    <row r="990" ht="12.75" customHeight="1">
      <c r="A990" s="238"/>
      <c r="B990" s="235"/>
      <c r="C990" s="235"/>
      <c r="D990" s="236"/>
      <c r="E990" s="235"/>
      <c r="F990" s="235"/>
      <c r="G990" s="237"/>
      <c r="H990" s="235"/>
      <c r="I990" s="235"/>
      <c r="J990" s="235"/>
      <c r="K990" s="66"/>
    </row>
    <row r="991" ht="12.75" customHeight="1">
      <c r="A991" s="238"/>
      <c r="B991" s="235"/>
      <c r="C991" s="235"/>
      <c r="D991" s="236"/>
      <c r="E991" s="235"/>
      <c r="F991" s="235"/>
      <c r="G991" s="237"/>
      <c r="H991" s="235"/>
      <c r="I991" s="235"/>
      <c r="J991" s="235"/>
      <c r="K991" s="66"/>
    </row>
    <row r="992" ht="12.75" customHeight="1">
      <c r="A992" s="238"/>
      <c r="B992" s="235"/>
      <c r="C992" s="235"/>
      <c r="D992" s="236"/>
      <c r="E992" s="235"/>
      <c r="F992" s="235"/>
      <c r="G992" s="237"/>
      <c r="H992" s="235"/>
      <c r="I992" s="235"/>
      <c r="J992" s="235"/>
      <c r="K992" s="66"/>
    </row>
    <row r="993" ht="12.75" customHeight="1">
      <c r="A993" s="238"/>
      <c r="B993" s="235"/>
      <c r="C993" s="235"/>
      <c r="D993" s="236"/>
      <c r="E993" s="235"/>
      <c r="F993" s="235"/>
      <c r="G993" s="237"/>
      <c r="H993" s="235"/>
      <c r="I993" s="235"/>
      <c r="J993" s="235"/>
      <c r="K993" s="66"/>
    </row>
    <row r="994" ht="12.75" customHeight="1">
      <c r="A994" s="238"/>
      <c r="B994" s="235"/>
      <c r="C994" s="235"/>
      <c r="D994" s="236"/>
      <c r="E994" s="235"/>
      <c r="F994" s="235"/>
      <c r="G994" s="237"/>
      <c r="H994" s="235"/>
      <c r="I994" s="235"/>
      <c r="J994" s="235"/>
      <c r="K994" s="66"/>
    </row>
    <row r="995" ht="12.75" customHeight="1">
      <c r="A995" s="238"/>
      <c r="B995" s="235"/>
      <c r="C995" s="235"/>
      <c r="D995" s="236"/>
      <c r="E995" s="235"/>
      <c r="F995" s="235"/>
      <c r="G995" s="237"/>
      <c r="H995" s="235"/>
      <c r="I995" s="235"/>
      <c r="J995" s="235"/>
      <c r="K995" s="66"/>
    </row>
    <row r="996" ht="12.75" customHeight="1">
      <c r="A996" s="238"/>
      <c r="B996" s="235"/>
      <c r="C996" s="235"/>
      <c r="D996" s="236"/>
      <c r="E996" s="235"/>
      <c r="F996" s="235"/>
      <c r="G996" s="237"/>
      <c r="H996" s="235"/>
      <c r="I996" s="235"/>
      <c r="J996" s="235"/>
      <c r="K996" s="66"/>
    </row>
    <row r="997" ht="12.75" customHeight="1">
      <c r="A997" s="238"/>
      <c r="B997" s="235"/>
      <c r="C997" s="235"/>
      <c r="D997" s="236"/>
      <c r="E997" s="235"/>
      <c r="F997" s="235"/>
      <c r="G997" s="237"/>
      <c r="H997" s="235"/>
      <c r="I997" s="235"/>
      <c r="J997" s="235"/>
      <c r="K997" s="66"/>
    </row>
    <row r="998" ht="12.75" customHeight="1">
      <c r="A998" s="238"/>
      <c r="B998" s="235"/>
      <c r="C998" s="235"/>
      <c r="D998" s="236"/>
      <c r="E998" s="235"/>
      <c r="F998" s="235"/>
      <c r="G998" s="237"/>
      <c r="H998" s="235"/>
      <c r="I998" s="235"/>
      <c r="J998" s="235"/>
      <c r="K998" s="66"/>
    </row>
    <row r="999" ht="12.75" customHeight="1">
      <c r="A999" s="238"/>
      <c r="B999" s="235"/>
      <c r="C999" s="235"/>
      <c r="D999" s="236"/>
      <c r="E999" s="235"/>
      <c r="F999" s="235"/>
      <c r="G999" s="237"/>
      <c r="H999" s="235"/>
      <c r="I999" s="235"/>
      <c r="J999" s="235"/>
      <c r="K999" s="66"/>
    </row>
    <row r="1000" ht="12.75" customHeight="1">
      <c r="A1000" s="238"/>
      <c r="B1000" s="235"/>
      <c r="C1000" s="235"/>
      <c r="D1000" s="236"/>
      <c r="E1000" s="235"/>
      <c r="F1000" s="235"/>
      <c r="G1000" s="237"/>
      <c r="H1000" s="235"/>
      <c r="I1000" s="235"/>
      <c r="J1000" s="235"/>
      <c r="K1000" s="66"/>
    </row>
    <row r="1001" ht="12.75" customHeight="1">
      <c r="A1001" s="238"/>
      <c r="B1001" s="235"/>
      <c r="C1001" s="235"/>
      <c r="D1001" s="236"/>
      <c r="E1001" s="235"/>
      <c r="F1001" s="235"/>
      <c r="G1001" s="237"/>
      <c r="H1001" s="235"/>
      <c r="I1001" s="235"/>
      <c r="J1001" s="235"/>
      <c r="K1001" s="66"/>
    </row>
    <row r="1002" ht="12.75" customHeight="1">
      <c r="A1002" s="238"/>
      <c r="B1002" s="235"/>
      <c r="C1002" s="235"/>
      <c r="D1002" s="236"/>
      <c r="E1002" s="235"/>
      <c r="F1002" s="235"/>
      <c r="G1002" s="237"/>
      <c r="H1002" s="235"/>
      <c r="I1002" s="235"/>
      <c r="J1002" s="235"/>
      <c r="K1002" s="66"/>
    </row>
    <row r="1003" ht="12.75" customHeight="1">
      <c r="A1003" s="238"/>
      <c r="B1003" s="235"/>
      <c r="C1003" s="235"/>
      <c r="D1003" s="236"/>
      <c r="E1003" s="235"/>
      <c r="F1003" s="235"/>
      <c r="G1003" s="237"/>
      <c r="H1003" s="235"/>
      <c r="I1003" s="235"/>
      <c r="J1003" s="235"/>
      <c r="K1003" s="66"/>
    </row>
    <row r="1004" ht="12.75" customHeight="1">
      <c r="A1004" s="238"/>
      <c r="B1004" s="235"/>
      <c r="C1004" s="235"/>
      <c r="D1004" s="236"/>
      <c r="E1004" s="235"/>
      <c r="F1004" s="235"/>
      <c r="G1004" s="237"/>
      <c r="H1004" s="235"/>
      <c r="I1004" s="235"/>
      <c r="J1004" s="235"/>
      <c r="K1004" s="66"/>
    </row>
    <row r="1005" ht="12.75" customHeight="1">
      <c r="A1005" s="238"/>
      <c r="B1005" s="235"/>
      <c r="C1005" s="235"/>
      <c r="D1005" s="236"/>
      <c r="E1005" s="235"/>
      <c r="F1005" s="235"/>
      <c r="G1005" s="237"/>
      <c r="H1005" s="235"/>
      <c r="I1005" s="235"/>
      <c r="J1005" s="235"/>
      <c r="K1005" s="66"/>
    </row>
    <row r="1006" ht="12.75" customHeight="1">
      <c r="A1006" s="238"/>
      <c r="B1006" s="235"/>
      <c r="C1006" s="235"/>
      <c r="D1006" s="236"/>
      <c r="E1006" s="235"/>
      <c r="F1006" s="235"/>
      <c r="G1006" s="237"/>
      <c r="H1006" s="235"/>
      <c r="I1006" s="235"/>
      <c r="J1006" s="235"/>
      <c r="K1006" s="66"/>
    </row>
    <row r="1007" ht="12.75" customHeight="1">
      <c r="A1007" s="238"/>
      <c r="B1007" s="235"/>
      <c r="C1007" s="235"/>
      <c r="D1007" s="236"/>
      <c r="E1007" s="235"/>
      <c r="F1007" s="235"/>
      <c r="G1007" s="237"/>
      <c r="H1007" s="235"/>
      <c r="I1007" s="235"/>
      <c r="J1007" s="235"/>
      <c r="K1007" s="66"/>
    </row>
    <row r="1008" ht="12.75" customHeight="1">
      <c r="A1008" s="238"/>
      <c r="B1008" s="235"/>
      <c r="C1008" s="235"/>
      <c r="D1008" s="236"/>
      <c r="E1008" s="235"/>
      <c r="F1008" s="235"/>
      <c r="G1008" s="237"/>
      <c r="H1008" s="235"/>
      <c r="I1008" s="235"/>
      <c r="J1008" s="235"/>
      <c r="K1008" s="66"/>
    </row>
    <row r="1009" ht="12.75" customHeight="1">
      <c r="A1009" s="238"/>
      <c r="B1009" s="235"/>
      <c r="C1009" s="235"/>
      <c r="D1009" s="236"/>
      <c r="E1009" s="235"/>
      <c r="F1009" s="235"/>
      <c r="G1009" s="237"/>
      <c r="H1009" s="235"/>
      <c r="I1009" s="235"/>
      <c r="J1009" s="235"/>
      <c r="K1009" s="66"/>
    </row>
    <row r="1010" ht="12.75" customHeight="1">
      <c r="A1010" s="238"/>
      <c r="B1010" s="235"/>
      <c r="C1010" s="235"/>
      <c r="D1010" s="236"/>
      <c r="E1010" s="235"/>
      <c r="F1010" s="235"/>
      <c r="G1010" s="237"/>
      <c r="H1010" s="235"/>
      <c r="I1010" s="235"/>
      <c r="J1010" s="235"/>
      <c r="K1010" s="66"/>
    </row>
    <row r="1011" ht="12.75" customHeight="1">
      <c r="A1011" s="238"/>
      <c r="B1011" s="235"/>
      <c r="C1011" s="235"/>
      <c r="D1011" s="236"/>
      <c r="E1011" s="235"/>
      <c r="F1011" s="235"/>
      <c r="G1011" s="237"/>
      <c r="H1011" s="235"/>
      <c r="I1011" s="235"/>
      <c r="J1011" s="235"/>
      <c r="K1011" s="66"/>
    </row>
    <row r="1012" ht="12.75" customHeight="1">
      <c r="A1012" s="238"/>
      <c r="B1012" s="235"/>
      <c r="C1012" s="235"/>
      <c r="D1012" s="236"/>
      <c r="E1012" s="235"/>
      <c r="F1012" s="235"/>
      <c r="G1012" s="237"/>
      <c r="H1012" s="235"/>
      <c r="I1012" s="235"/>
      <c r="J1012" s="235"/>
      <c r="K1012" s="66"/>
    </row>
    <row r="1013" ht="12.75" customHeight="1">
      <c r="A1013" s="238"/>
      <c r="B1013" s="235"/>
      <c r="C1013" s="235"/>
      <c r="D1013" s="236"/>
      <c r="E1013" s="235"/>
      <c r="F1013" s="235"/>
      <c r="G1013" s="237"/>
      <c r="H1013" s="235"/>
      <c r="I1013" s="235"/>
      <c r="J1013" s="235"/>
      <c r="K1013" s="66"/>
    </row>
    <row r="1014" ht="12.75" customHeight="1">
      <c r="A1014" s="238"/>
      <c r="B1014" s="235"/>
      <c r="C1014" s="235"/>
      <c r="D1014" s="236"/>
      <c r="E1014" s="235"/>
      <c r="F1014" s="235"/>
      <c r="G1014" s="237"/>
      <c r="H1014" s="235"/>
      <c r="I1014" s="235"/>
      <c r="J1014" s="235"/>
      <c r="K1014" s="66"/>
    </row>
    <row r="1015" ht="12.75" customHeight="1">
      <c r="A1015" s="238"/>
      <c r="B1015" s="235"/>
      <c r="C1015" s="235"/>
      <c r="D1015" s="236"/>
      <c r="E1015" s="235"/>
      <c r="F1015" s="235"/>
      <c r="G1015" s="237"/>
      <c r="H1015" s="235"/>
      <c r="I1015" s="235"/>
      <c r="J1015" s="235"/>
      <c r="K1015" s="66"/>
    </row>
    <row r="1016" ht="12.75" customHeight="1">
      <c r="A1016" s="238"/>
      <c r="B1016" s="235"/>
      <c r="C1016" s="235"/>
      <c r="D1016" s="236"/>
      <c r="E1016" s="235"/>
      <c r="F1016" s="235"/>
      <c r="G1016" s="237"/>
      <c r="H1016" s="235"/>
      <c r="I1016" s="235"/>
      <c r="J1016" s="235"/>
      <c r="K1016" s="66"/>
    </row>
    <row r="1017" ht="12.75" customHeight="1">
      <c r="A1017" s="238"/>
      <c r="B1017" s="235"/>
      <c r="C1017" s="235"/>
      <c r="D1017" s="236"/>
      <c r="E1017" s="235"/>
      <c r="F1017" s="235"/>
      <c r="G1017" s="237"/>
      <c r="H1017" s="235"/>
      <c r="I1017" s="235"/>
      <c r="J1017" s="235"/>
      <c r="K1017" s="66"/>
    </row>
    <row r="1018" ht="12.75" customHeight="1">
      <c r="A1018" s="238"/>
      <c r="B1018" s="235"/>
      <c r="C1018" s="235"/>
      <c r="D1018" s="236"/>
      <c r="E1018" s="235"/>
      <c r="F1018" s="235"/>
      <c r="G1018" s="237"/>
      <c r="H1018" s="235"/>
      <c r="I1018" s="235"/>
      <c r="J1018" s="235"/>
      <c r="K1018" s="66"/>
    </row>
    <row r="1019" ht="12.75" customHeight="1">
      <c r="A1019" s="238"/>
      <c r="B1019" s="235"/>
      <c r="C1019" s="235"/>
      <c r="D1019" s="236"/>
      <c r="E1019" s="235"/>
      <c r="F1019" s="235"/>
      <c r="G1019" s="237"/>
      <c r="H1019" s="235"/>
      <c r="I1019" s="235"/>
      <c r="J1019" s="235"/>
      <c r="K1019" s="66"/>
    </row>
    <row r="1020" ht="12.75" customHeight="1">
      <c r="A1020" s="238"/>
      <c r="B1020" s="235"/>
      <c r="C1020" s="235"/>
      <c r="D1020" s="236"/>
      <c r="E1020" s="235"/>
      <c r="F1020" s="235"/>
      <c r="G1020" s="237"/>
      <c r="H1020" s="235"/>
      <c r="I1020" s="235"/>
      <c r="J1020" s="235"/>
      <c r="K1020" s="66"/>
    </row>
    <row r="1021" ht="12.75" customHeight="1">
      <c r="A1021" s="238"/>
      <c r="B1021" s="235"/>
      <c r="C1021" s="235"/>
      <c r="D1021" s="236"/>
      <c r="E1021" s="235"/>
      <c r="F1021" s="235"/>
      <c r="G1021" s="237"/>
      <c r="H1021" s="235"/>
      <c r="I1021" s="235"/>
      <c r="J1021" s="235"/>
      <c r="K1021" s="66"/>
    </row>
    <row r="1022" ht="12.75" customHeight="1">
      <c r="A1022" s="238"/>
      <c r="B1022" s="235"/>
      <c r="C1022" s="235"/>
      <c r="D1022" s="236"/>
      <c r="E1022" s="235"/>
      <c r="F1022" s="235"/>
      <c r="G1022" s="237"/>
      <c r="H1022" s="235"/>
      <c r="I1022" s="235"/>
      <c r="J1022" s="235"/>
      <c r="K1022" s="66"/>
    </row>
    <row r="1023" ht="12.75" customHeight="1">
      <c r="A1023" s="238"/>
      <c r="B1023" s="235"/>
      <c r="C1023" s="235"/>
      <c r="D1023" s="236"/>
      <c r="E1023" s="235"/>
      <c r="F1023" s="235"/>
      <c r="G1023" s="237"/>
      <c r="H1023" s="235"/>
      <c r="I1023" s="235"/>
      <c r="J1023" s="235"/>
      <c r="K1023" s="66"/>
    </row>
    <row r="1024" ht="12.75" customHeight="1">
      <c r="A1024" s="238"/>
      <c r="B1024" s="235"/>
      <c r="C1024" s="235"/>
      <c r="D1024" s="236"/>
      <c r="E1024" s="235"/>
      <c r="F1024" s="235"/>
      <c r="G1024" s="237"/>
      <c r="H1024" s="235"/>
      <c r="I1024" s="235"/>
      <c r="J1024" s="235"/>
      <c r="K1024" s="66"/>
    </row>
    <row r="1025" ht="12.75" customHeight="1">
      <c r="A1025" s="238"/>
      <c r="B1025" s="235"/>
      <c r="C1025" s="235"/>
      <c r="D1025" s="236"/>
      <c r="E1025" s="235"/>
      <c r="F1025" s="235"/>
      <c r="G1025" s="237"/>
      <c r="H1025" s="235"/>
      <c r="I1025" s="235"/>
      <c r="J1025" s="235"/>
      <c r="K1025" s="66"/>
    </row>
    <row r="1026" ht="12.75" customHeight="1">
      <c r="A1026" s="238"/>
      <c r="B1026" s="235"/>
      <c r="C1026" s="235"/>
      <c r="D1026" s="236"/>
      <c r="E1026" s="235"/>
      <c r="F1026" s="235"/>
      <c r="G1026" s="237"/>
      <c r="H1026" s="235"/>
      <c r="I1026" s="235"/>
      <c r="J1026" s="235"/>
      <c r="K1026" s="66"/>
    </row>
    <row r="1027" ht="12.75" customHeight="1">
      <c r="A1027" s="238"/>
      <c r="B1027" s="235"/>
      <c r="C1027" s="235"/>
      <c r="D1027" s="236"/>
      <c r="E1027" s="235"/>
      <c r="F1027" s="235"/>
      <c r="G1027" s="237"/>
      <c r="H1027" s="235"/>
      <c r="I1027" s="235"/>
      <c r="J1027" s="235"/>
      <c r="K1027" s="66"/>
    </row>
    <row r="1028" ht="12.75" customHeight="1">
      <c r="A1028" s="238"/>
      <c r="B1028" s="235"/>
      <c r="C1028" s="235"/>
      <c r="D1028" s="236"/>
      <c r="E1028" s="235"/>
      <c r="F1028" s="235"/>
      <c r="G1028" s="237"/>
      <c r="H1028" s="235"/>
      <c r="I1028" s="235"/>
      <c r="J1028" s="235"/>
      <c r="K1028" s="66"/>
    </row>
    <row r="1029" ht="12.75" customHeight="1">
      <c r="A1029" s="238"/>
      <c r="B1029" s="235"/>
      <c r="C1029" s="235"/>
      <c r="D1029" s="236"/>
      <c r="E1029" s="235"/>
      <c r="F1029" s="235"/>
      <c r="G1029" s="237"/>
      <c r="H1029" s="235"/>
      <c r="I1029" s="235"/>
      <c r="J1029" s="235"/>
      <c r="K1029" s="66"/>
    </row>
    <row r="1030" ht="12.75" customHeight="1">
      <c r="A1030" s="238"/>
      <c r="B1030" s="235"/>
      <c r="C1030" s="235"/>
      <c r="D1030" s="236"/>
      <c r="E1030" s="235"/>
      <c r="F1030" s="235"/>
      <c r="G1030" s="237"/>
      <c r="H1030" s="235"/>
      <c r="I1030" s="235"/>
      <c r="J1030" s="235"/>
      <c r="K1030" s="66"/>
    </row>
    <row r="1031" ht="12.75" customHeight="1">
      <c r="A1031" s="238"/>
      <c r="B1031" s="235"/>
      <c r="C1031" s="235"/>
      <c r="D1031" s="236"/>
      <c r="E1031" s="235"/>
      <c r="F1031" s="235"/>
      <c r="G1031" s="237"/>
      <c r="H1031" s="235"/>
      <c r="I1031" s="235"/>
      <c r="J1031" s="235"/>
      <c r="K1031" s="66"/>
    </row>
    <row r="1032" ht="12.75" customHeight="1">
      <c r="A1032" s="238"/>
      <c r="B1032" s="235"/>
      <c r="C1032" s="235"/>
      <c r="D1032" s="236"/>
      <c r="E1032" s="235"/>
      <c r="F1032" s="235"/>
      <c r="G1032" s="237"/>
      <c r="H1032" s="235"/>
      <c r="I1032" s="235"/>
      <c r="J1032" s="235"/>
      <c r="K1032" s="66"/>
    </row>
    <row r="1033" ht="12.75" customHeight="1">
      <c r="A1033" s="238"/>
      <c r="B1033" s="235"/>
      <c r="C1033" s="235"/>
      <c r="D1033" s="236"/>
      <c r="E1033" s="235"/>
      <c r="F1033" s="235"/>
      <c r="G1033" s="237"/>
      <c r="H1033" s="235"/>
      <c r="I1033" s="235"/>
      <c r="J1033" s="235"/>
      <c r="K1033" s="66"/>
    </row>
    <row r="1034" ht="12.75" customHeight="1">
      <c r="A1034" s="238"/>
      <c r="B1034" s="235"/>
      <c r="C1034" s="235"/>
      <c r="D1034" s="236"/>
      <c r="E1034" s="235"/>
      <c r="F1034" s="235"/>
      <c r="G1034" s="237"/>
      <c r="H1034" s="235"/>
      <c r="I1034" s="235"/>
      <c r="J1034" s="235"/>
      <c r="K1034" s="66"/>
    </row>
    <row r="1035" ht="12.75" customHeight="1">
      <c r="A1035" s="238"/>
      <c r="B1035" s="235"/>
      <c r="C1035" s="235"/>
      <c r="D1035" s="236"/>
      <c r="E1035" s="235"/>
      <c r="F1035" s="235"/>
      <c r="G1035" s="237"/>
      <c r="H1035" s="235"/>
      <c r="I1035" s="235"/>
      <c r="J1035" s="235"/>
      <c r="K1035" s="66"/>
    </row>
    <row r="1036" ht="12.75" customHeight="1">
      <c r="A1036" s="238"/>
      <c r="B1036" s="235"/>
      <c r="C1036" s="235"/>
      <c r="D1036" s="236"/>
      <c r="E1036" s="235"/>
      <c r="F1036" s="235"/>
      <c r="G1036" s="237"/>
      <c r="H1036" s="235"/>
      <c r="I1036" s="235"/>
      <c r="J1036" s="235"/>
      <c r="K1036" s="66"/>
    </row>
    <row r="1037" ht="12.75" customHeight="1">
      <c r="A1037" s="238"/>
      <c r="B1037" s="235"/>
      <c r="C1037" s="235"/>
      <c r="D1037" s="236"/>
      <c r="E1037" s="235"/>
      <c r="F1037" s="235"/>
      <c r="G1037" s="237"/>
      <c r="H1037" s="235"/>
      <c r="I1037" s="235"/>
      <c r="J1037" s="235"/>
      <c r="K1037" s="66"/>
    </row>
    <row r="1038" ht="12.75" customHeight="1">
      <c r="A1038" s="238"/>
      <c r="B1038" s="235"/>
      <c r="C1038" s="235"/>
      <c r="D1038" s="236"/>
      <c r="E1038" s="235"/>
      <c r="F1038" s="235"/>
      <c r="G1038" s="237"/>
      <c r="H1038" s="235"/>
      <c r="I1038" s="235"/>
      <c r="J1038" s="235"/>
      <c r="K1038" s="66"/>
    </row>
    <row r="1039" ht="12.75" customHeight="1">
      <c r="A1039" s="238"/>
      <c r="B1039" s="235"/>
      <c r="C1039" s="235"/>
      <c r="D1039" s="236"/>
      <c r="E1039" s="235"/>
      <c r="F1039" s="235"/>
      <c r="G1039" s="237"/>
      <c r="H1039" s="235"/>
      <c r="I1039" s="235"/>
      <c r="J1039" s="235"/>
      <c r="K1039" s="66"/>
    </row>
    <row r="1040" ht="12.75" customHeight="1">
      <c r="A1040" s="238"/>
      <c r="B1040" s="235"/>
      <c r="C1040" s="235"/>
      <c r="D1040" s="236"/>
      <c r="E1040" s="235"/>
      <c r="F1040" s="235"/>
      <c r="G1040" s="237"/>
      <c r="H1040" s="235"/>
      <c r="I1040" s="235"/>
      <c r="J1040" s="235"/>
      <c r="K1040" s="66"/>
    </row>
    <row r="1041" ht="12.75" customHeight="1">
      <c r="A1041" s="238"/>
      <c r="B1041" s="235"/>
      <c r="C1041" s="235"/>
      <c r="D1041" s="236"/>
      <c r="E1041" s="235"/>
      <c r="F1041" s="235"/>
      <c r="G1041" s="237"/>
      <c r="H1041" s="235"/>
      <c r="I1041" s="235"/>
      <c r="J1041" s="235"/>
      <c r="K1041" s="66"/>
    </row>
    <row r="1042" ht="12.75" customHeight="1">
      <c r="A1042" s="238"/>
      <c r="B1042" s="235"/>
      <c r="C1042" s="235"/>
      <c r="D1042" s="236"/>
      <c r="E1042" s="235"/>
      <c r="F1042" s="235"/>
      <c r="G1042" s="237"/>
      <c r="H1042" s="235"/>
      <c r="I1042" s="235"/>
      <c r="J1042" s="235"/>
      <c r="K1042" s="66"/>
    </row>
    <row r="1043" ht="12.75" customHeight="1">
      <c r="A1043" s="238"/>
      <c r="B1043" s="235"/>
      <c r="C1043" s="235"/>
      <c r="D1043" s="236"/>
      <c r="E1043" s="235"/>
      <c r="F1043" s="235"/>
      <c r="G1043" s="237"/>
      <c r="H1043" s="235"/>
      <c r="I1043" s="235"/>
      <c r="J1043" s="235"/>
      <c r="K1043" s="66"/>
    </row>
    <row r="1044" ht="12.75" customHeight="1">
      <c r="A1044" s="238"/>
      <c r="B1044" s="235"/>
      <c r="C1044" s="235"/>
      <c r="D1044" s="236"/>
      <c r="E1044" s="235"/>
      <c r="F1044" s="235"/>
      <c r="G1044" s="237"/>
      <c r="H1044" s="235"/>
      <c r="I1044" s="235"/>
      <c r="J1044" s="235"/>
      <c r="K1044" s="66"/>
    </row>
    <row r="1045" ht="12.75" customHeight="1">
      <c r="A1045" s="238"/>
      <c r="B1045" s="235"/>
      <c r="C1045" s="235"/>
      <c r="D1045" s="236"/>
      <c r="E1045" s="235"/>
      <c r="F1045" s="235"/>
      <c r="G1045" s="237"/>
      <c r="H1045" s="235"/>
      <c r="I1045" s="235"/>
      <c r="J1045" s="235"/>
      <c r="K1045" s="66"/>
    </row>
    <row r="1046" ht="12.75" customHeight="1">
      <c r="A1046" s="238"/>
      <c r="B1046" s="235"/>
      <c r="C1046" s="235"/>
      <c r="D1046" s="236"/>
      <c r="E1046" s="235"/>
      <c r="F1046" s="235"/>
      <c r="G1046" s="237"/>
      <c r="H1046" s="235"/>
      <c r="I1046" s="235"/>
      <c r="J1046" s="235"/>
      <c r="K1046" s="66"/>
    </row>
    <row r="1047" ht="12.75" customHeight="1">
      <c r="A1047" s="238"/>
      <c r="B1047" s="235"/>
      <c r="C1047" s="235"/>
      <c r="D1047" s="236"/>
      <c r="E1047" s="235"/>
      <c r="F1047" s="235"/>
      <c r="G1047" s="237"/>
      <c r="H1047" s="235"/>
      <c r="I1047" s="235"/>
      <c r="J1047" s="235"/>
      <c r="K1047" s="66"/>
    </row>
    <row r="1048" ht="12.75" customHeight="1">
      <c r="A1048" s="238"/>
      <c r="B1048" s="235"/>
      <c r="C1048" s="235"/>
      <c r="D1048" s="236"/>
      <c r="E1048" s="235"/>
      <c r="F1048" s="235"/>
      <c r="G1048" s="237"/>
      <c r="H1048" s="235"/>
      <c r="I1048" s="235"/>
      <c r="J1048" s="235"/>
      <c r="K1048" s="66"/>
    </row>
    <row r="1049" ht="12.75" customHeight="1">
      <c r="A1049" s="238"/>
      <c r="B1049" s="235"/>
      <c r="C1049" s="235"/>
      <c r="D1049" s="236"/>
      <c r="E1049" s="235"/>
      <c r="F1049" s="235"/>
      <c r="G1049" s="237"/>
      <c r="H1049" s="235"/>
      <c r="I1049" s="235"/>
      <c r="J1049" s="235"/>
      <c r="K1049" s="66"/>
    </row>
    <row r="1050" ht="12.75" customHeight="1">
      <c r="A1050" s="238"/>
      <c r="B1050" s="235"/>
      <c r="C1050" s="235"/>
      <c r="D1050" s="236"/>
      <c r="E1050" s="235"/>
      <c r="F1050" s="235"/>
      <c r="G1050" s="237"/>
      <c r="H1050" s="235"/>
      <c r="I1050" s="235"/>
      <c r="J1050" s="235"/>
      <c r="K1050" s="66"/>
    </row>
    <row r="1051" ht="12.75" customHeight="1">
      <c r="A1051" s="238"/>
      <c r="B1051" s="235"/>
      <c r="C1051" s="235"/>
      <c r="D1051" s="236"/>
      <c r="E1051" s="235"/>
      <c r="F1051" s="235"/>
      <c r="G1051" s="237"/>
      <c r="H1051" s="235"/>
      <c r="I1051" s="235"/>
      <c r="J1051" s="235"/>
      <c r="K1051" s="66"/>
    </row>
    <row r="1052" ht="12.75" customHeight="1">
      <c r="A1052" s="238"/>
      <c r="B1052" s="235"/>
      <c r="C1052" s="235"/>
      <c r="D1052" s="236"/>
      <c r="E1052" s="235"/>
      <c r="F1052" s="235"/>
      <c r="G1052" s="237"/>
      <c r="H1052" s="235"/>
      <c r="I1052" s="235"/>
      <c r="J1052" s="235"/>
      <c r="K1052" s="66"/>
    </row>
    <row r="1053" ht="12.75" customHeight="1">
      <c r="A1053" s="238"/>
      <c r="B1053" s="235"/>
      <c r="C1053" s="235"/>
      <c r="D1053" s="236"/>
      <c r="E1053" s="235"/>
      <c r="F1053" s="235"/>
      <c r="G1053" s="237"/>
      <c r="H1053" s="235"/>
      <c r="I1053" s="235"/>
      <c r="J1053" s="235"/>
      <c r="K1053" s="66"/>
    </row>
    <row r="1054" ht="12.75" customHeight="1">
      <c r="A1054" s="238"/>
      <c r="B1054" s="235"/>
      <c r="C1054" s="235"/>
      <c r="D1054" s="236"/>
      <c r="E1054" s="235"/>
      <c r="F1054" s="235"/>
      <c r="G1054" s="237"/>
      <c r="H1054" s="235"/>
      <c r="I1054" s="235"/>
      <c r="J1054" s="235"/>
      <c r="K1054" s="66"/>
    </row>
    <row r="1055" ht="12.75" customHeight="1">
      <c r="A1055" s="238"/>
      <c r="B1055" s="235"/>
      <c r="C1055" s="235"/>
      <c r="D1055" s="236"/>
      <c r="E1055" s="235"/>
      <c r="F1055" s="235"/>
      <c r="G1055" s="237"/>
      <c r="H1055" s="235"/>
      <c r="I1055" s="235"/>
      <c r="J1055" s="235"/>
      <c r="K1055" s="66"/>
    </row>
    <row r="1056" ht="12.75" customHeight="1">
      <c r="A1056" s="238"/>
      <c r="B1056" s="235"/>
      <c r="C1056" s="235"/>
      <c r="D1056" s="236"/>
      <c r="E1056" s="235"/>
      <c r="F1056" s="235"/>
      <c r="G1056" s="237"/>
      <c r="H1056" s="235"/>
      <c r="I1056" s="235"/>
      <c r="J1056" s="235"/>
      <c r="K1056" s="66"/>
    </row>
    <row r="1057" ht="12.75" customHeight="1">
      <c r="A1057" s="238"/>
      <c r="B1057" s="235"/>
      <c r="C1057" s="235"/>
      <c r="D1057" s="236"/>
      <c r="E1057" s="235"/>
      <c r="F1057" s="235"/>
      <c r="G1057" s="237"/>
      <c r="H1057" s="235"/>
      <c r="I1057" s="235"/>
      <c r="J1057" s="235"/>
      <c r="K1057" s="66"/>
    </row>
    <row r="1058" ht="12.75" customHeight="1">
      <c r="A1058" s="238"/>
      <c r="B1058" s="235"/>
      <c r="C1058" s="235"/>
      <c r="D1058" s="236"/>
      <c r="E1058" s="235"/>
      <c r="F1058" s="235"/>
      <c r="G1058" s="237"/>
      <c r="H1058" s="235"/>
      <c r="I1058" s="235"/>
      <c r="J1058" s="235"/>
      <c r="K1058" s="66"/>
    </row>
    <row r="1059" ht="12.75" customHeight="1">
      <c r="A1059" s="238"/>
      <c r="B1059" s="235"/>
      <c r="C1059" s="235"/>
      <c r="D1059" s="236"/>
      <c r="E1059" s="235"/>
      <c r="F1059" s="235"/>
      <c r="G1059" s="237"/>
      <c r="H1059" s="235"/>
      <c r="I1059" s="235"/>
      <c r="J1059" s="235"/>
      <c r="K1059" s="66"/>
    </row>
    <row r="1060" ht="12.75" customHeight="1">
      <c r="A1060" s="238"/>
      <c r="B1060" s="235"/>
      <c r="C1060" s="235"/>
      <c r="D1060" s="236"/>
      <c r="E1060" s="235"/>
      <c r="F1060" s="235"/>
      <c r="G1060" s="237"/>
      <c r="H1060" s="235"/>
      <c r="I1060" s="235"/>
      <c r="J1060" s="235"/>
      <c r="K1060" s="66"/>
    </row>
    <row r="1061" ht="12.75" customHeight="1">
      <c r="A1061" s="238"/>
      <c r="B1061" s="235"/>
      <c r="C1061" s="235"/>
      <c r="D1061" s="236"/>
      <c r="E1061" s="235"/>
      <c r="F1061" s="235"/>
      <c r="G1061" s="237"/>
      <c r="H1061" s="235"/>
      <c r="I1061" s="235"/>
      <c r="J1061" s="235"/>
      <c r="K1061" s="66"/>
    </row>
    <row r="1062" ht="12.75" customHeight="1">
      <c r="A1062" s="238"/>
      <c r="B1062" s="235"/>
      <c r="C1062" s="235"/>
      <c r="D1062" s="236"/>
      <c r="E1062" s="235"/>
      <c r="F1062" s="235"/>
      <c r="G1062" s="237"/>
      <c r="H1062" s="235"/>
      <c r="I1062" s="235"/>
      <c r="J1062" s="235"/>
      <c r="K1062" s="66"/>
    </row>
    <row r="1063" ht="12.75" customHeight="1">
      <c r="A1063" s="238"/>
      <c r="B1063" s="235"/>
      <c r="C1063" s="235"/>
      <c r="D1063" s="236"/>
      <c r="E1063" s="235"/>
      <c r="F1063" s="235"/>
      <c r="G1063" s="237"/>
      <c r="H1063" s="235"/>
      <c r="I1063" s="235"/>
      <c r="J1063" s="235"/>
      <c r="K1063" s="66"/>
    </row>
    <row r="1064" ht="12.75" customHeight="1">
      <c r="A1064" s="238"/>
      <c r="B1064" s="235"/>
      <c r="C1064" s="235"/>
      <c r="D1064" s="236"/>
      <c r="E1064" s="235"/>
      <c r="F1064" s="235"/>
      <c r="G1064" s="237"/>
      <c r="H1064" s="235"/>
      <c r="I1064" s="235"/>
      <c r="J1064" s="235"/>
      <c r="K1064" s="66"/>
    </row>
    <row r="1065" ht="12.75" customHeight="1">
      <c r="A1065" s="238"/>
      <c r="B1065" s="235"/>
      <c r="C1065" s="235"/>
      <c r="D1065" s="236"/>
      <c r="E1065" s="235"/>
      <c r="F1065" s="235"/>
      <c r="G1065" s="237"/>
      <c r="H1065" s="235"/>
      <c r="I1065" s="235"/>
      <c r="J1065" s="235"/>
      <c r="K1065" s="66"/>
    </row>
    <row r="1066" ht="12.75" customHeight="1">
      <c r="A1066" s="238"/>
      <c r="B1066" s="235"/>
      <c r="C1066" s="235"/>
      <c r="D1066" s="236"/>
      <c r="E1066" s="235"/>
      <c r="F1066" s="235"/>
      <c r="G1066" s="237"/>
      <c r="H1066" s="235"/>
      <c r="I1066" s="235"/>
      <c r="J1066" s="235"/>
      <c r="K1066" s="66"/>
    </row>
    <row r="1067" ht="12.75" customHeight="1">
      <c r="A1067" s="238"/>
      <c r="B1067" s="235"/>
      <c r="C1067" s="235"/>
      <c r="D1067" s="236"/>
      <c r="E1067" s="235"/>
      <c r="F1067" s="235"/>
      <c r="G1067" s="237"/>
      <c r="H1067" s="235"/>
      <c r="I1067" s="235"/>
      <c r="J1067" s="235"/>
      <c r="K1067" s="66"/>
    </row>
    <row r="1068" ht="12.75" customHeight="1">
      <c r="A1068" s="238"/>
      <c r="B1068" s="235"/>
      <c r="C1068" s="235"/>
      <c r="D1068" s="236"/>
      <c r="E1068" s="235"/>
      <c r="F1068" s="235"/>
      <c r="G1068" s="237"/>
      <c r="H1068" s="235"/>
      <c r="I1068" s="235"/>
      <c r="J1068" s="235"/>
      <c r="K1068" s="66"/>
    </row>
    <row r="1069" ht="12.75" customHeight="1">
      <c r="A1069" s="238"/>
      <c r="B1069" s="235"/>
      <c r="C1069" s="235"/>
      <c r="D1069" s="236"/>
      <c r="E1069" s="235"/>
      <c r="F1069" s="235"/>
      <c r="G1069" s="237"/>
      <c r="H1069" s="235"/>
      <c r="I1069" s="235"/>
      <c r="J1069" s="235"/>
      <c r="K1069" s="66"/>
    </row>
    <row r="1070" ht="12.75" customHeight="1">
      <c r="A1070" s="238"/>
      <c r="B1070" s="235"/>
      <c r="C1070" s="235"/>
      <c r="D1070" s="236"/>
      <c r="E1070" s="235"/>
      <c r="F1070" s="235"/>
      <c r="G1070" s="237"/>
      <c r="H1070" s="235"/>
      <c r="I1070" s="235"/>
      <c r="J1070" s="235"/>
      <c r="K1070" s="66"/>
    </row>
    <row r="1071" ht="12.75" customHeight="1">
      <c r="A1071" s="238"/>
      <c r="B1071" s="235"/>
      <c r="C1071" s="235"/>
      <c r="D1071" s="236"/>
      <c r="E1071" s="235"/>
      <c r="F1071" s="235"/>
      <c r="G1071" s="237"/>
      <c r="H1071" s="235"/>
      <c r="I1071" s="235"/>
      <c r="J1071" s="235"/>
      <c r="K1071" s="66"/>
    </row>
    <row r="1072" ht="12.75" customHeight="1">
      <c r="A1072" s="238"/>
      <c r="B1072" s="235"/>
      <c r="C1072" s="235"/>
      <c r="D1072" s="236"/>
      <c r="E1072" s="235"/>
      <c r="F1072" s="235"/>
      <c r="G1072" s="237"/>
      <c r="H1072" s="235"/>
      <c r="I1072" s="235"/>
      <c r="J1072" s="235"/>
      <c r="K1072" s="66"/>
    </row>
    <row r="1073" ht="12.75" customHeight="1">
      <c r="A1073" s="238"/>
      <c r="B1073" s="235"/>
      <c r="C1073" s="235"/>
      <c r="D1073" s="236"/>
      <c r="E1073" s="235"/>
      <c r="F1073" s="235"/>
      <c r="G1073" s="237"/>
      <c r="H1073" s="235"/>
      <c r="I1073" s="235"/>
      <c r="J1073" s="235"/>
      <c r="K1073" s="66"/>
    </row>
    <row r="1074" ht="12.75" customHeight="1">
      <c r="A1074" s="238"/>
      <c r="B1074" s="235"/>
      <c r="C1074" s="235"/>
      <c r="D1074" s="236"/>
      <c r="E1074" s="235"/>
      <c r="F1074" s="235"/>
      <c r="G1074" s="237"/>
      <c r="H1074" s="235"/>
      <c r="I1074" s="235"/>
      <c r="J1074" s="235"/>
      <c r="K1074" s="66"/>
    </row>
    <row r="1075" ht="12.75" customHeight="1">
      <c r="A1075" s="238"/>
      <c r="B1075" s="235"/>
      <c r="C1075" s="235"/>
      <c r="D1075" s="236"/>
      <c r="E1075" s="235"/>
      <c r="F1075" s="235"/>
      <c r="G1075" s="237"/>
      <c r="H1075" s="235"/>
      <c r="I1075" s="235"/>
      <c r="J1075" s="235"/>
      <c r="K1075" s="66"/>
    </row>
    <row r="1076" ht="12.75" customHeight="1">
      <c r="A1076" s="238"/>
      <c r="B1076" s="235"/>
      <c r="C1076" s="235"/>
      <c r="D1076" s="236"/>
      <c r="E1076" s="235"/>
      <c r="F1076" s="235"/>
      <c r="G1076" s="237"/>
      <c r="H1076" s="235"/>
      <c r="I1076" s="235"/>
      <c r="J1076" s="235"/>
      <c r="K1076" s="66"/>
    </row>
    <row r="1077" ht="12.75" customHeight="1">
      <c r="A1077" s="238"/>
      <c r="B1077" s="235"/>
      <c r="C1077" s="235"/>
      <c r="D1077" s="236"/>
      <c r="E1077" s="235"/>
      <c r="F1077" s="235"/>
      <c r="G1077" s="237"/>
      <c r="H1077" s="235"/>
      <c r="I1077" s="235"/>
      <c r="J1077" s="235"/>
      <c r="K1077" s="66"/>
    </row>
    <row r="1078" ht="12.75" customHeight="1">
      <c r="A1078" s="238"/>
      <c r="B1078" s="235"/>
      <c r="C1078" s="235"/>
      <c r="D1078" s="236"/>
      <c r="E1078" s="235"/>
      <c r="F1078" s="235"/>
      <c r="G1078" s="237"/>
      <c r="H1078" s="235"/>
      <c r="I1078" s="235"/>
      <c r="J1078" s="235"/>
      <c r="K1078" s="66"/>
    </row>
    <row r="1079" ht="12.75" customHeight="1">
      <c r="A1079" s="238"/>
      <c r="B1079" s="235"/>
      <c r="C1079" s="235"/>
      <c r="D1079" s="236"/>
      <c r="E1079" s="235"/>
      <c r="F1079" s="235"/>
      <c r="G1079" s="237"/>
      <c r="H1079" s="235"/>
      <c r="I1079" s="235"/>
      <c r="J1079" s="235"/>
      <c r="K1079" s="66"/>
    </row>
    <row r="1080" ht="12.75" customHeight="1">
      <c r="A1080" s="238"/>
      <c r="B1080" s="235"/>
      <c r="C1080" s="235"/>
      <c r="D1080" s="236"/>
      <c r="E1080" s="235"/>
      <c r="F1080" s="235"/>
      <c r="G1080" s="237"/>
      <c r="H1080" s="235"/>
      <c r="I1080" s="235"/>
      <c r="J1080" s="235"/>
      <c r="K1080" s="66"/>
    </row>
    <row r="1081" ht="12.75" customHeight="1">
      <c r="A1081" s="238"/>
      <c r="B1081" s="235"/>
      <c r="C1081" s="235"/>
      <c r="D1081" s="236"/>
      <c r="E1081" s="235"/>
      <c r="F1081" s="235"/>
      <c r="G1081" s="237"/>
      <c r="H1081" s="235"/>
      <c r="I1081" s="235"/>
      <c r="J1081" s="235"/>
      <c r="K1081" s="66"/>
    </row>
    <row r="1082" ht="12.75" customHeight="1">
      <c r="A1082" s="238"/>
      <c r="B1082" s="235"/>
      <c r="C1082" s="235"/>
      <c r="D1082" s="236"/>
      <c r="E1082" s="235"/>
      <c r="F1082" s="235"/>
      <c r="G1082" s="237"/>
      <c r="H1082" s="235"/>
      <c r="I1082" s="235"/>
      <c r="J1082" s="235"/>
      <c r="K1082" s="66"/>
    </row>
    <row r="1083" ht="12.75" customHeight="1">
      <c r="A1083" s="238"/>
      <c r="B1083" s="235"/>
      <c r="C1083" s="235"/>
      <c r="D1083" s="236"/>
      <c r="E1083" s="235"/>
      <c r="F1083" s="235"/>
      <c r="G1083" s="237"/>
      <c r="H1083" s="235"/>
      <c r="I1083" s="235"/>
      <c r="J1083" s="235"/>
      <c r="K1083" s="66"/>
    </row>
    <row r="1084" ht="12.75" customHeight="1">
      <c r="A1084" s="238"/>
      <c r="B1084" s="235"/>
      <c r="C1084" s="235"/>
      <c r="D1084" s="236"/>
      <c r="E1084" s="235"/>
      <c r="F1084" s="235"/>
      <c r="G1084" s="237"/>
      <c r="H1084" s="235"/>
      <c r="I1084" s="235"/>
      <c r="J1084" s="235"/>
      <c r="K1084" s="66"/>
    </row>
    <row r="1085" ht="12.75" customHeight="1">
      <c r="A1085" s="238"/>
      <c r="B1085" s="235"/>
      <c r="C1085" s="235"/>
      <c r="D1085" s="236"/>
      <c r="E1085" s="235"/>
      <c r="F1085" s="235"/>
      <c r="G1085" s="237"/>
      <c r="H1085" s="235"/>
      <c r="I1085" s="235"/>
      <c r="J1085" s="235"/>
      <c r="K1085" s="66"/>
    </row>
    <row r="1086" ht="12.75" customHeight="1">
      <c r="A1086" s="238"/>
      <c r="B1086" s="235"/>
      <c r="C1086" s="235"/>
      <c r="D1086" s="236"/>
      <c r="E1086" s="235"/>
      <c r="F1086" s="235"/>
      <c r="G1086" s="237"/>
      <c r="H1086" s="235"/>
      <c r="I1086" s="235"/>
      <c r="J1086" s="235"/>
      <c r="K1086" s="66"/>
    </row>
    <row r="1087" ht="12.75" customHeight="1">
      <c r="A1087" s="238"/>
      <c r="B1087" s="235"/>
      <c r="C1087" s="235"/>
      <c r="D1087" s="236"/>
      <c r="E1087" s="235"/>
      <c r="F1087" s="235"/>
      <c r="G1087" s="237"/>
      <c r="H1087" s="235"/>
      <c r="I1087" s="235"/>
      <c r="J1087" s="235"/>
      <c r="K1087" s="66"/>
    </row>
    <row r="1088" ht="12.75" customHeight="1">
      <c r="A1088" s="238"/>
      <c r="B1088" s="235"/>
      <c r="C1088" s="235"/>
      <c r="D1088" s="236"/>
      <c r="E1088" s="235"/>
      <c r="F1088" s="235"/>
      <c r="G1088" s="237"/>
      <c r="H1088" s="235"/>
      <c r="I1088" s="235"/>
      <c r="J1088" s="235"/>
      <c r="K1088" s="66"/>
    </row>
    <row r="1089" ht="12.75" customHeight="1">
      <c r="A1089" s="238"/>
      <c r="B1089" s="235"/>
      <c r="C1089" s="235"/>
      <c r="D1089" s="236"/>
      <c r="E1089" s="235"/>
      <c r="F1089" s="235"/>
      <c r="G1089" s="237"/>
      <c r="H1089" s="235"/>
      <c r="I1089" s="235"/>
      <c r="J1089" s="235"/>
      <c r="K1089" s="66"/>
    </row>
    <row r="1090" ht="12.75" customHeight="1">
      <c r="A1090" s="238"/>
      <c r="B1090" s="235"/>
      <c r="C1090" s="235"/>
      <c r="D1090" s="236"/>
      <c r="E1090" s="235"/>
      <c r="F1090" s="235"/>
      <c r="G1090" s="237"/>
      <c r="H1090" s="235"/>
      <c r="I1090" s="235"/>
      <c r="J1090" s="235"/>
      <c r="K1090" s="66"/>
    </row>
    <row r="1091" ht="12.75" customHeight="1">
      <c r="A1091" s="238"/>
      <c r="B1091" s="235"/>
      <c r="C1091" s="235"/>
      <c r="D1091" s="236"/>
      <c r="E1091" s="235"/>
      <c r="F1091" s="235"/>
      <c r="G1091" s="237"/>
      <c r="H1091" s="235"/>
      <c r="I1091" s="235"/>
      <c r="J1091" s="235"/>
      <c r="K1091" s="66"/>
    </row>
    <row r="1092" ht="12.75" customHeight="1">
      <c r="A1092" s="238"/>
      <c r="B1092" s="235"/>
      <c r="C1092" s="235"/>
      <c r="D1092" s="236"/>
      <c r="E1092" s="235"/>
      <c r="F1092" s="235"/>
      <c r="G1092" s="237"/>
      <c r="H1092" s="235"/>
      <c r="I1092" s="235"/>
      <c r="J1092" s="235"/>
      <c r="K1092" s="66"/>
    </row>
    <row r="1093" ht="12.75" customHeight="1">
      <c r="A1093" s="238"/>
      <c r="B1093" s="235"/>
      <c r="C1093" s="235"/>
      <c r="D1093" s="236"/>
      <c r="E1093" s="235"/>
      <c r="F1093" s="235"/>
      <c r="G1093" s="237"/>
      <c r="H1093" s="235"/>
      <c r="I1093" s="235"/>
      <c r="J1093" s="235"/>
      <c r="K1093" s="66"/>
    </row>
    <row r="1094" ht="12.75" customHeight="1">
      <c r="A1094" s="238"/>
      <c r="B1094" s="235"/>
      <c r="C1094" s="235"/>
      <c r="D1094" s="236"/>
      <c r="E1094" s="235"/>
      <c r="F1094" s="235"/>
      <c r="G1094" s="237"/>
      <c r="H1094" s="235"/>
      <c r="I1094" s="235"/>
      <c r="J1094" s="235"/>
      <c r="K1094" s="66"/>
    </row>
    <row r="1095" ht="12.75" customHeight="1">
      <c r="A1095" s="238"/>
      <c r="B1095" s="235"/>
      <c r="C1095" s="235"/>
      <c r="D1095" s="236"/>
      <c r="E1095" s="235"/>
      <c r="F1095" s="235"/>
      <c r="G1095" s="237"/>
      <c r="H1095" s="235"/>
      <c r="I1095" s="235"/>
      <c r="J1095" s="235"/>
      <c r="K1095" s="66"/>
    </row>
    <row r="1096" ht="12.75" customHeight="1">
      <c r="A1096" s="238"/>
      <c r="B1096" s="235"/>
      <c r="C1096" s="235"/>
      <c r="D1096" s="236"/>
      <c r="E1096" s="235"/>
      <c r="F1096" s="235"/>
      <c r="G1096" s="237"/>
      <c r="H1096" s="235"/>
      <c r="I1096" s="235"/>
      <c r="J1096" s="235"/>
      <c r="K1096" s="66"/>
    </row>
    <row r="1097" ht="12.75" customHeight="1">
      <c r="A1097" s="238"/>
      <c r="B1097" s="235"/>
      <c r="C1097" s="235"/>
      <c r="D1097" s="236"/>
      <c r="E1097" s="235"/>
      <c r="F1097" s="235"/>
      <c r="G1097" s="237"/>
      <c r="H1097" s="235"/>
      <c r="I1097" s="235"/>
      <c r="J1097" s="235"/>
      <c r="K1097" s="66"/>
    </row>
    <row r="1098" ht="12.75" customHeight="1">
      <c r="A1098" s="238"/>
      <c r="B1098" s="235"/>
      <c r="C1098" s="235"/>
      <c r="D1098" s="236"/>
      <c r="E1098" s="235"/>
      <c r="F1098" s="235"/>
      <c r="G1098" s="237"/>
      <c r="H1098" s="235"/>
      <c r="I1098" s="235"/>
      <c r="J1098" s="235"/>
      <c r="K1098" s="66"/>
    </row>
    <row r="1099" ht="12.75" customHeight="1">
      <c r="A1099" s="238"/>
      <c r="B1099" s="235"/>
      <c r="C1099" s="235"/>
      <c r="D1099" s="236"/>
      <c r="E1099" s="235"/>
      <c r="F1099" s="235"/>
      <c r="G1099" s="237"/>
      <c r="H1099" s="235"/>
      <c r="I1099" s="235"/>
      <c r="J1099" s="235"/>
      <c r="K1099" s="66"/>
    </row>
    <row r="1100" ht="12.75" customHeight="1">
      <c r="A1100" s="238"/>
      <c r="B1100" s="235"/>
      <c r="C1100" s="235"/>
      <c r="D1100" s="236"/>
      <c r="E1100" s="235"/>
      <c r="F1100" s="235"/>
      <c r="G1100" s="237"/>
      <c r="H1100" s="235"/>
      <c r="I1100" s="235"/>
      <c r="J1100" s="235"/>
      <c r="K1100" s="66"/>
    </row>
    <row r="1101" ht="12.75" customHeight="1">
      <c r="A1101" s="238"/>
      <c r="B1101" s="235"/>
      <c r="C1101" s="235"/>
      <c r="D1101" s="236"/>
      <c r="E1101" s="235"/>
      <c r="F1101" s="235"/>
      <c r="G1101" s="237"/>
      <c r="H1101" s="235"/>
      <c r="I1101" s="235"/>
      <c r="J1101" s="235"/>
      <c r="K1101" s="66"/>
    </row>
    <row r="1102" ht="12.75" customHeight="1">
      <c r="A1102" s="238"/>
      <c r="B1102" s="235"/>
      <c r="C1102" s="235"/>
      <c r="D1102" s="236"/>
      <c r="E1102" s="235"/>
      <c r="F1102" s="235"/>
      <c r="G1102" s="237"/>
      <c r="H1102" s="235"/>
      <c r="I1102" s="235"/>
      <c r="J1102" s="235"/>
      <c r="K1102" s="66"/>
    </row>
    <row r="1103" ht="12.75" customHeight="1">
      <c r="A1103" s="238"/>
      <c r="B1103" s="235"/>
      <c r="C1103" s="235"/>
      <c r="D1103" s="236"/>
      <c r="E1103" s="235"/>
      <c r="F1103" s="235"/>
      <c r="G1103" s="237"/>
      <c r="H1103" s="235"/>
      <c r="I1103" s="235"/>
      <c r="J1103" s="235"/>
      <c r="K1103" s="66"/>
    </row>
    <row r="1104" ht="12.75" customHeight="1">
      <c r="A1104" s="238"/>
      <c r="B1104" s="235"/>
      <c r="C1104" s="235"/>
      <c r="D1104" s="236"/>
      <c r="E1104" s="235"/>
      <c r="F1104" s="235"/>
      <c r="G1104" s="237"/>
      <c r="H1104" s="235"/>
      <c r="I1104" s="235"/>
      <c r="J1104" s="235"/>
      <c r="K1104" s="66"/>
    </row>
    <row r="1105" ht="12.75" customHeight="1">
      <c r="A1105" s="238"/>
      <c r="B1105" s="235"/>
      <c r="C1105" s="235"/>
      <c r="D1105" s="236"/>
      <c r="E1105" s="235"/>
      <c r="F1105" s="235"/>
      <c r="G1105" s="237"/>
      <c r="H1105" s="235"/>
      <c r="I1105" s="235"/>
      <c r="J1105" s="235"/>
      <c r="K1105" s="66"/>
    </row>
    <row r="1106" ht="12.75" customHeight="1">
      <c r="A1106" s="238"/>
      <c r="B1106" s="235"/>
      <c r="C1106" s="235"/>
      <c r="D1106" s="236"/>
      <c r="E1106" s="235"/>
      <c r="F1106" s="235"/>
      <c r="G1106" s="237"/>
      <c r="H1106" s="235"/>
      <c r="I1106" s="235"/>
      <c r="J1106" s="235"/>
      <c r="K1106" s="66"/>
    </row>
    <row r="1107" ht="12.75" customHeight="1">
      <c r="A1107" s="238"/>
      <c r="B1107" s="235"/>
      <c r="C1107" s="235"/>
      <c r="D1107" s="236"/>
      <c r="E1107" s="235"/>
      <c r="F1107" s="235"/>
      <c r="G1107" s="237"/>
      <c r="H1107" s="235"/>
      <c r="I1107" s="235"/>
      <c r="J1107" s="235"/>
      <c r="K1107" s="66"/>
    </row>
    <row r="1108" ht="12.75" customHeight="1">
      <c r="A1108" s="238"/>
      <c r="B1108" s="235"/>
      <c r="C1108" s="235"/>
      <c r="D1108" s="236"/>
      <c r="E1108" s="235"/>
      <c r="F1108" s="235"/>
      <c r="G1108" s="237"/>
      <c r="H1108" s="235"/>
      <c r="I1108" s="235"/>
      <c r="J1108" s="235"/>
      <c r="K1108" s="66"/>
    </row>
    <row r="1109" ht="12.75" customHeight="1">
      <c r="A1109" s="238"/>
      <c r="B1109" s="235"/>
      <c r="C1109" s="235"/>
      <c r="D1109" s="236"/>
      <c r="E1109" s="235"/>
      <c r="F1109" s="235"/>
      <c r="G1109" s="237"/>
      <c r="H1109" s="235"/>
      <c r="I1109" s="235"/>
      <c r="J1109" s="235"/>
      <c r="K1109" s="66"/>
    </row>
    <row r="1110" ht="12.75" customHeight="1">
      <c r="A1110" s="238"/>
      <c r="B1110" s="235"/>
      <c r="C1110" s="235"/>
      <c r="D1110" s="236"/>
      <c r="E1110" s="235"/>
      <c r="F1110" s="235"/>
      <c r="G1110" s="237"/>
      <c r="H1110" s="235"/>
      <c r="I1110" s="235"/>
      <c r="J1110" s="235"/>
      <c r="K1110" s="66"/>
    </row>
    <row r="1111" ht="12.75" customHeight="1">
      <c r="A1111" s="238"/>
      <c r="B1111" s="235"/>
      <c r="C1111" s="235"/>
      <c r="D1111" s="236"/>
      <c r="E1111" s="235"/>
      <c r="F1111" s="235"/>
      <c r="G1111" s="237"/>
      <c r="H1111" s="235"/>
      <c r="I1111" s="235"/>
      <c r="J1111" s="235"/>
      <c r="K1111" s="66"/>
    </row>
    <row r="1112" ht="12.75" customHeight="1">
      <c r="A1112" s="238"/>
      <c r="B1112" s="235"/>
      <c r="C1112" s="235"/>
      <c r="D1112" s="236"/>
      <c r="E1112" s="235"/>
      <c r="F1112" s="235"/>
      <c r="G1112" s="237"/>
      <c r="H1112" s="235"/>
      <c r="I1112" s="235"/>
      <c r="J1112" s="235"/>
      <c r="K1112" s="66"/>
    </row>
    <row r="1113" ht="12.75" customHeight="1">
      <c r="A1113" s="238"/>
      <c r="B1113" s="235"/>
      <c r="C1113" s="235"/>
      <c r="D1113" s="236"/>
      <c r="E1113" s="235"/>
      <c r="F1113" s="235"/>
      <c r="G1113" s="237"/>
      <c r="H1113" s="235"/>
      <c r="I1113" s="235"/>
      <c r="J1113" s="235"/>
      <c r="K1113" s="66"/>
    </row>
    <row r="1114" ht="12.75" customHeight="1">
      <c r="A1114" s="238"/>
      <c r="B1114" s="235"/>
      <c r="C1114" s="235"/>
      <c r="D1114" s="236"/>
      <c r="E1114" s="235"/>
      <c r="F1114" s="235"/>
      <c r="G1114" s="237"/>
      <c r="H1114" s="235"/>
      <c r="I1114" s="235"/>
      <c r="J1114" s="235"/>
      <c r="K1114" s="66"/>
    </row>
    <row r="1115" ht="12.75" customHeight="1">
      <c r="A1115" s="238"/>
      <c r="B1115" s="235"/>
      <c r="C1115" s="235"/>
      <c r="D1115" s="236"/>
      <c r="E1115" s="235"/>
      <c r="F1115" s="235"/>
      <c r="G1115" s="237"/>
      <c r="H1115" s="235"/>
      <c r="I1115" s="235"/>
      <c r="J1115" s="235"/>
      <c r="K1115" s="66"/>
    </row>
    <row r="1116" ht="12.75" customHeight="1">
      <c r="A1116" s="238"/>
      <c r="B1116" s="235"/>
      <c r="C1116" s="235"/>
      <c r="D1116" s="236"/>
      <c r="E1116" s="235"/>
      <c r="F1116" s="235"/>
      <c r="G1116" s="237"/>
      <c r="H1116" s="235"/>
      <c r="I1116" s="235"/>
      <c r="J1116" s="235"/>
      <c r="K1116" s="66"/>
    </row>
    <row r="1117" ht="12.75" customHeight="1">
      <c r="A1117" s="238"/>
      <c r="B1117" s="235"/>
      <c r="C1117" s="235"/>
      <c r="D1117" s="236"/>
      <c r="E1117" s="235"/>
      <c r="F1117" s="235"/>
      <c r="G1117" s="237"/>
      <c r="H1117" s="235"/>
      <c r="I1117" s="235"/>
      <c r="J1117" s="235"/>
      <c r="K1117" s="66"/>
    </row>
    <row r="1118" ht="12.75" customHeight="1">
      <c r="A1118" s="238"/>
      <c r="B1118" s="235"/>
      <c r="C1118" s="235"/>
      <c r="D1118" s="236"/>
      <c r="E1118" s="235"/>
      <c r="F1118" s="235"/>
      <c r="G1118" s="237"/>
      <c r="H1118" s="235"/>
      <c r="I1118" s="235"/>
      <c r="J1118" s="235"/>
      <c r="K1118" s="66"/>
    </row>
    <row r="1119" ht="12.75" customHeight="1">
      <c r="A1119" s="238"/>
      <c r="B1119" s="235"/>
      <c r="C1119" s="235"/>
      <c r="D1119" s="236"/>
      <c r="E1119" s="235"/>
      <c r="F1119" s="235"/>
      <c r="G1119" s="237"/>
      <c r="H1119" s="235"/>
      <c r="I1119" s="235"/>
      <c r="J1119" s="235"/>
      <c r="K1119" s="66"/>
    </row>
    <row r="1120" ht="12.75" customHeight="1">
      <c r="A1120" s="238"/>
      <c r="B1120" s="235"/>
      <c r="C1120" s="235"/>
      <c r="D1120" s="236"/>
      <c r="E1120" s="235"/>
      <c r="F1120" s="235"/>
      <c r="G1120" s="237"/>
      <c r="H1120" s="235"/>
      <c r="I1120" s="235"/>
      <c r="J1120" s="235"/>
      <c r="K1120" s="66"/>
    </row>
    <row r="1121" ht="12.75" customHeight="1">
      <c r="A1121" s="238"/>
      <c r="B1121" s="235"/>
      <c r="C1121" s="235"/>
      <c r="D1121" s="236"/>
      <c r="E1121" s="235"/>
      <c r="F1121" s="235"/>
      <c r="G1121" s="237"/>
      <c r="H1121" s="235"/>
      <c r="I1121" s="235"/>
      <c r="J1121" s="235"/>
      <c r="K1121" s="66"/>
    </row>
    <row r="1122" ht="12.75" customHeight="1">
      <c r="A1122" s="238"/>
      <c r="B1122" s="235"/>
      <c r="C1122" s="235"/>
      <c r="D1122" s="236"/>
      <c r="E1122" s="235"/>
      <c r="F1122" s="235"/>
      <c r="G1122" s="237"/>
      <c r="H1122" s="235"/>
      <c r="I1122" s="235"/>
      <c r="J1122" s="235"/>
      <c r="K1122" s="66"/>
    </row>
    <row r="1123" ht="12.75" customHeight="1">
      <c r="A1123" s="238"/>
      <c r="B1123" s="235"/>
      <c r="C1123" s="235"/>
      <c r="D1123" s="236"/>
      <c r="E1123" s="235"/>
      <c r="F1123" s="235"/>
      <c r="G1123" s="237"/>
      <c r="H1123" s="235"/>
      <c r="I1123" s="235"/>
      <c r="J1123" s="235"/>
      <c r="K1123" s="66"/>
    </row>
    <row r="1124" ht="12.75" customHeight="1">
      <c r="A1124" s="238"/>
      <c r="B1124" s="235"/>
      <c r="C1124" s="235"/>
      <c r="D1124" s="236"/>
      <c r="E1124" s="235"/>
      <c r="F1124" s="235"/>
      <c r="G1124" s="237"/>
      <c r="H1124" s="235"/>
      <c r="I1124" s="235"/>
      <c r="J1124" s="235"/>
      <c r="K1124" s="66"/>
    </row>
    <row r="1125" ht="12.75" customHeight="1">
      <c r="A1125" s="238"/>
      <c r="B1125" s="235"/>
      <c r="C1125" s="235"/>
      <c r="D1125" s="236"/>
      <c r="E1125" s="235"/>
      <c r="F1125" s="235"/>
      <c r="G1125" s="237"/>
      <c r="H1125" s="235"/>
      <c r="I1125" s="235"/>
      <c r="J1125" s="235"/>
      <c r="K1125" s="66"/>
    </row>
    <row r="1126" ht="12.75" customHeight="1">
      <c r="A1126" s="238"/>
      <c r="B1126" s="235"/>
      <c r="C1126" s="235"/>
      <c r="D1126" s="236"/>
      <c r="E1126" s="235"/>
      <c r="F1126" s="235"/>
      <c r="G1126" s="237"/>
      <c r="H1126" s="235"/>
      <c r="I1126" s="235"/>
      <c r="J1126" s="235"/>
      <c r="K1126" s="66"/>
    </row>
    <row r="1127" ht="12.75" customHeight="1">
      <c r="A1127" s="238"/>
      <c r="B1127" s="235"/>
      <c r="C1127" s="235"/>
      <c r="D1127" s="236"/>
      <c r="E1127" s="235"/>
      <c r="F1127" s="235"/>
      <c r="G1127" s="237"/>
      <c r="H1127" s="235"/>
      <c r="I1127" s="235"/>
      <c r="J1127" s="235"/>
      <c r="K1127" s="66"/>
    </row>
    <row r="1128" ht="12.75" customHeight="1">
      <c r="A1128" s="238"/>
      <c r="B1128" s="235"/>
      <c r="C1128" s="235"/>
      <c r="D1128" s="236"/>
      <c r="E1128" s="235"/>
      <c r="F1128" s="235"/>
      <c r="G1128" s="237"/>
      <c r="H1128" s="235"/>
      <c r="I1128" s="235"/>
      <c r="J1128" s="235"/>
      <c r="K1128" s="66"/>
    </row>
    <row r="1129" ht="12.75" customHeight="1">
      <c r="A1129" s="238"/>
      <c r="B1129" s="235"/>
      <c r="C1129" s="235"/>
      <c r="D1129" s="236"/>
      <c r="E1129" s="235"/>
      <c r="F1129" s="235"/>
      <c r="G1129" s="237"/>
      <c r="H1129" s="235"/>
      <c r="I1129" s="235"/>
      <c r="J1129" s="235"/>
      <c r="K1129" s="66"/>
    </row>
    <row r="1130" ht="12.75" customHeight="1">
      <c r="A1130" s="238"/>
      <c r="B1130" s="235"/>
      <c r="C1130" s="235"/>
      <c r="D1130" s="236"/>
      <c r="E1130" s="235"/>
      <c r="F1130" s="235"/>
      <c r="G1130" s="237"/>
      <c r="H1130" s="235"/>
      <c r="I1130" s="235"/>
      <c r="J1130" s="235"/>
      <c r="K1130" s="66"/>
    </row>
    <row r="1131" ht="12.75" customHeight="1">
      <c r="A1131" s="238"/>
      <c r="B1131" s="235"/>
      <c r="C1131" s="235"/>
      <c r="D1131" s="236"/>
      <c r="E1131" s="235"/>
      <c r="F1131" s="235"/>
      <c r="G1131" s="237"/>
      <c r="H1131" s="235"/>
      <c r="I1131" s="235"/>
      <c r="J1131" s="235"/>
      <c r="K1131" s="66"/>
    </row>
    <row r="1132" ht="12.75" customHeight="1">
      <c r="A1132" s="238"/>
      <c r="B1132" s="235"/>
      <c r="C1132" s="235"/>
      <c r="D1132" s="236"/>
      <c r="E1132" s="235"/>
      <c r="F1132" s="235"/>
      <c r="G1132" s="237"/>
      <c r="H1132" s="235"/>
      <c r="I1132" s="235"/>
      <c r="J1132" s="235"/>
      <c r="K1132" s="66"/>
    </row>
    <row r="1133" ht="12.75" customHeight="1">
      <c r="A1133" s="238"/>
      <c r="B1133" s="235"/>
      <c r="C1133" s="235"/>
      <c r="D1133" s="236"/>
      <c r="E1133" s="235"/>
      <c r="F1133" s="235"/>
      <c r="G1133" s="237"/>
      <c r="H1133" s="235"/>
      <c r="I1133" s="235"/>
      <c r="J1133" s="235"/>
      <c r="K1133" s="66"/>
    </row>
    <row r="1134" ht="12.75" customHeight="1">
      <c r="A1134" s="238"/>
      <c r="B1134" s="235"/>
      <c r="C1134" s="235"/>
      <c r="D1134" s="236"/>
      <c r="E1134" s="235"/>
      <c r="F1134" s="235"/>
      <c r="G1134" s="237"/>
      <c r="H1134" s="235"/>
      <c r="I1134" s="235"/>
      <c r="J1134" s="235"/>
      <c r="K1134" s="66"/>
    </row>
    <row r="1135" ht="12.75" customHeight="1">
      <c r="A1135" s="238"/>
      <c r="B1135" s="235"/>
      <c r="C1135" s="235"/>
      <c r="D1135" s="236"/>
      <c r="E1135" s="235"/>
      <c r="F1135" s="235"/>
      <c r="G1135" s="237"/>
      <c r="H1135" s="235"/>
      <c r="I1135" s="235"/>
      <c r="J1135" s="235"/>
      <c r="K1135" s="66"/>
    </row>
    <row r="1136" ht="12.75" customHeight="1">
      <c r="A1136" s="238"/>
      <c r="B1136" s="235"/>
      <c r="C1136" s="235"/>
      <c r="D1136" s="236"/>
      <c r="E1136" s="235"/>
      <c r="F1136" s="235"/>
      <c r="G1136" s="237"/>
      <c r="H1136" s="235"/>
      <c r="I1136" s="235"/>
      <c r="J1136" s="235"/>
      <c r="K1136" s="66"/>
    </row>
    <row r="1137" ht="12.75" customHeight="1">
      <c r="A1137" s="238"/>
      <c r="B1137" s="235"/>
      <c r="C1137" s="235"/>
      <c r="D1137" s="236"/>
      <c r="E1137" s="235"/>
      <c r="F1137" s="235"/>
      <c r="G1137" s="237"/>
      <c r="H1137" s="235"/>
      <c r="I1137" s="235"/>
      <c r="J1137" s="235"/>
      <c r="K1137" s="66"/>
    </row>
    <row r="1138" ht="12.75" customHeight="1">
      <c r="A1138" s="238"/>
      <c r="B1138" s="235"/>
      <c r="C1138" s="235"/>
      <c r="D1138" s="236"/>
      <c r="E1138" s="235"/>
      <c r="F1138" s="235"/>
      <c r="G1138" s="237"/>
      <c r="H1138" s="235"/>
      <c r="I1138" s="235"/>
      <c r="J1138" s="235"/>
      <c r="K1138" s="66"/>
    </row>
    <row r="1139" ht="12.75" customHeight="1">
      <c r="A1139" s="238"/>
      <c r="B1139" s="235"/>
      <c r="C1139" s="235"/>
      <c r="D1139" s="236"/>
      <c r="E1139" s="235"/>
      <c r="F1139" s="235"/>
      <c r="G1139" s="237"/>
      <c r="H1139" s="235"/>
      <c r="I1139" s="235"/>
      <c r="J1139" s="235"/>
      <c r="K1139" s="66"/>
    </row>
    <row r="1140" ht="12.75" customHeight="1">
      <c r="A1140" s="238"/>
      <c r="B1140" s="235"/>
      <c r="C1140" s="235"/>
      <c r="D1140" s="236"/>
      <c r="E1140" s="235"/>
      <c r="F1140" s="235"/>
      <c r="G1140" s="237"/>
      <c r="H1140" s="235"/>
      <c r="I1140" s="235"/>
      <c r="J1140" s="235"/>
      <c r="K1140" s="66"/>
    </row>
    <row r="1141" ht="12.75" customHeight="1">
      <c r="A1141" s="238"/>
      <c r="B1141" s="235"/>
      <c r="C1141" s="235"/>
      <c r="D1141" s="236"/>
      <c r="E1141" s="235"/>
      <c r="F1141" s="235"/>
      <c r="G1141" s="237"/>
      <c r="H1141" s="235"/>
      <c r="I1141" s="235"/>
      <c r="J1141" s="235"/>
      <c r="K1141" s="66"/>
    </row>
    <row r="1142" ht="12.75" customHeight="1">
      <c r="A1142" s="238"/>
      <c r="B1142" s="235"/>
      <c r="C1142" s="235"/>
      <c r="D1142" s="236"/>
      <c r="E1142" s="235"/>
      <c r="F1142" s="235"/>
      <c r="G1142" s="237"/>
      <c r="H1142" s="235"/>
      <c r="I1142" s="235"/>
      <c r="J1142" s="235"/>
      <c r="K1142" s="66"/>
    </row>
    <row r="1143" ht="12.75" customHeight="1">
      <c r="A1143" s="238"/>
      <c r="B1143" s="235"/>
      <c r="C1143" s="235"/>
      <c r="D1143" s="236"/>
      <c r="E1143" s="235"/>
      <c r="F1143" s="235"/>
      <c r="G1143" s="237"/>
      <c r="H1143" s="235"/>
      <c r="I1143" s="235"/>
      <c r="J1143" s="235"/>
      <c r="K1143" s="66"/>
    </row>
    <row r="1144" ht="12.75" customHeight="1">
      <c r="A1144" s="238"/>
      <c r="B1144" s="235"/>
      <c r="C1144" s="235"/>
      <c r="D1144" s="236"/>
      <c r="E1144" s="235"/>
      <c r="F1144" s="235"/>
      <c r="G1144" s="237"/>
      <c r="H1144" s="235"/>
      <c r="I1144" s="235"/>
      <c r="J1144" s="235"/>
      <c r="K1144" s="66"/>
    </row>
    <row r="1145" ht="12.75" customHeight="1">
      <c r="A1145" s="238"/>
      <c r="B1145" s="235"/>
      <c r="C1145" s="235"/>
      <c r="D1145" s="236"/>
      <c r="E1145" s="235"/>
      <c r="F1145" s="235"/>
      <c r="G1145" s="237"/>
      <c r="H1145" s="235"/>
      <c r="I1145" s="235"/>
      <c r="J1145" s="235"/>
      <c r="K1145" s="66"/>
    </row>
    <row r="1146" ht="12.75" customHeight="1">
      <c r="A1146" s="238"/>
      <c r="B1146" s="235"/>
      <c r="C1146" s="235"/>
      <c r="D1146" s="236"/>
      <c r="E1146" s="235"/>
      <c r="F1146" s="235"/>
      <c r="G1146" s="237"/>
      <c r="H1146" s="235"/>
      <c r="I1146" s="235"/>
      <c r="J1146" s="235"/>
      <c r="K1146" s="66"/>
    </row>
    <row r="1147" ht="12.75" customHeight="1">
      <c r="A1147" s="238"/>
      <c r="B1147" s="235"/>
      <c r="C1147" s="235"/>
      <c r="D1147" s="236"/>
      <c r="E1147" s="235"/>
      <c r="F1147" s="235"/>
      <c r="G1147" s="237"/>
      <c r="H1147" s="235"/>
      <c r="I1147" s="235"/>
      <c r="J1147" s="235"/>
      <c r="K1147" s="66"/>
    </row>
    <row r="1148" ht="12.75" customHeight="1">
      <c r="A1148" s="238"/>
      <c r="B1148" s="235"/>
      <c r="C1148" s="235"/>
      <c r="D1148" s="236"/>
      <c r="E1148" s="235"/>
      <c r="F1148" s="235"/>
      <c r="G1148" s="237"/>
      <c r="H1148" s="235"/>
      <c r="I1148" s="235"/>
      <c r="J1148" s="235"/>
      <c r="K1148" s="66"/>
    </row>
    <row r="1149" ht="12.75" customHeight="1">
      <c r="A1149" s="238"/>
      <c r="B1149" s="235"/>
      <c r="C1149" s="235"/>
      <c r="D1149" s="236"/>
      <c r="E1149" s="235"/>
      <c r="F1149" s="235"/>
      <c r="G1149" s="237"/>
      <c r="H1149" s="235"/>
      <c r="I1149" s="235"/>
      <c r="J1149" s="235"/>
      <c r="K1149" s="66"/>
    </row>
    <row r="1150" ht="12.75" customHeight="1">
      <c r="A1150" s="238"/>
      <c r="B1150" s="235"/>
      <c r="C1150" s="235"/>
      <c r="D1150" s="236"/>
      <c r="E1150" s="235"/>
      <c r="F1150" s="235"/>
      <c r="G1150" s="237"/>
      <c r="H1150" s="235"/>
      <c r="I1150" s="235"/>
      <c r="J1150" s="235"/>
      <c r="K1150" s="66"/>
    </row>
    <row r="1151" ht="12.75" customHeight="1">
      <c r="A1151" s="238"/>
      <c r="B1151" s="235"/>
      <c r="C1151" s="235"/>
      <c r="D1151" s="236"/>
      <c r="E1151" s="235"/>
      <c r="F1151" s="235"/>
      <c r="G1151" s="237"/>
      <c r="H1151" s="235"/>
      <c r="I1151" s="235"/>
      <c r="J1151" s="235"/>
      <c r="K1151" s="66"/>
    </row>
    <row r="1152" ht="12.75" customHeight="1">
      <c r="A1152" s="238"/>
      <c r="B1152" s="235"/>
      <c r="C1152" s="235"/>
      <c r="D1152" s="236"/>
      <c r="E1152" s="235"/>
      <c r="F1152" s="235"/>
      <c r="G1152" s="237"/>
      <c r="H1152" s="235"/>
      <c r="I1152" s="235"/>
      <c r="J1152" s="235"/>
      <c r="K1152" s="66"/>
    </row>
    <row r="1153" ht="12.75" customHeight="1">
      <c r="A1153" s="238"/>
      <c r="B1153" s="235"/>
      <c r="C1153" s="235"/>
      <c r="D1153" s="236"/>
      <c r="E1153" s="235"/>
      <c r="F1153" s="235"/>
      <c r="G1153" s="237"/>
      <c r="H1153" s="235"/>
      <c r="I1153" s="235"/>
      <c r="J1153" s="235"/>
      <c r="K1153" s="66"/>
    </row>
    <row r="1154" ht="12.75" customHeight="1">
      <c r="A1154" s="238"/>
      <c r="B1154" s="235"/>
      <c r="C1154" s="235"/>
      <c r="D1154" s="236"/>
      <c r="E1154" s="235"/>
      <c r="F1154" s="235"/>
      <c r="G1154" s="237"/>
      <c r="H1154" s="235"/>
      <c r="I1154" s="235"/>
      <c r="J1154" s="235"/>
      <c r="K1154" s="66"/>
    </row>
    <row r="1155" ht="12.75" customHeight="1">
      <c r="A1155" s="238"/>
      <c r="B1155" s="235"/>
      <c r="C1155" s="235"/>
      <c r="D1155" s="236"/>
      <c r="E1155" s="235"/>
      <c r="F1155" s="235"/>
      <c r="G1155" s="237"/>
      <c r="H1155" s="235"/>
      <c r="I1155" s="235"/>
      <c r="J1155" s="235"/>
      <c r="K1155" s="66"/>
    </row>
    <row r="1156" ht="12.75" customHeight="1">
      <c r="A1156" s="238"/>
      <c r="B1156" s="235"/>
      <c r="C1156" s="235"/>
      <c r="D1156" s="236"/>
      <c r="E1156" s="235"/>
      <c r="F1156" s="235"/>
      <c r="G1156" s="237"/>
      <c r="H1156" s="235"/>
      <c r="I1156" s="235"/>
      <c r="J1156" s="235"/>
      <c r="K1156" s="66"/>
    </row>
    <row r="1157" ht="12.75" customHeight="1">
      <c r="A1157" s="238"/>
      <c r="B1157" s="235"/>
      <c r="C1157" s="235"/>
      <c r="D1157" s="236"/>
      <c r="E1157" s="235"/>
      <c r="F1157" s="235"/>
      <c r="G1157" s="237"/>
      <c r="H1157" s="235"/>
      <c r="I1157" s="235"/>
      <c r="J1157" s="235"/>
      <c r="K1157" s="66"/>
    </row>
    <row r="1158" ht="12.75" customHeight="1">
      <c r="A1158" s="238"/>
      <c r="B1158" s="235"/>
      <c r="C1158" s="235"/>
      <c r="D1158" s="236"/>
      <c r="E1158" s="235"/>
      <c r="F1158" s="235"/>
      <c r="G1158" s="237"/>
      <c r="H1158" s="235"/>
      <c r="I1158" s="235"/>
      <c r="J1158" s="235"/>
      <c r="K1158" s="66"/>
    </row>
    <row r="1159" ht="12.75" customHeight="1">
      <c r="A1159" s="238"/>
      <c r="B1159" s="235"/>
      <c r="C1159" s="235"/>
      <c r="D1159" s="236"/>
      <c r="E1159" s="235"/>
      <c r="F1159" s="235"/>
      <c r="G1159" s="237"/>
      <c r="H1159" s="235"/>
      <c r="I1159" s="235"/>
      <c r="J1159" s="235"/>
      <c r="K1159" s="66"/>
    </row>
    <row r="1160" ht="12.75" customHeight="1">
      <c r="A1160" s="238"/>
      <c r="B1160" s="235"/>
      <c r="C1160" s="235"/>
      <c r="D1160" s="236"/>
      <c r="E1160" s="235"/>
      <c r="F1160" s="235"/>
      <c r="G1160" s="237"/>
      <c r="H1160" s="235"/>
      <c r="I1160" s="235"/>
      <c r="J1160" s="235"/>
      <c r="K1160" s="66"/>
    </row>
    <row r="1161" ht="12.75" customHeight="1">
      <c r="A1161" s="238"/>
      <c r="B1161" s="235"/>
      <c r="C1161" s="235"/>
      <c r="D1161" s="236"/>
      <c r="E1161" s="235"/>
      <c r="F1161" s="235"/>
      <c r="G1161" s="237"/>
      <c r="H1161" s="235"/>
      <c r="I1161" s="235"/>
      <c r="J1161" s="235"/>
      <c r="K1161" s="66"/>
    </row>
    <row r="1162" ht="12.75" customHeight="1">
      <c r="A1162" s="238"/>
      <c r="B1162" s="235"/>
      <c r="C1162" s="235"/>
      <c r="D1162" s="236"/>
      <c r="E1162" s="235"/>
      <c r="F1162" s="235"/>
      <c r="G1162" s="237"/>
      <c r="H1162" s="235"/>
      <c r="I1162" s="235"/>
      <c r="J1162" s="235"/>
      <c r="K1162" s="66"/>
    </row>
    <row r="1163" ht="12.75" customHeight="1">
      <c r="A1163" s="238"/>
      <c r="B1163" s="235"/>
      <c r="C1163" s="235"/>
      <c r="D1163" s="236"/>
      <c r="E1163" s="235"/>
      <c r="F1163" s="235"/>
      <c r="G1163" s="237"/>
      <c r="H1163" s="235"/>
      <c r="I1163" s="235"/>
      <c r="J1163" s="235"/>
      <c r="K1163" s="66"/>
    </row>
    <row r="1164" ht="12.75" customHeight="1">
      <c r="A1164" s="238"/>
      <c r="B1164" s="235"/>
      <c r="C1164" s="235"/>
      <c r="D1164" s="236"/>
      <c r="E1164" s="235"/>
      <c r="F1164" s="235"/>
      <c r="G1164" s="237"/>
      <c r="H1164" s="235"/>
      <c r="I1164" s="235"/>
      <c r="J1164" s="235"/>
      <c r="K1164" s="66"/>
    </row>
    <row r="1165" ht="12.75" customHeight="1">
      <c r="A1165" s="238"/>
      <c r="B1165" s="235"/>
      <c r="C1165" s="235"/>
      <c r="D1165" s="236"/>
      <c r="E1165" s="235"/>
      <c r="F1165" s="235"/>
      <c r="G1165" s="237"/>
      <c r="H1165" s="235"/>
      <c r="I1165" s="235"/>
      <c r="J1165" s="235"/>
      <c r="K1165" s="66"/>
    </row>
    <row r="1166" ht="12.75" customHeight="1">
      <c r="A1166" s="238"/>
      <c r="B1166" s="235"/>
      <c r="C1166" s="235"/>
      <c r="D1166" s="236"/>
      <c r="E1166" s="235"/>
      <c r="F1166" s="235"/>
      <c r="G1166" s="237"/>
      <c r="H1166" s="235"/>
      <c r="I1166" s="235"/>
      <c r="J1166" s="235"/>
      <c r="K1166" s="66"/>
    </row>
    <row r="1167" ht="12.75" customHeight="1">
      <c r="A1167" s="238"/>
      <c r="B1167" s="235"/>
      <c r="C1167" s="235"/>
      <c r="D1167" s="236"/>
      <c r="E1167" s="235"/>
      <c r="F1167" s="235"/>
      <c r="G1167" s="237"/>
      <c r="H1167" s="235"/>
      <c r="I1167" s="235"/>
      <c r="J1167" s="235"/>
      <c r="K1167" s="66"/>
    </row>
    <row r="1168" ht="12.75" customHeight="1">
      <c r="A1168" s="238"/>
      <c r="B1168" s="235"/>
      <c r="C1168" s="235"/>
      <c r="D1168" s="236"/>
      <c r="E1168" s="235"/>
      <c r="F1168" s="235"/>
      <c r="G1168" s="237"/>
      <c r="H1168" s="235"/>
      <c r="I1168" s="235"/>
      <c r="J1168" s="235"/>
      <c r="K1168" s="66"/>
    </row>
    <row r="1169" ht="12.75" customHeight="1">
      <c r="A1169" s="238"/>
      <c r="B1169" s="235"/>
      <c r="C1169" s="235"/>
      <c r="D1169" s="236"/>
      <c r="E1169" s="235"/>
      <c r="F1169" s="235"/>
      <c r="G1169" s="237"/>
      <c r="H1169" s="235"/>
      <c r="I1169" s="235"/>
      <c r="J1169" s="235"/>
      <c r="K1169" s="66"/>
    </row>
    <row r="1170" ht="12.75" customHeight="1">
      <c r="A1170" s="238"/>
      <c r="B1170" s="235"/>
      <c r="C1170" s="235"/>
      <c r="D1170" s="236"/>
      <c r="E1170" s="235"/>
      <c r="F1170" s="235"/>
      <c r="G1170" s="237"/>
      <c r="H1170" s="235"/>
      <c r="I1170" s="235"/>
      <c r="J1170" s="235"/>
      <c r="K1170" s="66"/>
    </row>
    <row r="1171" ht="12.75" customHeight="1">
      <c r="A1171" s="238"/>
      <c r="B1171" s="235"/>
      <c r="C1171" s="235"/>
      <c r="D1171" s="236"/>
      <c r="E1171" s="235"/>
      <c r="F1171" s="235"/>
      <c r="G1171" s="237"/>
      <c r="H1171" s="235"/>
      <c r="I1171" s="235"/>
      <c r="J1171" s="235"/>
      <c r="K1171" s="66"/>
    </row>
    <row r="1172" ht="12.75" customHeight="1">
      <c r="A1172" s="238"/>
      <c r="B1172" s="235"/>
      <c r="C1172" s="235"/>
      <c r="D1172" s="236"/>
      <c r="E1172" s="235"/>
      <c r="F1172" s="235"/>
      <c r="G1172" s="237"/>
      <c r="H1172" s="235"/>
      <c r="I1172" s="235"/>
      <c r="J1172" s="235"/>
      <c r="K1172" s="66"/>
    </row>
    <row r="1173" ht="12.75" customHeight="1">
      <c r="A1173" s="238"/>
      <c r="B1173" s="235"/>
      <c r="C1173" s="235"/>
      <c r="D1173" s="236"/>
      <c r="E1173" s="235"/>
      <c r="F1173" s="235"/>
      <c r="G1173" s="237"/>
      <c r="H1173" s="235"/>
      <c r="I1173" s="235"/>
      <c r="J1173" s="235"/>
      <c r="K1173" s="66"/>
    </row>
    <row r="1174" ht="12.75" customHeight="1">
      <c r="A1174" s="238"/>
      <c r="B1174" s="235"/>
      <c r="C1174" s="235"/>
      <c r="D1174" s="236"/>
      <c r="E1174" s="235"/>
      <c r="F1174" s="235"/>
      <c r="G1174" s="237"/>
      <c r="H1174" s="235"/>
      <c r="I1174" s="235"/>
      <c r="J1174" s="235"/>
      <c r="K1174" s="66"/>
    </row>
    <row r="1175" ht="12.75" customHeight="1">
      <c r="A1175" s="238"/>
      <c r="B1175" s="235"/>
      <c r="C1175" s="235"/>
      <c r="D1175" s="236"/>
      <c r="E1175" s="235"/>
      <c r="F1175" s="235"/>
      <c r="G1175" s="237"/>
      <c r="H1175" s="235"/>
      <c r="I1175" s="235"/>
      <c r="J1175" s="235"/>
      <c r="K1175" s="66"/>
    </row>
    <row r="1176" ht="12.75" customHeight="1">
      <c r="A1176" s="238"/>
      <c r="B1176" s="235"/>
      <c r="C1176" s="235"/>
      <c r="D1176" s="236"/>
      <c r="E1176" s="235"/>
      <c r="F1176" s="235"/>
      <c r="G1176" s="237"/>
      <c r="H1176" s="235"/>
      <c r="I1176" s="235"/>
      <c r="J1176" s="235"/>
      <c r="K1176" s="66"/>
    </row>
    <row r="1177" ht="12.75" customHeight="1">
      <c r="A1177" s="238"/>
      <c r="B1177" s="235"/>
      <c r="C1177" s="235"/>
      <c r="D1177" s="236"/>
      <c r="E1177" s="235"/>
      <c r="F1177" s="235"/>
      <c r="G1177" s="237"/>
      <c r="H1177" s="235"/>
      <c r="I1177" s="235"/>
      <c r="J1177" s="235"/>
      <c r="K1177" s="66"/>
    </row>
    <row r="1178" ht="12.75" customHeight="1">
      <c r="A1178" s="238"/>
      <c r="B1178" s="235"/>
      <c r="C1178" s="235"/>
      <c r="D1178" s="236"/>
      <c r="E1178" s="235"/>
      <c r="F1178" s="235"/>
      <c r="G1178" s="237"/>
      <c r="H1178" s="235"/>
      <c r="I1178" s="235"/>
      <c r="J1178" s="235"/>
      <c r="K1178" s="66"/>
    </row>
    <row r="1179" ht="12.75" customHeight="1">
      <c r="A1179" s="238"/>
      <c r="B1179" s="235"/>
      <c r="C1179" s="235"/>
      <c r="D1179" s="236"/>
      <c r="E1179" s="235"/>
      <c r="F1179" s="235"/>
      <c r="G1179" s="237"/>
      <c r="H1179" s="235"/>
      <c r="I1179" s="235"/>
      <c r="J1179" s="235"/>
      <c r="K1179" s="66"/>
    </row>
    <row r="1180" ht="12.75" customHeight="1">
      <c r="A1180" s="238"/>
      <c r="B1180" s="235"/>
      <c r="C1180" s="235"/>
      <c r="D1180" s="236"/>
      <c r="E1180" s="235"/>
      <c r="F1180" s="235"/>
      <c r="G1180" s="237"/>
      <c r="H1180" s="235"/>
      <c r="I1180" s="235"/>
      <c r="J1180" s="235"/>
      <c r="K1180" s="66"/>
    </row>
    <row r="1181" ht="12.75" customHeight="1">
      <c r="A1181" s="238"/>
      <c r="B1181" s="235"/>
      <c r="C1181" s="235"/>
      <c r="D1181" s="236"/>
      <c r="E1181" s="235"/>
      <c r="F1181" s="235"/>
      <c r="G1181" s="237"/>
      <c r="H1181" s="235"/>
      <c r="I1181" s="235"/>
      <c r="J1181" s="235"/>
      <c r="K1181" s="66"/>
    </row>
    <row r="1182" ht="12.75" customHeight="1">
      <c r="A1182" s="238"/>
      <c r="B1182" s="235"/>
      <c r="C1182" s="235"/>
      <c r="D1182" s="236"/>
      <c r="E1182" s="235"/>
      <c r="F1182" s="235"/>
      <c r="G1182" s="237"/>
      <c r="H1182" s="235"/>
      <c r="I1182" s="235"/>
      <c r="J1182" s="235"/>
      <c r="K1182" s="66"/>
    </row>
    <row r="1183" ht="12.75" customHeight="1">
      <c r="A1183" s="238"/>
      <c r="B1183" s="235"/>
      <c r="C1183" s="235"/>
      <c r="D1183" s="236"/>
      <c r="E1183" s="235"/>
      <c r="F1183" s="235"/>
      <c r="G1183" s="237"/>
      <c r="H1183" s="235"/>
      <c r="I1183" s="235"/>
      <c r="J1183" s="235"/>
      <c r="K1183" s="66"/>
    </row>
    <row r="1184" ht="12.75" customHeight="1">
      <c r="A1184" s="238"/>
      <c r="B1184" s="235"/>
      <c r="C1184" s="235"/>
      <c r="D1184" s="236"/>
      <c r="E1184" s="235"/>
      <c r="F1184" s="235"/>
      <c r="G1184" s="237"/>
      <c r="H1184" s="235"/>
      <c r="I1184" s="235"/>
      <c r="J1184" s="235"/>
      <c r="K1184" s="66"/>
    </row>
    <row r="1185" ht="12.75" customHeight="1">
      <c r="A1185" s="238"/>
      <c r="B1185" s="235"/>
      <c r="C1185" s="235"/>
      <c r="D1185" s="236"/>
      <c r="E1185" s="235"/>
      <c r="F1185" s="235"/>
      <c r="G1185" s="237"/>
      <c r="H1185" s="235"/>
      <c r="I1185" s="235"/>
      <c r="J1185" s="235"/>
      <c r="K1185" s="66"/>
    </row>
    <row r="1186" ht="12.75" customHeight="1">
      <c r="A1186" s="238"/>
      <c r="B1186" s="235"/>
      <c r="C1186" s="235"/>
      <c r="D1186" s="236"/>
      <c r="E1186" s="235"/>
      <c r="F1186" s="235"/>
      <c r="G1186" s="237"/>
      <c r="H1186" s="235"/>
      <c r="I1186" s="235"/>
      <c r="J1186" s="235"/>
      <c r="K1186" s="66"/>
    </row>
    <row r="1187" ht="12.75" customHeight="1">
      <c r="A1187" s="238"/>
      <c r="B1187" s="235"/>
      <c r="C1187" s="235"/>
      <c r="D1187" s="236"/>
      <c r="E1187" s="235"/>
      <c r="F1187" s="235"/>
      <c r="G1187" s="237"/>
      <c r="H1187" s="235"/>
      <c r="I1187" s="235"/>
      <c r="J1187" s="235"/>
      <c r="K1187" s="66"/>
    </row>
    <row r="1188" ht="12.75" customHeight="1">
      <c r="A1188" s="238"/>
      <c r="B1188" s="235"/>
      <c r="C1188" s="235"/>
      <c r="D1188" s="236"/>
      <c r="E1188" s="235"/>
      <c r="F1188" s="235"/>
      <c r="G1188" s="237"/>
      <c r="H1188" s="235"/>
      <c r="I1188" s="235"/>
      <c r="J1188" s="235"/>
      <c r="K1188" s="66"/>
    </row>
    <row r="1189" ht="12.75" customHeight="1">
      <c r="A1189" s="238"/>
      <c r="B1189" s="235"/>
      <c r="C1189" s="235"/>
      <c r="D1189" s="236"/>
      <c r="E1189" s="235"/>
      <c r="F1189" s="235"/>
      <c r="G1189" s="237"/>
      <c r="H1189" s="235"/>
      <c r="I1189" s="235"/>
      <c r="J1189" s="235"/>
      <c r="K1189" s="66"/>
    </row>
    <row r="1190" ht="12.75" customHeight="1">
      <c r="A1190" s="238"/>
      <c r="B1190" s="235"/>
      <c r="C1190" s="235"/>
      <c r="D1190" s="236"/>
      <c r="E1190" s="235"/>
      <c r="F1190" s="235"/>
      <c r="G1190" s="237"/>
      <c r="H1190" s="235"/>
      <c r="I1190" s="235"/>
      <c r="J1190" s="235"/>
      <c r="K1190" s="66"/>
    </row>
    <row r="1191" ht="12.75" customHeight="1">
      <c r="A1191" s="238"/>
      <c r="B1191" s="235"/>
      <c r="C1191" s="235"/>
      <c r="D1191" s="236"/>
      <c r="E1191" s="235"/>
      <c r="F1191" s="235"/>
      <c r="G1191" s="237"/>
      <c r="H1191" s="235"/>
      <c r="I1191" s="235"/>
      <c r="J1191" s="235"/>
      <c r="K1191" s="66"/>
    </row>
    <row r="1192" ht="12.75" customHeight="1">
      <c r="A1192" s="238"/>
      <c r="B1192" s="235"/>
      <c r="C1192" s="235"/>
      <c r="D1192" s="236"/>
      <c r="E1192" s="235"/>
      <c r="F1192" s="235"/>
      <c r="G1192" s="237"/>
      <c r="H1192" s="235"/>
      <c r="I1192" s="235"/>
      <c r="J1192" s="235"/>
      <c r="K1192" s="66"/>
    </row>
    <row r="1193" ht="12.75" customHeight="1">
      <c r="A1193" s="238"/>
      <c r="B1193" s="235"/>
      <c r="C1193" s="235"/>
      <c r="D1193" s="236"/>
      <c r="E1193" s="235"/>
      <c r="F1193" s="235"/>
      <c r="G1193" s="237"/>
      <c r="H1193" s="235"/>
      <c r="I1193" s="235"/>
      <c r="J1193" s="235"/>
      <c r="K1193" s="66"/>
    </row>
    <row r="1194" ht="12.75" customHeight="1">
      <c r="A1194" s="238"/>
      <c r="B1194" s="235"/>
      <c r="C1194" s="235"/>
      <c r="D1194" s="236"/>
      <c r="E1194" s="235"/>
      <c r="F1194" s="235"/>
      <c r="G1194" s="237"/>
      <c r="H1194" s="235"/>
      <c r="I1194" s="235"/>
      <c r="J1194" s="235"/>
      <c r="K1194" s="66"/>
    </row>
    <row r="1195" ht="12.75" customHeight="1">
      <c r="A1195" s="238"/>
      <c r="B1195" s="235"/>
      <c r="C1195" s="235"/>
      <c r="D1195" s="236"/>
      <c r="E1195" s="235"/>
      <c r="F1195" s="235"/>
      <c r="G1195" s="237"/>
      <c r="H1195" s="235"/>
      <c r="I1195" s="235"/>
      <c r="J1195" s="235"/>
      <c r="K1195" s="66"/>
    </row>
    <row r="1196" ht="12.75" customHeight="1">
      <c r="A1196" s="238"/>
      <c r="B1196" s="235"/>
      <c r="C1196" s="235"/>
      <c r="D1196" s="236"/>
      <c r="E1196" s="235"/>
      <c r="F1196" s="235"/>
      <c r="G1196" s="237"/>
      <c r="H1196" s="235"/>
      <c r="I1196" s="235"/>
      <c r="J1196" s="235"/>
      <c r="K1196" s="66"/>
    </row>
    <row r="1197" ht="12.75" customHeight="1">
      <c r="A1197" s="238"/>
      <c r="B1197" s="235"/>
      <c r="C1197" s="235"/>
      <c r="D1197" s="236"/>
      <c r="E1197" s="235"/>
      <c r="F1197" s="235"/>
      <c r="G1197" s="237"/>
      <c r="H1197" s="235"/>
      <c r="I1197" s="235"/>
      <c r="J1197" s="235"/>
      <c r="K1197" s="66"/>
    </row>
    <row r="1198" ht="12.75" customHeight="1">
      <c r="A1198" s="238"/>
      <c r="B1198" s="235"/>
      <c r="C1198" s="235"/>
      <c r="D1198" s="236"/>
      <c r="E1198" s="235"/>
      <c r="F1198" s="235"/>
      <c r="G1198" s="237"/>
      <c r="H1198" s="235"/>
      <c r="I1198" s="235"/>
      <c r="J1198" s="235"/>
      <c r="K1198" s="66"/>
    </row>
    <row r="1199" ht="12.75" customHeight="1">
      <c r="A1199" s="238"/>
      <c r="B1199" s="235"/>
      <c r="C1199" s="235"/>
      <c r="D1199" s="236"/>
      <c r="E1199" s="235"/>
      <c r="F1199" s="235"/>
      <c r="G1199" s="237"/>
      <c r="H1199" s="235"/>
      <c r="I1199" s="235"/>
      <c r="J1199" s="235"/>
      <c r="K1199" s="66"/>
    </row>
    <row r="1200" ht="12.75" customHeight="1">
      <c r="A1200" s="238"/>
      <c r="B1200" s="235"/>
      <c r="C1200" s="235"/>
      <c r="D1200" s="236"/>
      <c r="E1200" s="235"/>
      <c r="F1200" s="235"/>
      <c r="G1200" s="237"/>
      <c r="H1200" s="235"/>
      <c r="I1200" s="235"/>
      <c r="J1200" s="235"/>
      <c r="K1200" s="66"/>
    </row>
    <row r="1201" ht="12.75" customHeight="1">
      <c r="A1201" s="238"/>
      <c r="B1201" s="235"/>
      <c r="C1201" s="235"/>
      <c r="D1201" s="236"/>
      <c r="E1201" s="235"/>
      <c r="F1201" s="235"/>
      <c r="G1201" s="237"/>
      <c r="H1201" s="235"/>
      <c r="I1201" s="235"/>
      <c r="J1201" s="235"/>
      <c r="K1201" s="66"/>
    </row>
    <row r="1202" ht="12.75" customHeight="1">
      <c r="A1202" s="238"/>
      <c r="B1202" s="235"/>
      <c r="C1202" s="235"/>
      <c r="D1202" s="236"/>
      <c r="E1202" s="235"/>
      <c r="F1202" s="235"/>
      <c r="G1202" s="237"/>
      <c r="H1202" s="235"/>
      <c r="I1202" s="235"/>
      <c r="J1202" s="235"/>
      <c r="K1202" s="66"/>
    </row>
    <row r="1203" ht="12.75" customHeight="1">
      <c r="A1203" s="238"/>
      <c r="B1203" s="235"/>
      <c r="C1203" s="235"/>
      <c r="D1203" s="236"/>
      <c r="E1203" s="235"/>
      <c r="F1203" s="235"/>
      <c r="G1203" s="237"/>
      <c r="H1203" s="235"/>
      <c r="I1203" s="235"/>
      <c r="J1203" s="235"/>
      <c r="K1203" s="66"/>
    </row>
    <row r="1204" ht="12.75" customHeight="1">
      <c r="A1204" s="238"/>
      <c r="B1204" s="235"/>
      <c r="C1204" s="235"/>
      <c r="D1204" s="236"/>
      <c r="E1204" s="235"/>
      <c r="F1204" s="235"/>
      <c r="G1204" s="237"/>
      <c r="H1204" s="235"/>
      <c r="I1204" s="235"/>
      <c r="J1204" s="235"/>
      <c r="K1204" s="66"/>
    </row>
    <row r="1205" ht="12.75" customHeight="1">
      <c r="A1205" s="238"/>
      <c r="B1205" s="235"/>
      <c r="C1205" s="235"/>
      <c r="D1205" s="236"/>
      <c r="E1205" s="235"/>
      <c r="F1205" s="235"/>
      <c r="G1205" s="237"/>
      <c r="H1205" s="235"/>
      <c r="I1205" s="235"/>
      <c r="J1205" s="235"/>
      <c r="K1205" s="66"/>
    </row>
    <row r="1206" ht="12.75" customHeight="1">
      <c r="A1206" s="238"/>
      <c r="B1206" s="235"/>
      <c r="C1206" s="235"/>
      <c r="D1206" s="236"/>
      <c r="E1206" s="235"/>
      <c r="F1206" s="235"/>
      <c r="G1206" s="237"/>
      <c r="H1206" s="235"/>
      <c r="I1206" s="235"/>
      <c r="J1206" s="235"/>
      <c r="K1206" s="66"/>
    </row>
    <row r="1207" ht="12.75" customHeight="1">
      <c r="A1207" s="238"/>
      <c r="B1207" s="235"/>
      <c r="C1207" s="235"/>
      <c r="D1207" s="236"/>
      <c r="E1207" s="235"/>
      <c r="F1207" s="235"/>
      <c r="G1207" s="237"/>
      <c r="H1207" s="235"/>
      <c r="I1207" s="235"/>
      <c r="J1207" s="235"/>
      <c r="K1207" s="66"/>
    </row>
    <row r="1208" ht="12.75" customHeight="1">
      <c r="A1208" s="238"/>
      <c r="B1208" s="235"/>
      <c r="C1208" s="235"/>
      <c r="D1208" s="236"/>
      <c r="E1208" s="235"/>
      <c r="F1208" s="235"/>
      <c r="G1208" s="237"/>
      <c r="H1208" s="235"/>
      <c r="I1208" s="235"/>
      <c r="J1208" s="235"/>
      <c r="K1208" s="66"/>
    </row>
    <row r="1209" ht="12.75" customHeight="1">
      <c r="A1209" s="238"/>
      <c r="B1209" s="235"/>
      <c r="C1209" s="235"/>
      <c r="D1209" s="236"/>
      <c r="E1209" s="235"/>
      <c r="F1209" s="235"/>
      <c r="G1209" s="237"/>
      <c r="H1209" s="235"/>
      <c r="I1209" s="235"/>
      <c r="J1209" s="235"/>
      <c r="K1209" s="66"/>
    </row>
    <row r="1210" ht="12.75" customHeight="1">
      <c r="A1210" s="238"/>
      <c r="B1210" s="235"/>
      <c r="C1210" s="235"/>
      <c r="D1210" s="236"/>
      <c r="E1210" s="235"/>
      <c r="F1210" s="235"/>
      <c r="G1210" s="237"/>
      <c r="H1210" s="235"/>
      <c r="I1210" s="235"/>
      <c r="J1210" s="235"/>
      <c r="K1210" s="66"/>
    </row>
    <row r="1211" ht="12.75" customHeight="1">
      <c r="A1211" s="238"/>
      <c r="B1211" s="235"/>
      <c r="C1211" s="235"/>
      <c r="D1211" s="236"/>
      <c r="E1211" s="235"/>
      <c r="F1211" s="235"/>
      <c r="G1211" s="237"/>
      <c r="H1211" s="235"/>
      <c r="I1211" s="235"/>
      <c r="J1211" s="235"/>
      <c r="K1211" s="66"/>
    </row>
    <row r="1212" ht="12.75" customHeight="1">
      <c r="A1212" s="238"/>
      <c r="B1212" s="235"/>
      <c r="C1212" s="235"/>
      <c r="D1212" s="236"/>
      <c r="E1212" s="235"/>
      <c r="F1212" s="235"/>
      <c r="G1212" s="237"/>
      <c r="H1212" s="235"/>
      <c r="I1212" s="235"/>
      <c r="J1212" s="235"/>
      <c r="K1212" s="66"/>
    </row>
    <row r="1213" ht="12.75" customHeight="1">
      <c r="A1213" s="238"/>
      <c r="B1213" s="235"/>
      <c r="C1213" s="235"/>
      <c r="D1213" s="236"/>
      <c r="E1213" s="235"/>
      <c r="F1213" s="235"/>
      <c r="G1213" s="237"/>
      <c r="H1213" s="235"/>
      <c r="I1213" s="235"/>
      <c r="J1213" s="235"/>
      <c r="K1213" s="66"/>
    </row>
    <row r="1214" ht="12.75" customHeight="1">
      <c r="A1214" s="238"/>
      <c r="B1214" s="235"/>
      <c r="C1214" s="235"/>
      <c r="D1214" s="236"/>
      <c r="E1214" s="235"/>
      <c r="F1214" s="235"/>
      <c r="G1214" s="237"/>
      <c r="H1214" s="235"/>
      <c r="I1214" s="235"/>
      <c r="J1214" s="235"/>
      <c r="K1214" s="66"/>
    </row>
    <row r="1215" ht="12.75" customHeight="1">
      <c r="A1215" s="238"/>
      <c r="B1215" s="235"/>
      <c r="C1215" s="235"/>
      <c r="D1215" s="236"/>
      <c r="E1215" s="235"/>
      <c r="F1215" s="235"/>
      <c r="G1215" s="237"/>
      <c r="H1215" s="235"/>
      <c r="I1215" s="235"/>
      <c r="J1215" s="235"/>
      <c r="K1215" s="66"/>
    </row>
    <row r="1216" ht="12.75" customHeight="1">
      <c r="A1216" s="238"/>
      <c r="B1216" s="235"/>
      <c r="C1216" s="235"/>
      <c r="D1216" s="236"/>
      <c r="E1216" s="235"/>
      <c r="F1216" s="235"/>
      <c r="G1216" s="237"/>
      <c r="H1216" s="235"/>
      <c r="I1216" s="235"/>
      <c r="J1216" s="235"/>
      <c r="K1216" s="66"/>
    </row>
    <row r="1217" ht="12.75" customHeight="1">
      <c r="A1217" s="238"/>
      <c r="B1217" s="235"/>
      <c r="C1217" s="235"/>
      <c r="D1217" s="236"/>
      <c r="E1217" s="235"/>
      <c r="F1217" s="235"/>
      <c r="G1217" s="237"/>
      <c r="H1217" s="235"/>
      <c r="I1217" s="235"/>
      <c r="J1217" s="235"/>
      <c r="K1217" s="66"/>
    </row>
    <row r="1218" ht="12.75" customHeight="1">
      <c r="A1218" s="238"/>
      <c r="B1218" s="235"/>
      <c r="C1218" s="235"/>
      <c r="D1218" s="236"/>
      <c r="E1218" s="235"/>
      <c r="F1218" s="235"/>
      <c r="G1218" s="237"/>
      <c r="H1218" s="235"/>
      <c r="I1218" s="235"/>
      <c r="J1218" s="235"/>
      <c r="K1218" s="66"/>
    </row>
    <row r="1219" ht="12.75" customHeight="1">
      <c r="A1219" s="238"/>
      <c r="B1219" s="235"/>
      <c r="C1219" s="235"/>
      <c r="D1219" s="236"/>
      <c r="E1219" s="235"/>
      <c r="F1219" s="235"/>
      <c r="G1219" s="237"/>
      <c r="H1219" s="235"/>
      <c r="I1219" s="235"/>
      <c r="J1219" s="235"/>
      <c r="K1219" s="66"/>
    </row>
    <row r="1220" ht="12.75" customHeight="1">
      <c r="A1220" s="238"/>
      <c r="B1220" s="235"/>
      <c r="C1220" s="235"/>
      <c r="D1220" s="236"/>
      <c r="E1220" s="235"/>
      <c r="F1220" s="235"/>
      <c r="G1220" s="237"/>
      <c r="H1220" s="235"/>
      <c r="I1220" s="235"/>
      <c r="J1220" s="235"/>
      <c r="K1220" s="66"/>
    </row>
    <row r="1221" ht="12.75" customHeight="1">
      <c r="A1221" s="238"/>
      <c r="B1221" s="235"/>
      <c r="C1221" s="235"/>
      <c r="D1221" s="236"/>
      <c r="E1221" s="235"/>
      <c r="F1221" s="235"/>
      <c r="G1221" s="237"/>
      <c r="H1221" s="235"/>
      <c r="I1221" s="235"/>
      <c r="J1221" s="235"/>
      <c r="K1221" s="66"/>
    </row>
    <row r="1222" ht="12.75" customHeight="1">
      <c r="A1222" s="238"/>
      <c r="B1222" s="235"/>
      <c r="C1222" s="235"/>
      <c r="D1222" s="236"/>
      <c r="E1222" s="235"/>
      <c r="F1222" s="235"/>
      <c r="G1222" s="237"/>
      <c r="H1222" s="235"/>
      <c r="I1222" s="235"/>
      <c r="J1222" s="235"/>
      <c r="K1222" s="66"/>
    </row>
    <row r="1223" ht="12.75" customHeight="1">
      <c r="A1223" s="238"/>
      <c r="B1223" s="235"/>
      <c r="C1223" s="235"/>
      <c r="D1223" s="236"/>
      <c r="E1223" s="235"/>
      <c r="F1223" s="235"/>
      <c r="G1223" s="237"/>
      <c r="H1223" s="235"/>
      <c r="I1223" s="235"/>
      <c r="J1223" s="235"/>
      <c r="K1223" s="66"/>
    </row>
    <row r="1224" ht="12.75" customHeight="1">
      <c r="A1224" s="238"/>
      <c r="B1224" s="235"/>
      <c r="C1224" s="235"/>
      <c r="D1224" s="236"/>
      <c r="E1224" s="235"/>
      <c r="F1224" s="235"/>
      <c r="G1224" s="237"/>
      <c r="H1224" s="235"/>
      <c r="I1224" s="235"/>
      <c r="J1224" s="235"/>
      <c r="K1224" s="66"/>
    </row>
    <row r="1225" ht="12.75" customHeight="1">
      <c r="A1225" s="238"/>
      <c r="B1225" s="235"/>
      <c r="C1225" s="235"/>
      <c r="D1225" s="236"/>
      <c r="E1225" s="235"/>
      <c r="F1225" s="235"/>
      <c r="G1225" s="237"/>
      <c r="H1225" s="235"/>
      <c r="I1225" s="235"/>
      <c r="J1225" s="235"/>
      <c r="K1225" s="66"/>
    </row>
    <row r="1226" ht="12.75" customHeight="1">
      <c r="A1226" s="238"/>
      <c r="B1226" s="235"/>
      <c r="C1226" s="235"/>
      <c r="D1226" s="236"/>
      <c r="E1226" s="235"/>
      <c r="F1226" s="235"/>
      <c r="G1226" s="237"/>
      <c r="H1226" s="235"/>
      <c r="I1226" s="235"/>
      <c r="J1226" s="235"/>
      <c r="K1226" s="66"/>
    </row>
    <row r="1227" ht="12.75" customHeight="1">
      <c r="A1227" s="238"/>
      <c r="B1227" s="235"/>
      <c r="C1227" s="235"/>
      <c r="D1227" s="236"/>
      <c r="E1227" s="235"/>
      <c r="F1227" s="235"/>
      <c r="G1227" s="237"/>
      <c r="H1227" s="235"/>
      <c r="I1227" s="235"/>
      <c r="J1227" s="235"/>
      <c r="K1227" s="66"/>
    </row>
    <row r="1228" ht="12.75" customHeight="1">
      <c r="A1228" s="238"/>
      <c r="B1228" s="235"/>
      <c r="C1228" s="235"/>
      <c r="D1228" s="236"/>
      <c r="E1228" s="235"/>
      <c r="F1228" s="235"/>
      <c r="G1228" s="237"/>
      <c r="H1228" s="235"/>
      <c r="I1228" s="235"/>
      <c r="J1228" s="235"/>
      <c r="K1228" s="66"/>
    </row>
    <row r="1229" ht="12.75" customHeight="1">
      <c r="A1229" s="238"/>
      <c r="B1229" s="235"/>
      <c r="C1229" s="235"/>
      <c r="D1229" s="236"/>
      <c r="E1229" s="235"/>
      <c r="F1229" s="235"/>
      <c r="G1229" s="237"/>
      <c r="H1229" s="235"/>
      <c r="I1229" s="235"/>
      <c r="J1229" s="235"/>
      <c r="K1229" s="66"/>
    </row>
    <row r="1230" ht="12.75" customHeight="1">
      <c r="A1230" s="238"/>
      <c r="B1230" s="235"/>
      <c r="C1230" s="235"/>
      <c r="D1230" s="236"/>
      <c r="E1230" s="235"/>
      <c r="F1230" s="235"/>
      <c r="G1230" s="237"/>
      <c r="H1230" s="235"/>
      <c r="I1230" s="235"/>
      <c r="J1230" s="235"/>
      <c r="K1230" s="66"/>
    </row>
    <row r="1231" ht="12.75" customHeight="1">
      <c r="A1231" s="238"/>
      <c r="B1231" s="235"/>
      <c r="C1231" s="235"/>
      <c r="D1231" s="236"/>
      <c r="E1231" s="235"/>
      <c r="F1231" s="235"/>
      <c r="G1231" s="237"/>
      <c r="H1231" s="235"/>
      <c r="I1231" s="235"/>
      <c r="J1231" s="235"/>
      <c r="K1231" s="66"/>
    </row>
    <row r="1232" ht="12.75" customHeight="1">
      <c r="A1232" s="238"/>
      <c r="B1232" s="235"/>
      <c r="C1232" s="235"/>
      <c r="D1232" s="236"/>
      <c r="E1232" s="235"/>
      <c r="F1232" s="235"/>
      <c r="G1232" s="237"/>
      <c r="H1232" s="235"/>
      <c r="I1232" s="235"/>
      <c r="J1232" s="235"/>
      <c r="K1232" s="66"/>
    </row>
    <row r="1233" ht="12.75" customHeight="1">
      <c r="A1233" s="238"/>
      <c r="B1233" s="235"/>
      <c r="C1233" s="235"/>
      <c r="D1233" s="236"/>
      <c r="E1233" s="235"/>
      <c r="F1233" s="235"/>
      <c r="G1233" s="237"/>
      <c r="H1233" s="235"/>
      <c r="I1233" s="235"/>
      <c r="J1233" s="235"/>
      <c r="K1233" s="66"/>
    </row>
    <row r="1234" ht="12.75" customHeight="1">
      <c r="A1234" s="238"/>
      <c r="B1234" s="235"/>
      <c r="C1234" s="235"/>
      <c r="D1234" s="236"/>
      <c r="E1234" s="235"/>
      <c r="F1234" s="235"/>
      <c r="G1234" s="237"/>
      <c r="H1234" s="235"/>
      <c r="I1234" s="235"/>
      <c r="J1234" s="235"/>
      <c r="K1234" s="66"/>
    </row>
    <row r="1235" ht="12.75" customHeight="1">
      <c r="A1235" s="238"/>
      <c r="B1235" s="235"/>
      <c r="C1235" s="235"/>
      <c r="D1235" s="236"/>
      <c r="E1235" s="235"/>
      <c r="F1235" s="235"/>
      <c r="G1235" s="237"/>
      <c r="H1235" s="235"/>
      <c r="I1235" s="235"/>
      <c r="J1235" s="235"/>
      <c r="K1235" s="66"/>
    </row>
    <row r="1236" ht="12.75" customHeight="1">
      <c r="A1236" s="238"/>
      <c r="B1236" s="235"/>
      <c r="C1236" s="235"/>
      <c r="D1236" s="236"/>
      <c r="E1236" s="235"/>
      <c r="F1236" s="235"/>
      <c r="G1236" s="237"/>
      <c r="H1236" s="235"/>
      <c r="I1236" s="235"/>
      <c r="J1236" s="235"/>
      <c r="K1236" s="66"/>
    </row>
    <row r="1237" ht="12.75" customHeight="1">
      <c r="A1237" s="238"/>
      <c r="B1237" s="235"/>
      <c r="C1237" s="235"/>
      <c r="D1237" s="236"/>
      <c r="E1237" s="235"/>
      <c r="F1237" s="235"/>
      <c r="G1237" s="237"/>
      <c r="H1237" s="235"/>
      <c r="I1237" s="235"/>
      <c r="J1237" s="235"/>
      <c r="K1237" s="66"/>
    </row>
    <row r="1238" ht="12.75" customHeight="1">
      <c r="A1238" s="238"/>
      <c r="B1238" s="235"/>
      <c r="C1238" s="235"/>
      <c r="D1238" s="236"/>
      <c r="E1238" s="235"/>
      <c r="F1238" s="235"/>
      <c r="G1238" s="237"/>
      <c r="H1238" s="235"/>
      <c r="I1238" s="235"/>
      <c r="J1238" s="235"/>
      <c r="K1238" s="66"/>
    </row>
    <row r="1239" ht="12.75" customHeight="1">
      <c r="A1239" s="238"/>
      <c r="B1239" s="235"/>
      <c r="C1239" s="235"/>
      <c r="D1239" s="236"/>
      <c r="E1239" s="235"/>
      <c r="F1239" s="235"/>
      <c r="G1239" s="237"/>
      <c r="H1239" s="235"/>
      <c r="I1239" s="235"/>
      <c r="J1239" s="235"/>
      <c r="K1239" s="66"/>
    </row>
    <row r="1240" ht="12.75" customHeight="1">
      <c r="A1240" s="238"/>
      <c r="B1240" s="235"/>
      <c r="C1240" s="235"/>
      <c r="D1240" s="236"/>
      <c r="E1240" s="235"/>
      <c r="F1240" s="235"/>
      <c r="G1240" s="237"/>
      <c r="H1240" s="235"/>
      <c r="I1240" s="235"/>
      <c r="J1240" s="235"/>
      <c r="K1240" s="66"/>
    </row>
    <row r="1241" ht="12.75" customHeight="1">
      <c r="A1241" s="238"/>
      <c r="B1241" s="235"/>
      <c r="C1241" s="235"/>
      <c r="D1241" s="236"/>
      <c r="E1241" s="235"/>
      <c r="F1241" s="235"/>
      <c r="G1241" s="237"/>
      <c r="H1241" s="235"/>
      <c r="I1241" s="235"/>
      <c r="J1241" s="235"/>
      <c r="K1241" s="66"/>
    </row>
    <row r="1242" ht="12.75" customHeight="1">
      <c r="A1242" s="238"/>
      <c r="B1242" s="235"/>
      <c r="C1242" s="235"/>
      <c r="D1242" s="236"/>
      <c r="E1242" s="235"/>
      <c r="F1242" s="235"/>
      <c r="G1242" s="237"/>
      <c r="H1242" s="235"/>
      <c r="I1242" s="235"/>
      <c r="J1242" s="235"/>
      <c r="K1242" s="66"/>
    </row>
    <row r="1243" ht="12.75" customHeight="1">
      <c r="A1243" s="238"/>
      <c r="B1243" s="235"/>
      <c r="C1243" s="235"/>
      <c r="D1243" s="236"/>
      <c r="E1243" s="235"/>
      <c r="F1243" s="235"/>
      <c r="G1243" s="237"/>
      <c r="H1243" s="235"/>
      <c r="I1243" s="235"/>
      <c r="J1243" s="235"/>
      <c r="K1243" s="66"/>
    </row>
    <row r="1244" ht="12.75" customHeight="1">
      <c r="A1244" s="238"/>
      <c r="B1244" s="235"/>
      <c r="C1244" s="235"/>
      <c r="D1244" s="236"/>
      <c r="E1244" s="235"/>
      <c r="F1244" s="235"/>
      <c r="G1244" s="237"/>
      <c r="H1244" s="235"/>
      <c r="I1244" s="235"/>
      <c r="J1244" s="235"/>
      <c r="K1244" s="66"/>
    </row>
    <row r="1245" ht="12.75" customHeight="1">
      <c r="A1245" s="238"/>
      <c r="B1245" s="235"/>
      <c r="C1245" s="235"/>
      <c r="D1245" s="236"/>
      <c r="E1245" s="235"/>
      <c r="F1245" s="235"/>
      <c r="G1245" s="237"/>
      <c r="H1245" s="235"/>
      <c r="I1245" s="235"/>
      <c r="J1245" s="235"/>
      <c r="K1245" s="66"/>
    </row>
    <row r="1246" ht="12.75" customHeight="1">
      <c r="A1246" s="238"/>
      <c r="B1246" s="235"/>
      <c r="C1246" s="235"/>
      <c r="D1246" s="236"/>
      <c r="E1246" s="235"/>
      <c r="F1246" s="235"/>
      <c r="G1246" s="237"/>
      <c r="H1246" s="235"/>
      <c r="I1246" s="235"/>
      <c r="J1246" s="235"/>
      <c r="K1246" s="66"/>
    </row>
    <row r="1247" ht="12.75" customHeight="1">
      <c r="A1247" s="238"/>
      <c r="B1247" s="235"/>
      <c r="C1247" s="235"/>
      <c r="D1247" s="236"/>
      <c r="E1247" s="235"/>
      <c r="F1247" s="235"/>
      <c r="G1247" s="237"/>
      <c r="H1247" s="235"/>
      <c r="I1247" s="235"/>
      <c r="J1247" s="235"/>
      <c r="K1247" s="66"/>
    </row>
    <row r="1248" ht="12.75" customHeight="1">
      <c r="A1248" s="238"/>
      <c r="B1248" s="235"/>
      <c r="C1248" s="235"/>
      <c r="D1248" s="236"/>
      <c r="E1248" s="235"/>
      <c r="F1248" s="235"/>
      <c r="G1248" s="237"/>
      <c r="H1248" s="235"/>
      <c r="I1248" s="235"/>
      <c r="J1248" s="235"/>
      <c r="K1248" s="66"/>
    </row>
    <row r="1249" ht="12.75" customHeight="1">
      <c r="A1249" s="238"/>
      <c r="B1249" s="235"/>
      <c r="C1249" s="235"/>
      <c r="D1249" s="236"/>
      <c r="E1249" s="235"/>
      <c r="F1249" s="235"/>
      <c r="G1249" s="237"/>
      <c r="H1249" s="235"/>
      <c r="I1249" s="235"/>
      <c r="J1249" s="235"/>
      <c r="K1249" s="66"/>
    </row>
    <row r="1250" ht="12.75" customHeight="1">
      <c r="A1250" s="238"/>
      <c r="B1250" s="235"/>
      <c r="C1250" s="235"/>
      <c r="D1250" s="236"/>
      <c r="E1250" s="235"/>
      <c r="F1250" s="235"/>
      <c r="G1250" s="237"/>
      <c r="H1250" s="235"/>
      <c r="I1250" s="235"/>
      <c r="J1250" s="235"/>
      <c r="K1250" s="66"/>
    </row>
    <row r="1251" ht="12.75" customHeight="1">
      <c r="A1251" s="238"/>
      <c r="B1251" s="235"/>
      <c r="C1251" s="235"/>
      <c r="D1251" s="236"/>
      <c r="E1251" s="235"/>
      <c r="F1251" s="235"/>
      <c r="G1251" s="237"/>
      <c r="H1251" s="235"/>
      <c r="I1251" s="235"/>
      <c r="J1251" s="235"/>
      <c r="K1251" s="66"/>
    </row>
    <row r="1252" ht="12.75" customHeight="1">
      <c r="A1252" s="238"/>
      <c r="B1252" s="235"/>
      <c r="C1252" s="235"/>
      <c r="D1252" s="236"/>
      <c r="E1252" s="235"/>
      <c r="F1252" s="235"/>
      <c r="G1252" s="237"/>
      <c r="H1252" s="235"/>
      <c r="I1252" s="235"/>
      <c r="J1252" s="235"/>
      <c r="K1252" s="66"/>
    </row>
    <row r="1253" ht="12.75" customHeight="1">
      <c r="A1253" s="238"/>
      <c r="B1253" s="235"/>
      <c r="C1253" s="235"/>
      <c r="D1253" s="236"/>
      <c r="E1253" s="235"/>
      <c r="F1253" s="235"/>
      <c r="G1253" s="237"/>
      <c r="H1253" s="235"/>
      <c r="I1253" s="235"/>
      <c r="J1253" s="235"/>
      <c r="K1253" s="66"/>
    </row>
    <row r="1254" ht="12.75" customHeight="1">
      <c r="A1254" s="238"/>
      <c r="B1254" s="235"/>
      <c r="C1254" s="235"/>
      <c r="D1254" s="236"/>
      <c r="E1254" s="235"/>
      <c r="F1254" s="235"/>
      <c r="G1254" s="237"/>
      <c r="H1254" s="235"/>
      <c r="I1254" s="235"/>
      <c r="J1254" s="235"/>
      <c r="K1254" s="66"/>
    </row>
    <row r="1255" ht="12.75" customHeight="1">
      <c r="A1255" s="238"/>
      <c r="B1255" s="235"/>
      <c r="C1255" s="235"/>
      <c r="D1255" s="236"/>
      <c r="E1255" s="235"/>
      <c r="F1255" s="235"/>
      <c r="G1255" s="237"/>
      <c r="H1255" s="235"/>
      <c r="I1255" s="235"/>
      <c r="J1255" s="235"/>
      <c r="K1255" s="66"/>
    </row>
    <row r="1256" ht="12.75" customHeight="1">
      <c r="A1256" s="238"/>
      <c r="B1256" s="235"/>
      <c r="C1256" s="235"/>
      <c r="D1256" s="236"/>
      <c r="E1256" s="235"/>
      <c r="F1256" s="235"/>
      <c r="G1256" s="237"/>
      <c r="H1256" s="235"/>
      <c r="I1256" s="235"/>
      <c r="J1256" s="235"/>
      <c r="K1256" s="66"/>
    </row>
    <row r="1257" ht="12.75" customHeight="1">
      <c r="A1257" s="238"/>
      <c r="B1257" s="235"/>
      <c r="C1257" s="235"/>
      <c r="D1257" s="236"/>
      <c r="E1257" s="235"/>
      <c r="F1257" s="235"/>
      <c r="G1257" s="237"/>
      <c r="H1257" s="235"/>
      <c r="I1257" s="235"/>
      <c r="J1257" s="235"/>
      <c r="K1257" s="66"/>
    </row>
    <row r="1258" ht="12.75" customHeight="1">
      <c r="A1258" s="238"/>
      <c r="B1258" s="235"/>
      <c r="C1258" s="235"/>
      <c r="D1258" s="236"/>
      <c r="E1258" s="235"/>
      <c r="F1258" s="235"/>
      <c r="G1258" s="237"/>
      <c r="H1258" s="235"/>
      <c r="I1258" s="235"/>
      <c r="J1258" s="235"/>
      <c r="K1258" s="66"/>
    </row>
    <row r="1259" ht="12.75" customHeight="1">
      <c r="A1259" s="238"/>
      <c r="B1259" s="235"/>
      <c r="C1259" s="235"/>
      <c r="D1259" s="236"/>
      <c r="E1259" s="235"/>
      <c r="F1259" s="235"/>
      <c r="G1259" s="237"/>
      <c r="H1259" s="235"/>
      <c r="I1259" s="235"/>
      <c r="J1259" s="235"/>
      <c r="K1259" s="66"/>
    </row>
    <row r="1260" ht="12.75" customHeight="1">
      <c r="A1260" s="238"/>
      <c r="B1260" s="235"/>
      <c r="C1260" s="235"/>
      <c r="D1260" s="236"/>
      <c r="E1260" s="235"/>
      <c r="F1260" s="235"/>
      <c r="G1260" s="237"/>
      <c r="H1260" s="235"/>
      <c r="I1260" s="235"/>
      <c r="J1260" s="235"/>
      <c r="K1260" s="66"/>
    </row>
    <row r="1261" ht="12.75" customHeight="1">
      <c r="A1261" s="238"/>
      <c r="B1261" s="235"/>
      <c r="C1261" s="235"/>
      <c r="D1261" s="236"/>
      <c r="E1261" s="235"/>
      <c r="F1261" s="235"/>
      <c r="G1261" s="237"/>
      <c r="H1261" s="235"/>
      <c r="I1261" s="235"/>
      <c r="J1261" s="235"/>
      <c r="K1261" s="66"/>
    </row>
    <row r="1262" ht="12.75" customHeight="1">
      <c r="A1262" s="238"/>
      <c r="B1262" s="235"/>
      <c r="C1262" s="235"/>
      <c r="D1262" s="236"/>
      <c r="E1262" s="235"/>
      <c r="F1262" s="235"/>
      <c r="G1262" s="237"/>
      <c r="H1262" s="235"/>
      <c r="I1262" s="235"/>
      <c r="J1262" s="235"/>
      <c r="K1262" s="66"/>
    </row>
    <row r="1263" ht="12.75" customHeight="1">
      <c r="A1263" s="238"/>
      <c r="B1263" s="235"/>
      <c r="C1263" s="235"/>
      <c r="D1263" s="236"/>
      <c r="E1263" s="235"/>
      <c r="F1263" s="235"/>
      <c r="G1263" s="237"/>
      <c r="H1263" s="235"/>
      <c r="I1263" s="235"/>
      <c r="J1263" s="235"/>
      <c r="K1263" s="66"/>
    </row>
    <row r="1264" ht="12.75" customHeight="1">
      <c r="A1264" s="238"/>
      <c r="B1264" s="235"/>
      <c r="C1264" s="235"/>
      <c r="D1264" s="236"/>
      <c r="E1264" s="235"/>
      <c r="F1264" s="235"/>
      <c r="G1264" s="237"/>
      <c r="H1264" s="235"/>
      <c r="I1264" s="235"/>
      <c r="J1264" s="235"/>
      <c r="K1264" s="66"/>
    </row>
    <row r="1265" ht="12.75" customHeight="1">
      <c r="A1265" s="238"/>
      <c r="B1265" s="235"/>
      <c r="C1265" s="235"/>
      <c r="D1265" s="236"/>
      <c r="E1265" s="235"/>
      <c r="F1265" s="235"/>
      <c r="G1265" s="237"/>
      <c r="H1265" s="235"/>
      <c r="I1265" s="235"/>
      <c r="J1265" s="235"/>
      <c r="K1265" s="66"/>
    </row>
    <row r="1266" ht="12.75" customHeight="1">
      <c r="A1266" s="238"/>
      <c r="B1266" s="235"/>
      <c r="C1266" s="235"/>
      <c r="D1266" s="236"/>
      <c r="E1266" s="235"/>
      <c r="F1266" s="235"/>
      <c r="G1266" s="237"/>
      <c r="H1266" s="235"/>
      <c r="I1266" s="235"/>
      <c r="J1266" s="235"/>
      <c r="K1266" s="66"/>
    </row>
    <row r="1267" ht="12.75" customHeight="1">
      <c r="A1267" s="238"/>
      <c r="B1267" s="235"/>
      <c r="C1267" s="235"/>
      <c r="D1267" s="236"/>
      <c r="E1267" s="235"/>
      <c r="F1267" s="235"/>
      <c r="G1267" s="237"/>
      <c r="H1267" s="235"/>
      <c r="I1267" s="235"/>
      <c r="J1267" s="235"/>
      <c r="K1267" s="66"/>
    </row>
    <row r="1268" ht="12.75" customHeight="1">
      <c r="A1268" s="238"/>
      <c r="B1268" s="235"/>
      <c r="C1268" s="235"/>
      <c r="D1268" s="236"/>
      <c r="E1268" s="235"/>
      <c r="F1268" s="235"/>
      <c r="G1268" s="237"/>
      <c r="H1268" s="235"/>
      <c r="I1268" s="235"/>
      <c r="J1268" s="235"/>
      <c r="K1268" s="66"/>
    </row>
    <row r="1269" ht="12.75" customHeight="1">
      <c r="A1269" s="238"/>
      <c r="B1269" s="235"/>
      <c r="C1269" s="235"/>
      <c r="D1269" s="236"/>
      <c r="E1269" s="235"/>
      <c r="F1269" s="235"/>
      <c r="G1269" s="237"/>
      <c r="H1269" s="235"/>
      <c r="I1269" s="235"/>
      <c r="J1269" s="235"/>
      <c r="K1269" s="66"/>
    </row>
    <row r="1270" ht="12.75" customHeight="1">
      <c r="A1270" s="238"/>
      <c r="B1270" s="235"/>
      <c r="C1270" s="235"/>
      <c r="D1270" s="236"/>
      <c r="E1270" s="235"/>
      <c r="F1270" s="235"/>
      <c r="G1270" s="237"/>
      <c r="H1270" s="235"/>
      <c r="I1270" s="235"/>
      <c r="J1270" s="235"/>
      <c r="K1270" s="66"/>
    </row>
    <row r="1271" ht="12.75" customHeight="1">
      <c r="A1271" s="238"/>
      <c r="B1271" s="235"/>
      <c r="C1271" s="235"/>
      <c r="D1271" s="236"/>
      <c r="E1271" s="235"/>
      <c r="F1271" s="235"/>
      <c r="G1271" s="237"/>
      <c r="H1271" s="235"/>
      <c r="I1271" s="235"/>
      <c r="J1271" s="235"/>
      <c r="K1271" s="66"/>
    </row>
    <row r="1272" ht="12.75" customHeight="1">
      <c r="A1272" s="238"/>
      <c r="B1272" s="235"/>
      <c r="C1272" s="235"/>
      <c r="D1272" s="236"/>
      <c r="E1272" s="235"/>
      <c r="F1272" s="235"/>
      <c r="G1272" s="237"/>
      <c r="H1272" s="235"/>
      <c r="I1272" s="235"/>
      <c r="J1272" s="235"/>
      <c r="K1272" s="66"/>
    </row>
    <row r="1273" ht="12.75" customHeight="1">
      <c r="A1273" s="238"/>
      <c r="B1273" s="235"/>
      <c r="C1273" s="235"/>
      <c r="D1273" s="236"/>
      <c r="E1273" s="235"/>
      <c r="F1273" s="235"/>
      <c r="G1273" s="237"/>
      <c r="H1273" s="235"/>
      <c r="I1273" s="235"/>
      <c r="J1273" s="235"/>
      <c r="K1273" s="66"/>
    </row>
    <row r="1274" ht="12.75" customHeight="1">
      <c r="A1274" s="238"/>
      <c r="B1274" s="235"/>
      <c r="C1274" s="235"/>
      <c r="D1274" s="236"/>
      <c r="E1274" s="235"/>
      <c r="F1274" s="235"/>
      <c r="G1274" s="237"/>
      <c r="H1274" s="235"/>
      <c r="I1274" s="235"/>
      <c r="J1274" s="235"/>
      <c r="K1274" s="66"/>
    </row>
    <row r="1275" ht="12.75" customHeight="1">
      <c r="A1275" s="238"/>
      <c r="B1275" s="235"/>
      <c r="C1275" s="235"/>
      <c r="D1275" s="236"/>
      <c r="E1275" s="235"/>
      <c r="F1275" s="235"/>
      <c r="G1275" s="237"/>
      <c r="H1275" s="235"/>
      <c r="I1275" s="235"/>
      <c r="J1275" s="235"/>
      <c r="K1275" s="66"/>
    </row>
    <row r="1276" ht="12.75" customHeight="1">
      <c r="A1276" s="238"/>
      <c r="B1276" s="235"/>
      <c r="C1276" s="235"/>
      <c r="D1276" s="236"/>
      <c r="E1276" s="235"/>
      <c r="F1276" s="235"/>
      <c r="G1276" s="237"/>
      <c r="H1276" s="235"/>
      <c r="I1276" s="235"/>
      <c r="J1276" s="235"/>
      <c r="K1276" s="66"/>
    </row>
    <row r="1277" ht="12.75" customHeight="1">
      <c r="A1277" s="238"/>
      <c r="B1277" s="235"/>
      <c r="C1277" s="235"/>
      <c r="D1277" s="236"/>
      <c r="E1277" s="235"/>
      <c r="F1277" s="235"/>
      <c r="G1277" s="237"/>
      <c r="H1277" s="235"/>
      <c r="I1277" s="235"/>
      <c r="J1277" s="235"/>
      <c r="K1277" s="66"/>
    </row>
    <row r="1278" ht="12.75" customHeight="1">
      <c r="A1278" s="238"/>
      <c r="B1278" s="235"/>
      <c r="C1278" s="235"/>
      <c r="D1278" s="236"/>
      <c r="E1278" s="235"/>
      <c r="F1278" s="235"/>
      <c r="G1278" s="237"/>
      <c r="H1278" s="235"/>
      <c r="I1278" s="235"/>
      <c r="J1278" s="235"/>
      <c r="K1278" s="66"/>
    </row>
    <row r="1279" ht="12.75" customHeight="1">
      <c r="A1279" s="238"/>
      <c r="B1279" s="235"/>
      <c r="C1279" s="235"/>
      <c r="D1279" s="236"/>
      <c r="E1279" s="235"/>
      <c r="F1279" s="235"/>
      <c r="G1279" s="237"/>
      <c r="H1279" s="235"/>
      <c r="I1279" s="235"/>
      <c r="J1279" s="235"/>
      <c r="K1279" s="66"/>
    </row>
    <row r="1280" ht="12.75" customHeight="1">
      <c r="A1280" s="238"/>
      <c r="B1280" s="235"/>
      <c r="C1280" s="235"/>
      <c r="D1280" s="236"/>
      <c r="E1280" s="235"/>
      <c r="F1280" s="235"/>
      <c r="G1280" s="237"/>
      <c r="H1280" s="235"/>
      <c r="I1280" s="235"/>
      <c r="J1280" s="235"/>
      <c r="K1280" s="66"/>
    </row>
    <row r="1281" ht="12.75" customHeight="1">
      <c r="A1281" s="238"/>
      <c r="B1281" s="235"/>
      <c r="C1281" s="235"/>
      <c r="D1281" s="236"/>
      <c r="E1281" s="235"/>
      <c r="F1281" s="235"/>
      <c r="G1281" s="237"/>
      <c r="H1281" s="235"/>
      <c r="I1281" s="235"/>
      <c r="J1281" s="235"/>
      <c r="K1281" s="66"/>
    </row>
    <row r="1282" ht="12.75" customHeight="1">
      <c r="A1282" s="238"/>
      <c r="B1282" s="235"/>
      <c r="C1282" s="235"/>
      <c r="D1282" s="236"/>
      <c r="E1282" s="235"/>
      <c r="F1282" s="235"/>
      <c r="G1282" s="237"/>
      <c r="H1282" s="235"/>
      <c r="I1282" s="235"/>
      <c r="J1282" s="235"/>
      <c r="K1282" s="66"/>
    </row>
    <row r="1283" ht="12.75" customHeight="1">
      <c r="A1283" s="238"/>
      <c r="B1283" s="235"/>
      <c r="C1283" s="235"/>
      <c r="D1283" s="236"/>
      <c r="E1283" s="235"/>
      <c r="F1283" s="235"/>
      <c r="G1283" s="237"/>
      <c r="H1283" s="235"/>
      <c r="I1283" s="235"/>
      <c r="J1283" s="235"/>
      <c r="K1283" s="66"/>
    </row>
    <row r="1284" ht="12.75" customHeight="1">
      <c r="A1284" s="238"/>
      <c r="B1284" s="235"/>
      <c r="C1284" s="235"/>
      <c r="D1284" s="236"/>
      <c r="E1284" s="235"/>
      <c r="F1284" s="235"/>
      <c r="G1284" s="237"/>
      <c r="H1284" s="235"/>
      <c r="I1284" s="235"/>
      <c r="J1284" s="235"/>
      <c r="K1284" s="66"/>
    </row>
    <row r="1285" ht="12.75" customHeight="1">
      <c r="A1285" s="238"/>
      <c r="B1285" s="235"/>
      <c r="C1285" s="235"/>
      <c r="D1285" s="236"/>
      <c r="E1285" s="235"/>
      <c r="F1285" s="235"/>
      <c r="G1285" s="237"/>
      <c r="H1285" s="235"/>
      <c r="I1285" s="235"/>
      <c r="J1285" s="235"/>
      <c r="K1285" s="66"/>
    </row>
    <row r="1286" ht="12.75" customHeight="1">
      <c r="A1286" s="238"/>
      <c r="B1286" s="235"/>
      <c r="C1286" s="235"/>
      <c r="D1286" s="236"/>
      <c r="E1286" s="235"/>
      <c r="F1286" s="235"/>
      <c r="G1286" s="237"/>
      <c r="H1286" s="235"/>
      <c r="I1286" s="235"/>
      <c r="J1286" s="235"/>
      <c r="K1286" s="66"/>
    </row>
    <row r="1287" ht="12.75" customHeight="1">
      <c r="A1287" s="238"/>
      <c r="B1287" s="235"/>
      <c r="C1287" s="235"/>
      <c r="D1287" s="236"/>
      <c r="E1287" s="235"/>
      <c r="F1287" s="235"/>
      <c r="G1287" s="237"/>
      <c r="H1287" s="235"/>
      <c r="I1287" s="235"/>
      <c r="J1287" s="235"/>
      <c r="K1287" s="66"/>
    </row>
    <row r="1288" ht="12.75" customHeight="1">
      <c r="A1288" s="238"/>
      <c r="B1288" s="235"/>
      <c r="C1288" s="235"/>
      <c r="D1288" s="236"/>
      <c r="E1288" s="235"/>
      <c r="F1288" s="235"/>
      <c r="G1288" s="237"/>
      <c r="H1288" s="235"/>
      <c r="I1288" s="235"/>
      <c r="J1288" s="235"/>
      <c r="K1288" s="66"/>
    </row>
    <row r="1289" ht="12.75" customHeight="1">
      <c r="A1289" s="238"/>
      <c r="B1289" s="235"/>
      <c r="C1289" s="235"/>
      <c r="D1289" s="236"/>
      <c r="E1289" s="235"/>
      <c r="F1289" s="235"/>
      <c r="G1289" s="237"/>
      <c r="H1289" s="235"/>
      <c r="I1289" s="235"/>
      <c r="J1289" s="235"/>
      <c r="K1289" s="66"/>
    </row>
    <row r="1290" ht="12.75" customHeight="1">
      <c r="A1290" s="238"/>
      <c r="B1290" s="235"/>
      <c r="C1290" s="235"/>
      <c r="D1290" s="236"/>
      <c r="E1290" s="235"/>
      <c r="F1290" s="235"/>
      <c r="G1290" s="237"/>
      <c r="H1290" s="235"/>
      <c r="I1290" s="235"/>
      <c r="J1290" s="235"/>
      <c r="K1290" s="66"/>
    </row>
    <row r="1291" ht="12.75" customHeight="1">
      <c r="A1291" s="238"/>
      <c r="B1291" s="235"/>
      <c r="C1291" s="235"/>
      <c r="D1291" s="236"/>
      <c r="E1291" s="235"/>
      <c r="F1291" s="235"/>
      <c r="G1291" s="237"/>
      <c r="H1291" s="235"/>
      <c r="I1291" s="235"/>
      <c r="J1291" s="235"/>
      <c r="K1291" s="66"/>
    </row>
    <row r="1292" ht="12.75" customHeight="1">
      <c r="A1292" s="238"/>
      <c r="B1292" s="235"/>
      <c r="C1292" s="235"/>
      <c r="D1292" s="236"/>
      <c r="E1292" s="235"/>
      <c r="F1292" s="235"/>
      <c r="G1292" s="237"/>
      <c r="H1292" s="235"/>
      <c r="I1292" s="235"/>
      <c r="J1292" s="235"/>
      <c r="K1292" s="66"/>
    </row>
    <row r="1293" ht="12.75" customHeight="1">
      <c r="A1293" s="238"/>
      <c r="B1293" s="235"/>
      <c r="C1293" s="235"/>
      <c r="D1293" s="236"/>
      <c r="E1293" s="235"/>
      <c r="F1293" s="235"/>
      <c r="G1293" s="237"/>
      <c r="H1293" s="235"/>
      <c r="I1293" s="235"/>
      <c r="J1293" s="235"/>
      <c r="K1293" s="66"/>
    </row>
    <row r="1294" ht="12.75" customHeight="1">
      <c r="A1294" s="238"/>
      <c r="B1294" s="235"/>
      <c r="C1294" s="235"/>
      <c r="D1294" s="236"/>
      <c r="E1294" s="235"/>
      <c r="F1294" s="235"/>
      <c r="G1294" s="237"/>
      <c r="H1294" s="235"/>
      <c r="I1294" s="235"/>
      <c r="J1294" s="235"/>
      <c r="K1294" s="66"/>
    </row>
    <row r="1295" ht="12.75" customHeight="1">
      <c r="A1295" s="238"/>
      <c r="B1295" s="235"/>
      <c r="C1295" s="235"/>
      <c r="D1295" s="236"/>
      <c r="E1295" s="235"/>
      <c r="F1295" s="235"/>
      <c r="G1295" s="237"/>
      <c r="H1295" s="235"/>
      <c r="I1295" s="235"/>
      <c r="J1295" s="235"/>
      <c r="K1295" s="66"/>
    </row>
    <row r="1296" ht="12.75" customHeight="1">
      <c r="A1296" s="238"/>
      <c r="B1296" s="235"/>
      <c r="C1296" s="235"/>
      <c r="D1296" s="236"/>
      <c r="E1296" s="235"/>
      <c r="F1296" s="235"/>
      <c r="G1296" s="237"/>
      <c r="H1296" s="235"/>
      <c r="I1296" s="235"/>
      <c r="J1296" s="235"/>
      <c r="K1296" s="66"/>
    </row>
    <row r="1297" ht="12.75" customHeight="1">
      <c r="A1297" s="238"/>
      <c r="B1297" s="235"/>
      <c r="C1297" s="235"/>
      <c r="D1297" s="236"/>
      <c r="E1297" s="235"/>
      <c r="F1297" s="235"/>
      <c r="G1297" s="237"/>
      <c r="H1297" s="235"/>
      <c r="I1297" s="235"/>
      <c r="J1297" s="235"/>
      <c r="K1297" s="66"/>
    </row>
    <row r="1298" ht="12.75" customHeight="1">
      <c r="A1298" s="238"/>
      <c r="B1298" s="235"/>
      <c r="C1298" s="235"/>
      <c r="D1298" s="236"/>
      <c r="E1298" s="235"/>
      <c r="F1298" s="235"/>
      <c r="G1298" s="237"/>
      <c r="H1298" s="235"/>
      <c r="I1298" s="235"/>
      <c r="J1298" s="235"/>
      <c r="K1298" s="66"/>
    </row>
    <row r="1299" ht="12.75" customHeight="1">
      <c r="A1299" s="238"/>
      <c r="B1299" s="235"/>
      <c r="C1299" s="235"/>
      <c r="D1299" s="236"/>
      <c r="E1299" s="235"/>
      <c r="F1299" s="235"/>
      <c r="G1299" s="237"/>
      <c r="H1299" s="235"/>
      <c r="I1299" s="235"/>
      <c r="J1299" s="235"/>
      <c r="K1299" s="66"/>
    </row>
    <row r="1300" ht="12.75" customHeight="1">
      <c r="A1300" s="238"/>
      <c r="B1300" s="235"/>
      <c r="C1300" s="235"/>
      <c r="D1300" s="236"/>
      <c r="E1300" s="235"/>
      <c r="F1300" s="235"/>
      <c r="G1300" s="237"/>
      <c r="H1300" s="235"/>
      <c r="I1300" s="235"/>
      <c r="J1300" s="235"/>
      <c r="K1300" s="66"/>
    </row>
    <row r="1301" ht="12.75" customHeight="1">
      <c r="A1301" s="238"/>
      <c r="B1301" s="235"/>
      <c r="C1301" s="235"/>
      <c r="D1301" s="236"/>
      <c r="E1301" s="235"/>
      <c r="F1301" s="235"/>
      <c r="G1301" s="237"/>
      <c r="H1301" s="235"/>
      <c r="I1301" s="235"/>
      <c r="J1301" s="235"/>
      <c r="K1301" s="66"/>
    </row>
    <row r="1302" ht="12.75" customHeight="1">
      <c r="A1302" s="238"/>
      <c r="B1302" s="235"/>
      <c r="C1302" s="235"/>
      <c r="D1302" s="236"/>
      <c r="E1302" s="235"/>
      <c r="F1302" s="235"/>
      <c r="G1302" s="237"/>
      <c r="H1302" s="235"/>
      <c r="I1302" s="235"/>
      <c r="J1302" s="235"/>
      <c r="K1302" s="66"/>
    </row>
    <row r="1303" ht="12.75" customHeight="1">
      <c r="A1303" s="238"/>
      <c r="B1303" s="235"/>
      <c r="C1303" s="235"/>
      <c r="D1303" s="236"/>
      <c r="E1303" s="235"/>
      <c r="F1303" s="235"/>
      <c r="G1303" s="237"/>
      <c r="H1303" s="235"/>
      <c r="I1303" s="235"/>
      <c r="J1303" s="235"/>
      <c r="K1303" s="66"/>
    </row>
    <row r="1304" ht="12.75" customHeight="1">
      <c r="A1304" s="238"/>
      <c r="B1304" s="235"/>
      <c r="C1304" s="235"/>
      <c r="D1304" s="236"/>
      <c r="E1304" s="235"/>
      <c r="F1304" s="235"/>
      <c r="G1304" s="237"/>
      <c r="H1304" s="235"/>
      <c r="I1304" s="235"/>
      <c r="J1304" s="235"/>
      <c r="K1304" s="66"/>
    </row>
    <row r="1305" ht="12.75" customHeight="1">
      <c r="A1305" s="238"/>
      <c r="B1305" s="235"/>
      <c r="C1305" s="235"/>
      <c r="D1305" s="236"/>
      <c r="E1305" s="235"/>
      <c r="F1305" s="235"/>
      <c r="G1305" s="237"/>
      <c r="H1305" s="235"/>
      <c r="I1305" s="235"/>
      <c r="J1305" s="235"/>
      <c r="K1305" s="66"/>
    </row>
    <row r="1306" ht="12.75" customHeight="1">
      <c r="A1306" s="238"/>
      <c r="B1306" s="235"/>
      <c r="C1306" s="235"/>
      <c r="D1306" s="236"/>
      <c r="E1306" s="235"/>
      <c r="F1306" s="235"/>
      <c r="G1306" s="237"/>
      <c r="H1306" s="235"/>
      <c r="I1306" s="235"/>
      <c r="J1306" s="235"/>
      <c r="K1306" s="66"/>
    </row>
    <row r="1307" ht="12.75" customHeight="1">
      <c r="A1307" s="238"/>
      <c r="B1307" s="235"/>
      <c r="C1307" s="235"/>
      <c r="D1307" s="236"/>
      <c r="E1307" s="235"/>
      <c r="F1307" s="235"/>
      <c r="G1307" s="237"/>
      <c r="H1307" s="235"/>
      <c r="I1307" s="235"/>
      <c r="J1307" s="235"/>
      <c r="K1307" s="66"/>
    </row>
    <row r="1308" ht="12.75" customHeight="1">
      <c r="A1308" s="238"/>
      <c r="B1308" s="235"/>
      <c r="C1308" s="235"/>
      <c r="D1308" s="236"/>
      <c r="E1308" s="235"/>
      <c r="F1308" s="235"/>
      <c r="G1308" s="237"/>
      <c r="H1308" s="235"/>
      <c r="I1308" s="235"/>
      <c r="J1308" s="235"/>
      <c r="K1308" s="66"/>
    </row>
    <row r="1309" ht="12.75" customHeight="1">
      <c r="A1309" s="238"/>
      <c r="B1309" s="235"/>
      <c r="C1309" s="235"/>
      <c r="D1309" s="236"/>
      <c r="E1309" s="235"/>
      <c r="F1309" s="235"/>
      <c r="G1309" s="237"/>
      <c r="H1309" s="235"/>
      <c r="I1309" s="235"/>
      <c r="J1309" s="235"/>
      <c r="K1309" s="66"/>
    </row>
    <row r="1310" ht="12.75" customHeight="1">
      <c r="A1310" s="238"/>
      <c r="B1310" s="235"/>
      <c r="C1310" s="235"/>
      <c r="D1310" s="236"/>
      <c r="E1310" s="235"/>
      <c r="F1310" s="235"/>
      <c r="G1310" s="237"/>
      <c r="H1310" s="235"/>
      <c r="I1310" s="235"/>
      <c r="J1310" s="235"/>
      <c r="K1310" s="66"/>
    </row>
    <row r="1311" ht="12.75" customHeight="1">
      <c r="A1311" s="238"/>
      <c r="B1311" s="235"/>
      <c r="C1311" s="235"/>
      <c r="D1311" s="236"/>
      <c r="E1311" s="235"/>
      <c r="F1311" s="235"/>
      <c r="G1311" s="237"/>
      <c r="H1311" s="235"/>
      <c r="I1311" s="235"/>
      <c r="J1311" s="235"/>
      <c r="K1311" s="66"/>
    </row>
    <row r="1312" ht="12.75" customHeight="1">
      <c r="A1312" s="238"/>
      <c r="B1312" s="235"/>
      <c r="C1312" s="235"/>
      <c r="D1312" s="236"/>
      <c r="E1312" s="235"/>
      <c r="F1312" s="235"/>
      <c r="G1312" s="237"/>
      <c r="H1312" s="235"/>
      <c r="I1312" s="235"/>
      <c r="J1312" s="235"/>
      <c r="K1312" s="66"/>
    </row>
    <row r="1313" ht="12.75" customHeight="1">
      <c r="A1313" s="238"/>
      <c r="B1313" s="235"/>
      <c r="C1313" s="235"/>
      <c r="D1313" s="236"/>
      <c r="E1313" s="235"/>
      <c r="F1313" s="235"/>
      <c r="G1313" s="237"/>
      <c r="H1313" s="235"/>
      <c r="I1313" s="235"/>
      <c r="J1313" s="235"/>
      <c r="K1313" s="66"/>
    </row>
    <row r="1314" ht="12.75" customHeight="1">
      <c r="A1314" s="238"/>
      <c r="B1314" s="235"/>
      <c r="C1314" s="235"/>
      <c r="D1314" s="236"/>
      <c r="E1314" s="235"/>
      <c r="F1314" s="235"/>
      <c r="G1314" s="237"/>
      <c r="H1314" s="235"/>
      <c r="I1314" s="235"/>
      <c r="J1314" s="235"/>
      <c r="K1314" s="66"/>
    </row>
    <row r="1315" ht="12.75" customHeight="1">
      <c r="A1315" s="238"/>
      <c r="B1315" s="235"/>
      <c r="C1315" s="235"/>
      <c r="D1315" s="236"/>
      <c r="E1315" s="235"/>
      <c r="F1315" s="235"/>
      <c r="G1315" s="237"/>
      <c r="H1315" s="235"/>
      <c r="I1315" s="235"/>
      <c r="J1315" s="235"/>
      <c r="K1315" s="66"/>
    </row>
    <row r="1316" ht="12.75" customHeight="1">
      <c r="A1316" s="238"/>
      <c r="B1316" s="235"/>
      <c r="C1316" s="235"/>
      <c r="D1316" s="236"/>
      <c r="E1316" s="235"/>
      <c r="F1316" s="235"/>
      <c r="G1316" s="237"/>
      <c r="H1316" s="235"/>
      <c r="I1316" s="235"/>
      <c r="J1316" s="235"/>
      <c r="K1316" s="66"/>
    </row>
    <row r="1317" ht="12.75" customHeight="1">
      <c r="A1317" s="238"/>
      <c r="B1317" s="235"/>
      <c r="C1317" s="235"/>
      <c r="D1317" s="236"/>
      <c r="E1317" s="235"/>
      <c r="F1317" s="235"/>
      <c r="G1317" s="237"/>
      <c r="H1317" s="235"/>
      <c r="I1317" s="235"/>
      <c r="J1317" s="235"/>
      <c r="K1317" s="66"/>
    </row>
    <row r="1318" ht="12.75" customHeight="1">
      <c r="A1318" s="238"/>
      <c r="B1318" s="235"/>
      <c r="C1318" s="235"/>
      <c r="D1318" s="236"/>
      <c r="E1318" s="235"/>
      <c r="F1318" s="235"/>
      <c r="G1318" s="237"/>
      <c r="H1318" s="235"/>
      <c r="I1318" s="235"/>
      <c r="J1318" s="235"/>
      <c r="K1318" s="66"/>
    </row>
    <row r="1319" ht="12.75" customHeight="1">
      <c r="A1319" s="238"/>
      <c r="B1319" s="235"/>
      <c r="C1319" s="235"/>
      <c r="D1319" s="236"/>
      <c r="E1319" s="235"/>
      <c r="F1319" s="235"/>
      <c r="G1319" s="237"/>
      <c r="H1319" s="235"/>
      <c r="I1319" s="235"/>
      <c r="J1319" s="235"/>
      <c r="K1319" s="66"/>
    </row>
    <row r="1320" ht="12.75" customHeight="1">
      <c r="A1320" s="238"/>
      <c r="B1320" s="235"/>
      <c r="C1320" s="235"/>
      <c r="D1320" s="236"/>
      <c r="E1320" s="235"/>
      <c r="F1320" s="235"/>
      <c r="G1320" s="237"/>
      <c r="H1320" s="235"/>
      <c r="I1320" s="235"/>
      <c r="J1320" s="235"/>
      <c r="K1320" s="66"/>
    </row>
    <row r="1321" ht="12.75" customHeight="1">
      <c r="A1321" s="238"/>
      <c r="B1321" s="235"/>
      <c r="C1321" s="235"/>
      <c r="D1321" s="236"/>
      <c r="E1321" s="235"/>
      <c r="F1321" s="235"/>
      <c r="G1321" s="237"/>
      <c r="H1321" s="235"/>
      <c r="I1321" s="235"/>
      <c r="J1321" s="235"/>
      <c r="K1321" s="66"/>
    </row>
    <row r="1322" ht="12.75" customHeight="1">
      <c r="A1322" s="238"/>
      <c r="B1322" s="235"/>
      <c r="C1322" s="235"/>
      <c r="D1322" s="236"/>
      <c r="E1322" s="235"/>
      <c r="F1322" s="235"/>
      <c r="G1322" s="237"/>
      <c r="H1322" s="235"/>
      <c r="I1322" s="235"/>
      <c r="J1322" s="235"/>
      <c r="K1322" s="66"/>
    </row>
    <row r="1323" ht="12.75" customHeight="1">
      <c r="A1323" s="238"/>
      <c r="B1323" s="235"/>
      <c r="C1323" s="235"/>
      <c r="D1323" s="236"/>
      <c r="E1323" s="235"/>
      <c r="F1323" s="235"/>
      <c r="G1323" s="237"/>
      <c r="H1323" s="235"/>
      <c r="I1323" s="235"/>
      <c r="J1323" s="235"/>
      <c r="K1323" s="66"/>
    </row>
    <row r="1324" ht="12.75" customHeight="1">
      <c r="A1324" s="238"/>
      <c r="B1324" s="235"/>
      <c r="C1324" s="235"/>
      <c r="D1324" s="236"/>
      <c r="E1324" s="235"/>
      <c r="F1324" s="235"/>
      <c r="G1324" s="237"/>
      <c r="H1324" s="235"/>
      <c r="I1324" s="235"/>
      <c r="J1324" s="235"/>
      <c r="K1324" s="66"/>
    </row>
    <row r="1325" ht="12.75" customHeight="1">
      <c r="A1325" s="238"/>
      <c r="B1325" s="235"/>
      <c r="C1325" s="235"/>
      <c r="D1325" s="236"/>
      <c r="E1325" s="235"/>
      <c r="F1325" s="235"/>
      <c r="G1325" s="237"/>
      <c r="H1325" s="235"/>
      <c r="I1325" s="235"/>
      <c r="J1325" s="235"/>
      <c r="K1325" s="66"/>
    </row>
    <row r="1326" ht="12.75" customHeight="1">
      <c r="A1326" s="238"/>
      <c r="B1326" s="235"/>
      <c r="C1326" s="235"/>
      <c r="D1326" s="236"/>
      <c r="E1326" s="235"/>
      <c r="F1326" s="235"/>
      <c r="G1326" s="237"/>
      <c r="H1326" s="235"/>
      <c r="I1326" s="235"/>
      <c r="J1326" s="235"/>
      <c r="K1326" s="66"/>
    </row>
    <row r="1327" ht="12.75" customHeight="1">
      <c r="A1327" s="238"/>
      <c r="B1327" s="235"/>
      <c r="C1327" s="235"/>
      <c r="D1327" s="236"/>
      <c r="E1327" s="235"/>
      <c r="F1327" s="235"/>
      <c r="G1327" s="237"/>
      <c r="H1327" s="235"/>
      <c r="I1327" s="235"/>
      <c r="J1327" s="235"/>
      <c r="K1327" s="66"/>
    </row>
    <row r="1328" ht="12.75" customHeight="1">
      <c r="A1328" s="238"/>
      <c r="B1328" s="235"/>
      <c r="C1328" s="235"/>
      <c r="D1328" s="236"/>
      <c r="E1328" s="235"/>
      <c r="F1328" s="235"/>
      <c r="G1328" s="237"/>
      <c r="H1328" s="235"/>
      <c r="I1328" s="235"/>
      <c r="J1328" s="235"/>
      <c r="K1328" s="66"/>
    </row>
    <row r="1329" ht="12.75" customHeight="1">
      <c r="A1329" s="238"/>
      <c r="B1329" s="235"/>
      <c r="C1329" s="235"/>
      <c r="D1329" s="236"/>
      <c r="E1329" s="235"/>
      <c r="F1329" s="235"/>
      <c r="G1329" s="237"/>
      <c r="H1329" s="235"/>
      <c r="I1329" s="235"/>
      <c r="J1329" s="235"/>
      <c r="K1329" s="66"/>
    </row>
    <row r="1330" ht="12.75" customHeight="1">
      <c r="A1330" s="238"/>
      <c r="B1330" s="235"/>
      <c r="C1330" s="235"/>
      <c r="D1330" s="236"/>
      <c r="E1330" s="235"/>
      <c r="F1330" s="235"/>
      <c r="G1330" s="237"/>
      <c r="H1330" s="235"/>
      <c r="I1330" s="235"/>
      <c r="J1330" s="235"/>
      <c r="K1330" s="66"/>
    </row>
    <row r="1331" ht="12.75" customHeight="1">
      <c r="A1331" s="238"/>
      <c r="B1331" s="235"/>
      <c r="C1331" s="235"/>
      <c r="D1331" s="236"/>
      <c r="E1331" s="235"/>
      <c r="F1331" s="235"/>
      <c r="G1331" s="237"/>
      <c r="H1331" s="235"/>
      <c r="I1331" s="235"/>
      <c r="J1331" s="235"/>
      <c r="K1331" s="66"/>
    </row>
    <row r="1332" ht="12.75" customHeight="1">
      <c r="A1332" s="238"/>
      <c r="B1332" s="235"/>
      <c r="C1332" s="235"/>
      <c r="D1332" s="236"/>
      <c r="E1332" s="235"/>
      <c r="F1332" s="235"/>
      <c r="G1332" s="237"/>
      <c r="H1332" s="235"/>
      <c r="I1332" s="235"/>
      <c r="J1332" s="235"/>
      <c r="K1332" s="66"/>
    </row>
    <row r="1333" ht="12.75" customHeight="1">
      <c r="A1333" s="238"/>
      <c r="B1333" s="235"/>
      <c r="C1333" s="235"/>
      <c r="D1333" s="236"/>
      <c r="E1333" s="235"/>
      <c r="F1333" s="235"/>
      <c r="G1333" s="237"/>
      <c r="H1333" s="235"/>
      <c r="I1333" s="235"/>
      <c r="J1333" s="235"/>
      <c r="K1333" s="66"/>
    </row>
    <row r="1334" ht="12.75" customHeight="1">
      <c r="A1334" s="238"/>
      <c r="B1334" s="235"/>
      <c r="C1334" s="235"/>
      <c r="D1334" s="236"/>
      <c r="E1334" s="235"/>
      <c r="F1334" s="235"/>
      <c r="G1334" s="237"/>
      <c r="H1334" s="235"/>
      <c r="I1334" s="235"/>
      <c r="J1334" s="235"/>
      <c r="K1334" s="66"/>
    </row>
    <row r="1335" ht="12.75" customHeight="1">
      <c r="A1335" s="238"/>
      <c r="B1335" s="235"/>
      <c r="C1335" s="235"/>
      <c r="D1335" s="236"/>
      <c r="E1335" s="235"/>
      <c r="F1335" s="235"/>
      <c r="G1335" s="237"/>
      <c r="H1335" s="235"/>
      <c r="I1335" s="235"/>
      <c r="J1335" s="235"/>
      <c r="K1335" s="66"/>
    </row>
    <row r="1336" ht="12.75" customHeight="1">
      <c r="A1336" s="238"/>
      <c r="B1336" s="235"/>
      <c r="C1336" s="235"/>
      <c r="D1336" s="236"/>
      <c r="E1336" s="235"/>
      <c r="F1336" s="235"/>
      <c r="G1336" s="237"/>
      <c r="H1336" s="235"/>
      <c r="I1336" s="235"/>
      <c r="J1336" s="235"/>
      <c r="K1336" s="66"/>
    </row>
    <row r="1337" ht="12.75" customHeight="1">
      <c r="A1337" s="238"/>
      <c r="B1337" s="235"/>
      <c r="C1337" s="235"/>
      <c r="D1337" s="236"/>
      <c r="E1337" s="235"/>
      <c r="F1337" s="235"/>
      <c r="G1337" s="237"/>
      <c r="H1337" s="235"/>
      <c r="I1337" s="235"/>
      <c r="J1337" s="235"/>
      <c r="K1337" s="66"/>
    </row>
    <row r="1338" ht="12.75" customHeight="1">
      <c r="A1338" s="238"/>
      <c r="B1338" s="235"/>
      <c r="C1338" s="235"/>
      <c r="D1338" s="236"/>
      <c r="E1338" s="235"/>
      <c r="F1338" s="235"/>
      <c r="G1338" s="237"/>
      <c r="H1338" s="235"/>
      <c r="I1338" s="235"/>
      <c r="J1338" s="235"/>
      <c r="K1338" s="66"/>
    </row>
    <row r="1339" ht="12.75" customHeight="1">
      <c r="A1339" s="238"/>
      <c r="B1339" s="235"/>
      <c r="C1339" s="235"/>
      <c r="D1339" s="236"/>
      <c r="E1339" s="235"/>
      <c r="F1339" s="235"/>
      <c r="G1339" s="237"/>
      <c r="H1339" s="235"/>
      <c r="I1339" s="235"/>
      <c r="J1339" s="235"/>
      <c r="K1339" s="66"/>
    </row>
    <row r="1340" ht="12.75" customHeight="1">
      <c r="A1340" s="238"/>
      <c r="B1340" s="235"/>
      <c r="C1340" s="235"/>
      <c r="D1340" s="236"/>
      <c r="E1340" s="235"/>
      <c r="F1340" s="235"/>
      <c r="G1340" s="237"/>
      <c r="H1340" s="235"/>
      <c r="I1340" s="235"/>
      <c r="J1340" s="235"/>
      <c r="K1340" s="66"/>
    </row>
    <row r="1341" ht="12.75" customHeight="1">
      <c r="A1341" s="238"/>
      <c r="B1341" s="235"/>
      <c r="C1341" s="235"/>
      <c r="D1341" s="236"/>
      <c r="E1341" s="235"/>
      <c r="F1341" s="235"/>
      <c r="G1341" s="237"/>
      <c r="H1341" s="235"/>
      <c r="I1341" s="235"/>
      <c r="J1341" s="235"/>
      <c r="K1341" s="66"/>
    </row>
    <row r="1342" ht="12.75" customHeight="1">
      <c r="A1342" s="238"/>
      <c r="B1342" s="235"/>
      <c r="C1342" s="235"/>
      <c r="D1342" s="236"/>
      <c r="E1342" s="235"/>
      <c r="F1342" s="235"/>
      <c r="G1342" s="237"/>
      <c r="H1342" s="235"/>
      <c r="I1342" s="235"/>
      <c r="J1342" s="235"/>
      <c r="K1342" s="66"/>
    </row>
    <row r="1343" ht="12.75" customHeight="1">
      <c r="A1343" s="238"/>
      <c r="B1343" s="235"/>
      <c r="C1343" s="235"/>
      <c r="D1343" s="236"/>
      <c r="E1343" s="235"/>
      <c r="F1343" s="235"/>
      <c r="G1343" s="237"/>
      <c r="H1343" s="235"/>
      <c r="I1343" s="235"/>
      <c r="J1343" s="235"/>
      <c r="K1343" s="66"/>
    </row>
    <row r="1344" ht="12.75" customHeight="1">
      <c r="A1344" s="238"/>
      <c r="B1344" s="235"/>
      <c r="C1344" s="235"/>
      <c r="D1344" s="236"/>
      <c r="E1344" s="235"/>
      <c r="F1344" s="235"/>
      <c r="G1344" s="237"/>
      <c r="H1344" s="235"/>
      <c r="I1344" s="235"/>
      <c r="J1344" s="235"/>
      <c r="K1344" s="66"/>
    </row>
    <row r="1345" ht="12.75" customHeight="1">
      <c r="A1345" s="238"/>
      <c r="B1345" s="235"/>
      <c r="C1345" s="235"/>
      <c r="D1345" s="236"/>
      <c r="E1345" s="235"/>
      <c r="F1345" s="235"/>
      <c r="G1345" s="237"/>
      <c r="H1345" s="235"/>
      <c r="I1345" s="235"/>
      <c r="J1345" s="235"/>
      <c r="K1345" s="66"/>
    </row>
    <row r="1346" ht="12.75" customHeight="1">
      <c r="A1346" s="238"/>
      <c r="B1346" s="235"/>
      <c r="C1346" s="235"/>
      <c r="D1346" s="236"/>
      <c r="E1346" s="235"/>
      <c r="F1346" s="235"/>
      <c r="G1346" s="237"/>
      <c r="H1346" s="235"/>
      <c r="I1346" s="235"/>
      <c r="J1346" s="235"/>
      <c r="K1346" s="66"/>
    </row>
    <row r="1347" ht="12.75" customHeight="1">
      <c r="A1347" s="238"/>
      <c r="B1347" s="235"/>
      <c r="C1347" s="235"/>
      <c r="D1347" s="236"/>
      <c r="E1347" s="235"/>
      <c r="F1347" s="235"/>
      <c r="G1347" s="237"/>
      <c r="H1347" s="235"/>
      <c r="I1347" s="235"/>
      <c r="J1347" s="235"/>
      <c r="K1347" s="66"/>
    </row>
    <row r="1348" ht="12.75" customHeight="1">
      <c r="A1348" s="238"/>
      <c r="B1348" s="235"/>
      <c r="C1348" s="235"/>
      <c r="D1348" s="236"/>
      <c r="E1348" s="235"/>
      <c r="F1348" s="235"/>
      <c r="G1348" s="237"/>
      <c r="H1348" s="235"/>
      <c r="I1348" s="235"/>
      <c r="J1348" s="235"/>
      <c r="K1348" s="66"/>
    </row>
    <row r="1349" ht="12.75" customHeight="1">
      <c r="A1349" s="238"/>
      <c r="B1349" s="235"/>
      <c r="C1349" s="235"/>
      <c r="D1349" s="236"/>
      <c r="E1349" s="235"/>
      <c r="F1349" s="235"/>
      <c r="G1349" s="237"/>
      <c r="H1349" s="235"/>
      <c r="I1349" s="235"/>
      <c r="J1349" s="235"/>
      <c r="K1349" s="66"/>
    </row>
    <row r="1350" ht="12.75" customHeight="1">
      <c r="A1350" s="238"/>
      <c r="B1350" s="235"/>
      <c r="C1350" s="235"/>
      <c r="D1350" s="236"/>
      <c r="E1350" s="235"/>
      <c r="F1350" s="235"/>
      <c r="G1350" s="237"/>
      <c r="H1350" s="235"/>
      <c r="I1350" s="235"/>
      <c r="J1350" s="235"/>
      <c r="K1350" s="66"/>
    </row>
    <row r="1351" ht="12.75" customHeight="1">
      <c r="A1351" s="238"/>
      <c r="B1351" s="235"/>
      <c r="C1351" s="235"/>
      <c r="D1351" s="236"/>
      <c r="E1351" s="235"/>
      <c r="F1351" s="235"/>
      <c r="G1351" s="237"/>
      <c r="H1351" s="235"/>
      <c r="I1351" s="235"/>
      <c r="J1351" s="235"/>
      <c r="K1351" s="66"/>
    </row>
    <row r="1352" ht="12.75" customHeight="1">
      <c r="A1352" s="238"/>
      <c r="B1352" s="235"/>
      <c r="C1352" s="235"/>
      <c r="D1352" s="236"/>
      <c r="E1352" s="235"/>
      <c r="F1352" s="235"/>
      <c r="G1352" s="237"/>
      <c r="H1352" s="235"/>
      <c r="I1352" s="235"/>
      <c r="J1352" s="235"/>
      <c r="K1352" s="66"/>
    </row>
    <row r="1353" ht="12.75" customHeight="1">
      <c r="A1353" s="238"/>
      <c r="B1353" s="235"/>
      <c r="C1353" s="235"/>
      <c r="D1353" s="236"/>
      <c r="E1353" s="235"/>
      <c r="F1353" s="235"/>
      <c r="G1353" s="237"/>
      <c r="H1353" s="235"/>
      <c r="I1353" s="235"/>
      <c r="J1353" s="235"/>
      <c r="K1353" s="66"/>
    </row>
    <row r="1354" ht="12.75" customHeight="1">
      <c r="A1354" s="238"/>
      <c r="B1354" s="235"/>
      <c r="C1354" s="235"/>
      <c r="D1354" s="236"/>
      <c r="E1354" s="235"/>
      <c r="F1354" s="235"/>
      <c r="G1354" s="237"/>
      <c r="H1354" s="235"/>
      <c r="I1354" s="235"/>
      <c r="J1354" s="235"/>
      <c r="K1354" s="66"/>
    </row>
    <row r="1355" ht="12.75" customHeight="1">
      <c r="A1355" s="238"/>
      <c r="B1355" s="235"/>
      <c r="C1355" s="235"/>
      <c r="D1355" s="236"/>
      <c r="E1355" s="235"/>
      <c r="F1355" s="235"/>
      <c r="G1355" s="237"/>
      <c r="H1355" s="235"/>
      <c r="I1355" s="235"/>
      <c r="J1355" s="235"/>
      <c r="K1355" s="66"/>
    </row>
    <row r="1356" ht="12.75" customHeight="1">
      <c r="A1356" s="238"/>
      <c r="B1356" s="235"/>
      <c r="C1356" s="235"/>
      <c r="D1356" s="236"/>
      <c r="E1356" s="235"/>
      <c r="F1356" s="235"/>
      <c r="G1356" s="237"/>
      <c r="H1356" s="235"/>
      <c r="I1356" s="235"/>
      <c r="J1356" s="235"/>
      <c r="K1356" s="66"/>
    </row>
    <row r="1357" ht="12.75" customHeight="1">
      <c r="A1357" s="238"/>
      <c r="B1357" s="235"/>
      <c r="C1357" s="235"/>
      <c r="D1357" s="236"/>
      <c r="E1357" s="235"/>
      <c r="F1357" s="235"/>
      <c r="G1357" s="237"/>
      <c r="H1357" s="235"/>
      <c r="I1357" s="235"/>
      <c r="J1357" s="235"/>
      <c r="K1357" s="66"/>
    </row>
    <row r="1358" ht="12.75" customHeight="1">
      <c r="A1358" s="238"/>
      <c r="B1358" s="235"/>
      <c r="C1358" s="235"/>
      <c r="D1358" s="236"/>
      <c r="E1358" s="235"/>
      <c r="F1358" s="235"/>
      <c r="G1358" s="237"/>
      <c r="H1358" s="235"/>
      <c r="I1358" s="235"/>
      <c r="J1358" s="235"/>
      <c r="K1358" s="66"/>
    </row>
    <row r="1359" ht="12.75" customHeight="1">
      <c r="A1359" s="238"/>
      <c r="B1359" s="235"/>
      <c r="C1359" s="235"/>
      <c r="D1359" s="236"/>
      <c r="E1359" s="235"/>
      <c r="F1359" s="235"/>
      <c r="G1359" s="237"/>
      <c r="H1359" s="235"/>
      <c r="I1359" s="235"/>
      <c r="J1359" s="235"/>
      <c r="K1359" s="66"/>
    </row>
    <row r="1360" ht="12.75" customHeight="1">
      <c r="A1360" s="238"/>
      <c r="B1360" s="235"/>
      <c r="C1360" s="235"/>
      <c r="D1360" s="236"/>
      <c r="E1360" s="235"/>
      <c r="F1360" s="235"/>
      <c r="G1360" s="237"/>
      <c r="H1360" s="235"/>
      <c r="I1360" s="235"/>
      <c r="J1360" s="235"/>
      <c r="K1360" s="66"/>
    </row>
    <row r="1361" ht="12.75" customHeight="1">
      <c r="A1361" s="238"/>
      <c r="B1361" s="235"/>
      <c r="C1361" s="235"/>
      <c r="D1361" s="236"/>
      <c r="E1361" s="235"/>
      <c r="F1361" s="235"/>
      <c r="G1361" s="237"/>
      <c r="H1361" s="235"/>
      <c r="I1361" s="235"/>
      <c r="J1361" s="235"/>
      <c r="K1361" s="66"/>
    </row>
    <row r="1362" ht="12.75" customHeight="1">
      <c r="A1362" s="238"/>
      <c r="B1362" s="235"/>
      <c r="C1362" s="235"/>
      <c r="D1362" s="236"/>
      <c r="E1362" s="235"/>
      <c r="F1362" s="235"/>
      <c r="G1362" s="237"/>
      <c r="H1362" s="235"/>
      <c r="I1362" s="235"/>
      <c r="J1362" s="235"/>
      <c r="K1362" s="66"/>
    </row>
    <row r="1363" ht="12.75" customHeight="1">
      <c r="A1363" s="238"/>
      <c r="B1363" s="235"/>
      <c r="C1363" s="235"/>
      <c r="D1363" s="236"/>
      <c r="E1363" s="235"/>
      <c r="F1363" s="235"/>
      <c r="G1363" s="237"/>
      <c r="H1363" s="235"/>
      <c r="I1363" s="235"/>
      <c r="J1363" s="235"/>
      <c r="K1363" s="66"/>
    </row>
    <row r="1364" ht="12.75" customHeight="1">
      <c r="A1364" s="238"/>
      <c r="B1364" s="235"/>
      <c r="C1364" s="235"/>
      <c r="D1364" s="236"/>
      <c r="E1364" s="235"/>
      <c r="F1364" s="235"/>
      <c r="G1364" s="237"/>
      <c r="H1364" s="235"/>
      <c r="I1364" s="235"/>
      <c r="J1364" s="235"/>
      <c r="K1364" s="66"/>
    </row>
    <row r="1365" ht="12.75" customHeight="1">
      <c r="A1365" s="238"/>
      <c r="B1365" s="235"/>
      <c r="C1365" s="235"/>
      <c r="D1365" s="236"/>
      <c r="E1365" s="235"/>
      <c r="F1365" s="235"/>
      <c r="G1365" s="237"/>
      <c r="H1365" s="235"/>
      <c r="I1365" s="235"/>
      <c r="J1365" s="235"/>
      <c r="K1365" s="66"/>
    </row>
    <row r="1366" ht="12.75" customHeight="1">
      <c r="A1366" s="238"/>
      <c r="B1366" s="235"/>
      <c r="C1366" s="235"/>
      <c r="D1366" s="236"/>
      <c r="E1366" s="235"/>
      <c r="F1366" s="235"/>
      <c r="G1366" s="237"/>
      <c r="H1366" s="235"/>
      <c r="I1366" s="235"/>
      <c r="J1366" s="235"/>
      <c r="K1366" s="66"/>
    </row>
    <row r="1367" ht="12.75" customHeight="1">
      <c r="A1367" s="238"/>
      <c r="B1367" s="235"/>
      <c r="C1367" s="235"/>
      <c r="D1367" s="236"/>
      <c r="E1367" s="235"/>
      <c r="F1367" s="235"/>
      <c r="G1367" s="237"/>
      <c r="H1367" s="235"/>
      <c r="I1367" s="235"/>
      <c r="J1367" s="235"/>
      <c r="K1367" s="66"/>
    </row>
    <row r="1368" ht="12.75" customHeight="1">
      <c r="A1368" s="238"/>
      <c r="B1368" s="235"/>
      <c r="C1368" s="235"/>
      <c r="D1368" s="236"/>
      <c r="E1368" s="235"/>
      <c r="F1368" s="235"/>
      <c r="G1368" s="237"/>
      <c r="H1368" s="235"/>
      <c r="I1368" s="235"/>
      <c r="J1368" s="235"/>
      <c r="K1368" s="66"/>
    </row>
    <row r="1369" ht="12.75" customHeight="1">
      <c r="A1369" s="238"/>
      <c r="B1369" s="235"/>
      <c r="C1369" s="235"/>
      <c r="D1369" s="236"/>
      <c r="E1369" s="235"/>
      <c r="F1369" s="235"/>
      <c r="G1369" s="237"/>
      <c r="H1369" s="235"/>
      <c r="I1369" s="235"/>
      <c r="J1369" s="235"/>
      <c r="K1369" s="66"/>
    </row>
    <row r="1370" ht="12.75" customHeight="1">
      <c r="A1370" s="238"/>
      <c r="B1370" s="235"/>
      <c r="C1370" s="235"/>
      <c r="D1370" s="236"/>
      <c r="E1370" s="235"/>
      <c r="F1370" s="235"/>
      <c r="G1370" s="237"/>
      <c r="H1370" s="235"/>
      <c r="I1370" s="235"/>
      <c r="J1370" s="235"/>
      <c r="K1370" s="66"/>
    </row>
    <row r="1371" ht="12.75" customHeight="1">
      <c r="A1371" s="238"/>
      <c r="B1371" s="235"/>
      <c r="C1371" s="235"/>
      <c r="D1371" s="236"/>
      <c r="E1371" s="235"/>
      <c r="F1371" s="235"/>
      <c r="G1371" s="237"/>
      <c r="H1371" s="235"/>
      <c r="I1371" s="235"/>
      <c r="J1371" s="235"/>
      <c r="K1371" s="66"/>
    </row>
    <row r="1372" ht="12.75" customHeight="1">
      <c r="A1372" s="238"/>
      <c r="B1372" s="235"/>
      <c r="C1372" s="235"/>
      <c r="D1372" s="236"/>
      <c r="E1372" s="235"/>
      <c r="F1372" s="235"/>
      <c r="G1372" s="237"/>
      <c r="H1372" s="235"/>
      <c r="I1372" s="235"/>
      <c r="J1372" s="235"/>
      <c r="K1372" s="66"/>
    </row>
    <row r="1373" ht="12.75" customHeight="1">
      <c r="A1373" s="238"/>
      <c r="B1373" s="235"/>
      <c r="C1373" s="235"/>
      <c r="D1373" s="236"/>
      <c r="E1373" s="235"/>
      <c r="F1373" s="235"/>
      <c r="G1373" s="237"/>
      <c r="H1373" s="235"/>
      <c r="I1373" s="235"/>
      <c r="J1373" s="235"/>
      <c r="K1373" s="66"/>
    </row>
    <row r="1374" ht="12.75" customHeight="1">
      <c r="A1374" s="238"/>
      <c r="B1374" s="235"/>
      <c r="C1374" s="235"/>
      <c r="D1374" s="236"/>
      <c r="E1374" s="235"/>
      <c r="F1374" s="235"/>
      <c r="G1374" s="237"/>
      <c r="H1374" s="235"/>
      <c r="I1374" s="235"/>
      <c r="J1374" s="235"/>
      <c r="K1374" s="66"/>
    </row>
    <row r="1375" ht="12.75" customHeight="1">
      <c r="A1375" s="238"/>
      <c r="B1375" s="235"/>
      <c r="C1375" s="235"/>
      <c r="D1375" s="236"/>
      <c r="E1375" s="235"/>
      <c r="F1375" s="235"/>
      <c r="G1375" s="237"/>
      <c r="H1375" s="235"/>
      <c r="I1375" s="235"/>
      <c r="J1375" s="235"/>
      <c r="K1375" s="66"/>
    </row>
    <row r="1376" ht="12.75" customHeight="1">
      <c r="A1376" s="238"/>
      <c r="B1376" s="235"/>
      <c r="C1376" s="235"/>
      <c r="D1376" s="236"/>
      <c r="E1376" s="235"/>
      <c r="F1376" s="235"/>
      <c r="G1376" s="237"/>
      <c r="H1376" s="235"/>
      <c r="I1376" s="235"/>
      <c r="J1376" s="235"/>
      <c r="K1376" s="66"/>
    </row>
    <row r="1377" ht="12.75" customHeight="1">
      <c r="A1377" s="238"/>
      <c r="B1377" s="235"/>
      <c r="C1377" s="235"/>
      <c r="D1377" s="236"/>
      <c r="E1377" s="235"/>
      <c r="F1377" s="235"/>
      <c r="G1377" s="237"/>
      <c r="H1377" s="235"/>
      <c r="I1377" s="235"/>
      <c r="J1377" s="235"/>
      <c r="K1377" s="66"/>
    </row>
    <row r="1378" ht="12.75" customHeight="1">
      <c r="A1378" s="238"/>
      <c r="B1378" s="235"/>
      <c r="C1378" s="235"/>
      <c r="D1378" s="236"/>
      <c r="E1378" s="235"/>
      <c r="F1378" s="235"/>
      <c r="G1378" s="237"/>
      <c r="H1378" s="235"/>
      <c r="I1378" s="235"/>
      <c r="J1378" s="235"/>
      <c r="K1378" s="66"/>
    </row>
    <row r="1379" ht="12.75" customHeight="1">
      <c r="A1379" s="238"/>
      <c r="B1379" s="235"/>
      <c r="C1379" s="235"/>
      <c r="D1379" s="236"/>
      <c r="E1379" s="235"/>
      <c r="F1379" s="235"/>
      <c r="G1379" s="237"/>
      <c r="H1379" s="235"/>
      <c r="I1379" s="235"/>
      <c r="J1379" s="235"/>
      <c r="K1379" s="66"/>
    </row>
    <row r="1380" ht="12.75" customHeight="1">
      <c r="A1380" s="238"/>
      <c r="B1380" s="235"/>
      <c r="C1380" s="235"/>
      <c r="D1380" s="236"/>
      <c r="E1380" s="235"/>
      <c r="F1380" s="235"/>
      <c r="G1380" s="237"/>
      <c r="H1380" s="235"/>
      <c r="I1380" s="235"/>
      <c r="J1380" s="235"/>
      <c r="K1380" s="66"/>
    </row>
    <row r="1381" ht="12.75" customHeight="1">
      <c r="A1381" s="238"/>
      <c r="B1381" s="235"/>
      <c r="C1381" s="235"/>
      <c r="D1381" s="236"/>
      <c r="E1381" s="235"/>
      <c r="F1381" s="235"/>
      <c r="G1381" s="237"/>
      <c r="H1381" s="235"/>
      <c r="I1381" s="235"/>
      <c r="J1381" s="235"/>
      <c r="K1381" s="66"/>
    </row>
    <row r="1382" ht="12.75" customHeight="1">
      <c r="A1382" s="238"/>
      <c r="B1382" s="235"/>
      <c r="C1382" s="235"/>
      <c r="D1382" s="236"/>
      <c r="E1382" s="235"/>
      <c r="F1382" s="235"/>
      <c r="G1382" s="237"/>
      <c r="H1382" s="235"/>
      <c r="I1382" s="235"/>
      <c r="J1382" s="235"/>
      <c r="K1382" s="66"/>
    </row>
    <row r="1383" ht="12.75" customHeight="1">
      <c r="A1383" s="238"/>
      <c r="B1383" s="235"/>
      <c r="C1383" s="235"/>
      <c r="D1383" s="236"/>
      <c r="E1383" s="235"/>
      <c r="F1383" s="235"/>
      <c r="G1383" s="237"/>
      <c r="H1383" s="235"/>
      <c r="I1383" s="235"/>
      <c r="J1383" s="235"/>
      <c r="K1383" s="66"/>
    </row>
    <row r="1384" ht="12.75" customHeight="1">
      <c r="A1384" s="238"/>
      <c r="B1384" s="235"/>
      <c r="C1384" s="235"/>
      <c r="D1384" s="236"/>
      <c r="E1384" s="235"/>
      <c r="F1384" s="235"/>
      <c r="G1384" s="237"/>
      <c r="H1384" s="235"/>
      <c r="I1384" s="235"/>
      <c r="J1384" s="235"/>
      <c r="K1384" s="66"/>
    </row>
    <row r="1385" ht="12.75" customHeight="1">
      <c r="A1385" s="238"/>
      <c r="B1385" s="235"/>
      <c r="C1385" s="235"/>
      <c r="D1385" s="236"/>
      <c r="E1385" s="235"/>
      <c r="F1385" s="235"/>
      <c r="G1385" s="237"/>
      <c r="H1385" s="235"/>
      <c r="I1385" s="235"/>
      <c r="J1385" s="235"/>
      <c r="K1385" s="66"/>
    </row>
    <row r="1386" ht="12.75" customHeight="1">
      <c r="A1386" s="238"/>
      <c r="B1386" s="235"/>
      <c r="C1386" s="235"/>
      <c r="D1386" s="236"/>
      <c r="E1386" s="235"/>
      <c r="F1386" s="235"/>
      <c r="G1386" s="237"/>
      <c r="H1386" s="235"/>
      <c r="I1386" s="235"/>
      <c r="J1386" s="235"/>
      <c r="K1386" s="66"/>
    </row>
    <row r="1387" ht="12.75" customHeight="1">
      <c r="A1387" s="238"/>
      <c r="B1387" s="235"/>
      <c r="C1387" s="235"/>
      <c r="D1387" s="236"/>
      <c r="E1387" s="235"/>
      <c r="F1387" s="235"/>
      <c r="G1387" s="237"/>
      <c r="H1387" s="235"/>
      <c r="I1387" s="235"/>
      <c r="J1387" s="235"/>
      <c r="K1387" s="66"/>
    </row>
    <row r="1388" ht="12.75" customHeight="1">
      <c r="A1388" s="238"/>
      <c r="B1388" s="235"/>
      <c r="C1388" s="235"/>
      <c r="D1388" s="236"/>
      <c r="E1388" s="235"/>
      <c r="F1388" s="235"/>
      <c r="G1388" s="237"/>
      <c r="H1388" s="235"/>
      <c r="I1388" s="235"/>
      <c r="J1388" s="235"/>
      <c r="K1388" s="66"/>
    </row>
    <row r="1389" ht="12.75" customHeight="1">
      <c r="A1389" s="238"/>
      <c r="B1389" s="235"/>
      <c r="C1389" s="235"/>
      <c r="D1389" s="236"/>
      <c r="E1389" s="235"/>
      <c r="F1389" s="235"/>
      <c r="G1389" s="237"/>
      <c r="H1389" s="235"/>
      <c r="I1389" s="235"/>
      <c r="J1389" s="235"/>
      <c r="K1389" s="66"/>
    </row>
    <row r="1390" ht="12.75" customHeight="1">
      <c r="A1390" s="238"/>
      <c r="B1390" s="235"/>
      <c r="C1390" s="235"/>
      <c r="D1390" s="236"/>
      <c r="E1390" s="235"/>
      <c r="F1390" s="235"/>
      <c r="G1390" s="237"/>
      <c r="H1390" s="235"/>
      <c r="I1390" s="235"/>
      <c r="J1390" s="235"/>
      <c r="K1390" s="66"/>
    </row>
    <row r="1391" ht="12.75" customHeight="1">
      <c r="A1391" s="238"/>
      <c r="B1391" s="235"/>
      <c r="C1391" s="235"/>
      <c r="D1391" s="236"/>
      <c r="E1391" s="235"/>
      <c r="F1391" s="235"/>
      <c r="G1391" s="237"/>
      <c r="H1391" s="235"/>
      <c r="I1391" s="235"/>
      <c r="J1391" s="235"/>
      <c r="K1391" s="66"/>
    </row>
    <row r="1392" ht="12.75" customHeight="1">
      <c r="A1392" s="238"/>
      <c r="B1392" s="235"/>
      <c r="C1392" s="235"/>
      <c r="D1392" s="236"/>
      <c r="E1392" s="235"/>
      <c r="F1392" s="235"/>
      <c r="G1392" s="237"/>
      <c r="H1392" s="235"/>
      <c r="I1392" s="235"/>
      <c r="J1392" s="235"/>
      <c r="K1392" s="66"/>
    </row>
    <row r="1393" ht="12.75" customHeight="1">
      <c r="A1393" s="238"/>
      <c r="B1393" s="235"/>
      <c r="C1393" s="235"/>
      <c r="D1393" s="236"/>
      <c r="E1393" s="235"/>
      <c r="F1393" s="235"/>
      <c r="G1393" s="237"/>
      <c r="H1393" s="235"/>
      <c r="I1393" s="235"/>
      <c r="J1393" s="235"/>
      <c r="K1393" s="66"/>
    </row>
    <row r="1394" ht="12.75" customHeight="1">
      <c r="A1394" s="238"/>
      <c r="B1394" s="235"/>
      <c r="C1394" s="235"/>
      <c r="D1394" s="236"/>
      <c r="E1394" s="235"/>
      <c r="F1394" s="235"/>
      <c r="G1394" s="237"/>
      <c r="H1394" s="235"/>
      <c r="I1394" s="235"/>
      <c r="J1394" s="235"/>
      <c r="K1394" s="66"/>
    </row>
    <row r="1395" ht="12.75" customHeight="1">
      <c r="A1395" s="238"/>
      <c r="B1395" s="235"/>
      <c r="C1395" s="235"/>
      <c r="D1395" s="236"/>
      <c r="E1395" s="235"/>
      <c r="F1395" s="235"/>
      <c r="G1395" s="237"/>
      <c r="H1395" s="235"/>
      <c r="I1395" s="235"/>
      <c r="J1395" s="235"/>
      <c r="K1395" s="66"/>
    </row>
    <row r="1396" ht="12.75" customHeight="1">
      <c r="A1396" s="238"/>
      <c r="B1396" s="235"/>
      <c r="C1396" s="235"/>
      <c r="D1396" s="236"/>
      <c r="E1396" s="235"/>
      <c r="F1396" s="235"/>
      <c r="G1396" s="237"/>
      <c r="H1396" s="235"/>
      <c r="I1396" s="235"/>
      <c r="J1396" s="235"/>
      <c r="K1396" s="66"/>
    </row>
    <row r="1397" ht="12.75" customHeight="1">
      <c r="A1397" s="238"/>
      <c r="B1397" s="235"/>
      <c r="C1397" s="235"/>
      <c r="D1397" s="236"/>
      <c r="E1397" s="235"/>
      <c r="F1397" s="235"/>
      <c r="G1397" s="237"/>
      <c r="H1397" s="235"/>
      <c r="I1397" s="235"/>
      <c r="J1397" s="235"/>
      <c r="K1397" s="66"/>
    </row>
    <row r="1398" ht="12.75" customHeight="1">
      <c r="A1398" s="238"/>
      <c r="B1398" s="235"/>
      <c r="C1398" s="235"/>
      <c r="D1398" s="236"/>
      <c r="E1398" s="235"/>
      <c r="F1398" s="235"/>
      <c r="G1398" s="237"/>
      <c r="H1398" s="235"/>
      <c r="I1398" s="235"/>
      <c r="J1398" s="235"/>
      <c r="K1398" s="66"/>
    </row>
    <row r="1399" ht="12.75" customHeight="1">
      <c r="A1399" s="238"/>
      <c r="B1399" s="235"/>
      <c r="C1399" s="235"/>
      <c r="D1399" s="236"/>
      <c r="E1399" s="235"/>
      <c r="F1399" s="235"/>
      <c r="G1399" s="237"/>
      <c r="H1399" s="235"/>
      <c r="I1399" s="235"/>
      <c r="J1399" s="235"/>
      <c r="K1399" s="66"/>
    </row>
    <row r="1400" ht="12.75" customHeight="1">
      <c r="A1400" s="238"/>
      <c r="B1400" s="235"/>
      <c r="C1400" s="235"/>
      <c r="D1400" s="236"/>
      <c r="E1400" s="235"/>
      <c r="F1400" s="235"/>
      <c r="G1400" s="237"/>
      <c r="H1400" s="235"/>
      <c r="I1400" s="235"/>
      <c r="J1400" s="235"/>
      <c r="K1400" s="66"/>
    </row>
    <row r="1401" ht="12.75" customHeight="1">
      <c r="A1401" s="238"/>
      <c r="B1401" s="235"/>
      <c r="C1401" s="235"/>
      <c r="D1401" s="236"/>
      <c r="E1401" s="235"/>
      <c r="F1401" s="235"/>
      <c r="G1401" s="237"/>
      <c r="H1401" s="235"/>
      <c r="I1401" s="235"/>
      <c r="J1401" s="235"/>
      <c r="K1401" s="66"/>
    </row>
    <row r="1402" ht="12.75" customHeight="1">
      <c r="A1402" s="238"/>
      <c r="B1402" s="235"/>
      <c r="C1402" s="235"/>
      <c r="D1402" s="236"/>
      <c r="E1402" s="235"/>
      <c r="F1402" s="235"/>
      <c r="G1402" s="237"/>
      <c r="H1402" s="235"/>
      <c r="I1402" s="235"/>
      <c r="J1402" s="235"/>
      <c r="K1402" s="66"/>
    </row>
    <row r="1403" ht="12.75" customHeight="1">
      <c r="A1403" s="238"/>
      <c r="B1403" s="235"/>
      <c r="C1403" s="235"/>
      <c r="D1403" s="236"/>
      <c r="E1403" s="235"/>
      <c r="F1403" s="235"/>
      <c r="G1403" s="237"/>
      <c r="H1403" s="235"/>
      <c r="I1403" s="235"/>
      <c r="J1403" s="235"/>
      <c r="K1403" s="66"/>
    </row>
    <row r="1404" ht="12.75" customHeight="1">
      <c r="A1404" s="238"/>
      <c r="B1404" s="235"/>
      <c r="C1404" s="235"/>
      <c r="D1404" s="236"/>
      <c r="E1404" s="235"/>
      <c r="F1404" s="235"/>
      <c r="G1404" s="237"/>
      <c r="H1404" s="235"/>
      <c r="I1404" s="235"/>
      <c r="J1404" s="235"/>
      <c r="K1404" s="66"/>
    </row>
    <row r="1405" ht="12.75" customHeight="1">
      <c r="A1405" s="238"/>
      <c r="B1405" s="235"/>
      <c r="C1405" s="235"/>
      <c r="D1405" s="236"/>
      <c r="E1405" s="235"/>
      <c r="F1405" s="235"/>
      <c r="G1405" s="237"/>
      <c r="H1405" s="235"/>
      <c r="I1405" s="235"/>
      <c r="J1405" s="235"/>
      <c r="K1405" s="66"/>
    </row>
    <row r="1406" ht="12.75" customHeight="1">
      <c r="A1406" s="238"/>
      <c r="B1406" s="235"/>
      <c r="C1406" s="235"/>
      <c r="D1406" s="236"/>
      <c r="E1406" s="235"/>
      <c r="F1406" s="235"/>
      <c r="G1406" s="237"/>
      <c r="H1406" s="235"/>
      <c r="I1406" s="235"/>
      <c r="J1406" s="235"/>
      <c r="K1406" s="66"/>
    </row>
    <row r="1407" ht="12.75" customHeight="1">
      <c r="A1407" s="238"/>
      <c r="B1407" s="235"/>
      <c r="C1407" s="235"/>
      <c r="D1407" s="236"/>
      <c r="E1407" s="235"/>
      <c r="F1407" s="235"/>
      <c r="G1407" s="237"/>
      <c r="H1407" s="235"/>
      <c r="I1407" s="235"/>
      <c r="J1407" s="235"/>
      <c r="K1407" s="66"/>
    </row>
    <row r="1408" ht="12.75" customHeight="1">
      <c r="A1408" s="238"/>
      <c r="B1408" s="235"/>
      <c r="C1408" s="235"/>
      <c r="D1408" s="236"/>
      <c r="E1408" s="235"/>
      <c r="F1408" s="235"/>
      <c r="G1408" s="237"/>
      <c r="H1408" s="235"/>
      <c r="I1408" s="235"/>
      <c r="J1408" s="235"/>
      <c r="K1408" s="66"/>
    </row>
    <row r="1409" ht="12.75" customHeight="1">
      <c r="A1409" s="238"/>
      <c r="B1409" s="235"/>
      <c r="C1409" s="235"/>
      <c r="D1409" s="236"/>
      <c r="E1409" s="235"/>
      <c r="F1409" s="235"/>
      <c r="G1409" s="237"/>
      <c r="H1409" s="235"/>
      <c r="I1409" s="235"/>
      <c r="J1409" s="235"/>
      <c r="K1409" s="66"/>
    </row>
    <row r="1410" ht="12.75" customHeight="1">
      <c r="A1410" s="238"/>
      <c r="B1410" s="235"/>
      <c r="C1410" s="235"/>
      <c r="D1410" s="236"/>
      <c r="E1410" s="235"/>
      <c r="F1410" s="235"/>
      <c r="G1410" s="237"/>
      <c r="H1410" s="235"/>
      <c r="I1410" s="235"/>
      <c r="J1410" s="235"/>
      <c r="K1410" s="66"/>
    </row>
    <row r="1411" ht="12.75" customHeight="1">
      <c r="A1411" s="238"/>
      <c r="B1411" s="235"/>
      <c r="C1411" s="235"/>
      <c r="D1411" s="236"/>
      <c r="E1411" s="235"/>
      <c r="F1411" s="235"/>
      <c r="G1411" s="237"/>
      <c r="H1411" s="235"/>
      <c r="I1411" s="235"/>
      <c r="J1411" s="235"/>
      <c r="K1411" s="66"/>
    </row>
    <row r="1412" ht="12.75" customHeight="1">
      <c r="A1412" s="238"/>
      <c r="B1412" s="235"/>
      <c r="C1412" s="235"/>
      <c r="D1412" s="236"/>
      <c r="E1412" s="235"/>
      <c r="F1412" s="235"/>
      <c r="G1412" s="237"/>
      <c r="H1412" s="235"/>
      <c r="I1412" s="235"/>
      <c r="J1412" s="235"/>
      <c r="K1412" s="66"/>
    </row>
    <row r="1413" ht="12.75" customHeight="1">
      <c r="A1413" s="238"/>
      <c r="B1413" s="235"/>
      <c r="C1413" s="235"/>
      <c r="D1413" s="236"/>
      <c r="E1413" s="235"/>
      <c r="F1413" s="235"/>
      <c r="G1413" s="237"/>
      <c r="H1413" s="235"/>
      <c r="I1413" s="235"/>
      <c r="J1413" s="235"/>
      <c r="K1413" s="66"/>
    </row>
    <row r="1414" ht="12.75" customHeight="1">
      <c r="A1414" s="238"/>
      <c r="B1414" s="235"/>
      <c r="C1414" s="235"/>
      <c r="D1414" s="236"/>
      <c r="E1414" s="235"/>
      <c r="F1414" s="235"/>
      <c r="G1414" s="237"/>
      <c r="H1414" s="235"/>
      <c r="I1414" s="235"/>
      <c r="J1414" s="235"/>
      <c r="K1414" s="66"/>
    </row>
    <row r="1415" ht="12.75" customHeight="1">
      <c r="A1415" s="238"/>
      <c r="B1415" s="235"/>
      <c r="C1415" s="235"/>
      <c r="D1415" s="236"/>
      <c r="E1415" s="235"/>
      <c r="F1415" s="235"/>
      <c r="G1415" s="237"/>
      <c r="H1415" s="235"/>
      <c r="I1415" s="235"/>
      <c r="J1415" s="235"/>
      <c r="K1415" s="66"/>
    </row>
    <row r="1416" ht="12.75" customHeight="1">
      <c r="A1416" s="238"/>
      <c r="B1416" s="235"/>
      <c r="C1416" s="235"/>
      <c r="D1416" s="236"/>
      <c r="E1416" s="235"/>
      <c r="F1416" s="235"/>
      <c r="G1416" s="237"/>
      <c r="H1416" s="235"/>
      <c r="I1416" s="235"/>
      <c r="J1416" s="235"/>
      <c r="K1416" s="66"/>
    </row>
    <row r="1417" ht="12.75" customHeight="1">
      <c r="A1417" s="238"/>
      <c r="B1417" s="235"/>
      <c r="C1417" s="235"/>
      <c r="D1417" s="236"/>
      <c r="E1417" s="235"/>
      <c r="F1417" s="235"/>
      <c r="G1417" s="237"/>
      <c r="H1417" s="235"/>
      <c r="I1417" s="235"/>
      <c r="J1417" s="235"/>
      <c r="K1417" s="66"/>
    </row>
    <row r="1418" ht="12.75" customHeight="1">
      <c r="A1418" s="238"/>
      <c r="B1418" s="235"/>
      <c r="C1418" s="235"/>
      <c r="D1418" s="236"/>
      <c r="E1418" s="235"/>
      <c r="F1418" s="235"/>
      <c r="G1418" s="237"/>
      <c r="H1418" s="235"/>
      <c r="I1418" s="235"/>
      <c r="J1418" s="235"/>
      <c r="K1418" s="66"/>
    </row>
    <row r="1419" ht="12.75" customHeight="1">
      <c r="A1419" s="238"/>
      <c r="B1419" s="235"/>
      <c r="C1419" s="235"/>
      <c r="D1419" s="236"/>
      <c r="E1419" s="235"/>
      <c r="F1419" s="235"/>
      <c r="G1419" s="237"/>
      <c r="H1419" s="235"/>
      <c r="I1419" s="235"/>
      <c r="J1419" s="235"/>
      <c r="K1419" s="66"/>
    </row>
    <row r="1420" ht="12.75" customHeight="1">
      <c r="A1420" s="238"/>
      <c r="B1420" s="235"/>
      <c r="C1420" s="235"/>
      <c r="D1420" s="236"/>
      <c r="E1420" s="235"/>
      <c r="F1420" s="235"/>
      <c r="G1420" s="237"/>
      <c r="H1420" s="235"/>
      <c r="I1420" s="235"/>
      <c r="J1420" s="235"/>
      <c r="K1420" s="66"/>
    </row>
    <row r="1421" ht="12.75" customHeight="1">
      <c r="A1421" s="238"/>
      <c r="B1421" s="235"/>
      <c r="C1421" s="235"/>
      <c r="D1421" s="236"/>
      <c r="E1421" s="235"/>
      <c r="F1421" s="235"/>
      <c r="G1421" s="237"/>
      <c r="H1421" s="235"/>
      <c r="I1421" s="235"/>
      <c r="J1421" s="235"/>
      <c r="K1421" s="66"/>
    </row>
    <row r="1422" ht="12.75" customHeight="1">
      <c r="A1422" s="238"/>
      <c r="B1422" s="235"/>
      <c r="C1422" s="235"/>
      <c r="D1422" s="236"/>
      <c r="E1422" s="235"/>
      <c r="F1422" s="235"/>
      <c r="G1422" s="237"/>
      <c r="H1422" s="235"/>
      <c r="I1422" s="235"/>
      <c r="J1422" s="235"/>
      <c r="K1422" s="66"/>
    </row>
    <row r="1423" ht="12.75" customHeight="1">
      <c r="A1423" s="238"/>
      <c r="B1423" s="235"/>
      <c r="C1423" s="235"/>
      <c r="D1423" s="236"/>
      <c r="E1423" s="235"/>
      <c r="F1423" s="235"/>
      <c r="G1423" s="237"/>
      <c r="H1423" s="235"/>
      <c r="I1423" s="235"/>
      <c r="J1423" s="235"/>
      <c r="K1423" s="66"/>
    </row>
    <row r="1424" ht="12.75" customHeight="1">
      <c r="A1424" s="238"/>
      <c r="B1424" s="235"/>
      <c r="C1424" s="235"/>
      <c r="D1424" s="236"/>
      <c r="E1424" s="235"/>
      <c r="F1424" s="235"/>
      <c r="G1424" s="237"/>
      <c r="H1424" s="235"/>
      <c r="I1424" s="235"/>
      <c r="J1424" s="235"/>
      <c r="K1424" s="66"/>
    </row>
    <row r="1425" ht="12.75" customHeight="1">
      <c r="A1425" s="238"/>
      <c r="B1425" s="235"/>
      <c r="C1425" s="235"/>
      <c r="D1425" s="236"/>
      <c r="E1425" s="235"/>
      <c r="F1425" s="235"/>
      <c r="G1425" s="237"/>
      <c r="H1425" s="235"/>
      <c r="I1425" s="235"/>
      <c r="J1425" s="235"/>
      <c r="K1425" s="66"/>
    </row>
    <row r="1426" ht="12.75" customHeight="1">
      <c r="A1426" s="238"/>
      <c r="B1426" s="235"/>
      <c r="C1426" s="235"/>
      <c r="D1426" s="236"/>
      <c r="E1426" s="235"/>
      <c r="F1426" s="235"/>
      <c r="G1426" s="237"/>
      <c r="H1426" s="235"/>
      <c r="I1426" s="235"/>
      <c r="J1426" s="235"/>
      <c r="K1426" s="66"/>
    </row>
    <row r="1427" ht="12.75" customHeight="1">
      <c r="A1427" s="238"/>
      <c r="B1427" s="235"/>
      <c r="C1427" s="235"/>
      <c r="D1427" s="236"/>
      <c r="E1427" s="235"/>
      <c r="F1427" s="235"/>
      <c r="G1427" s="237"/>
      <c r="H1427" s="235"/>
      <c r="I1427" s="235"/>
      <c r="J1427" s="235"/>
      <c r="K1427" s="66"/>
    </row>
    <row r="1428" ht="12.75" customHeight="1">
      <c r="A1428" s="238"/>
      <c r="B1428" s="235"/>
      <c r="C1428" s="235"/>
      <c r="D1428" s="236"/>
      <c r="E1428" s="235"/>
      <c r="F1428" s="235"/>
      <c r="G1428" s="237"/>
      <c r="H1428" s="235"/>
      <c r="I1428" s="235"/>
      <c r="J1428" s="235"/>
      <c r="K1428" s="66"/>
    </row>
    <row r="1429" ht="12.75" customHeight="1">
      <c r="A1429" s="238"/>
      <c r="B1429" s="235"/>
      <c r="C1429" s="235"/>
      <c r="D1429" s="236"/>
      <c r="E1429" s="235"/>
      <c r="F1429" s="235"/>
      <c r="G1429" s="237"/>
      <c r="H1429" s="235"/>
      <c r="I1429" s="235"/>
      <c r="J1429" s="235"/>
      <c r="K1429" s="66"/>
    </row>
    <row r="1430" ht="12.75" customHeight="1">
      <c r="A1430" s="238"/>
      <c r="B1430" s="235"/>
      <c r="C1430" s="235"/>
      <c r="D1430" s="236"/>
      <c r="E1430" s="235"/>
      <c r="F1430" s="235"/>
      <c r="G1430" s="237"/>
      <c r="H1430" s="235"/>
      <c r="I1430" s="235"/>
      <c r="J1430" s="235"/>
      <c r="K1430" s="66"/>
    </row>
    <row r="1431" ht="12.75" customHeight="1">
      <c r="A1431" s="238"/>
      <c r="B1431" s="235"/>
      <c r="C1431" s="235"/>
      <c r="D1431" s="236"/>
      <c r="E1431" s="235"/>
      <c r="F1431" s="235"/>
      <c r="G1431" s="237"/>
      <c r="H1431" s="235"/>
      <c r="I1431" s="235"/>
      <c r="J1431" s="235"/>
      <c r="K1431" s="66"/>
    </row>
    <row r="1432" ht="12.75" customHeight="1">
      <c r="A1432" s="238"/>
      <c r="B1432" s="235"/>
      <c r="C1432" s="235"/>
      <c r="D1432" s="236"/>
      <c r="E1432" s="235"/>
      <c r="F1432" s="235"/>
      <c r="G1432" s="237"/>
      <c r="H1432" s="235"/>
      <c r="I1432" s="235"/>
      <c r="J1432" s="235"/>
      <c r="K1432" s="66"/>
    </row>
    <row r="1433" ht="12.75" customHeight="1">
      <c r="A1433" s="238"/>
      <c r="B1433" s="235"/>
      <c r="C1433" s="235"/>
      <c r="D1433" s="236"/>
      <c r="E1433" s="235"/>
      <c r="F1433" s="235"/>
      <c r="G1433" s="237"/>
      <c r="H1433" s="235"/>
      <c r="I1433" s="235"/>
      <c r="J1433" s="235"/>
      <c r="K1433" s="66"/>
    </row>
    <row r="1434" ht="12.75" customHeight="1">
      <c r="A1434" s="238"/>
      <c r="B1434" s="235"/>
      <c r="C1434" s="235"/>
      <c r="D1434" s="236"/>
      <c r="E1434" s="235"/>
      <c r="F1434" s="235"/>
      <c r="G1434" s="237"/>
      <c r="H1434" s="235"/>
      <c r="I1434" s="235"/>
      <c r="J1434" s="235"/>
      <c r="K1434" s="66"/>
    </row>
    <row r="1435" ht="12.75" customHeight="1">
      <c r="A1435" s="238"/>
      <c r="B1435" s="235"/>
      <c r="C1435" s="235"/>
      <c r="D1435" s="236"/>
      <c r="E1435" s="235"/>
      <c r="F1435" s="235"/>
      <c r="G1435" s="237"/>
      <c r="H1435" s="235"/>
      <c r="I1435" s="235"/>
      <c r="J1435" s="235"/>
      <c r="K1435" s="66"/>
    </row>
  </sheetData>
  <mergeCells count="20">
    <mergeCell ref="I4:I5"/>
    <mergeCell ref="J4:J5"/>
    <mergeCell ref="K4:K5"/>
    <mergeCell ref="B4:B5"/>
    <mergeCell ref="C4:C5"/>
    <mergeCell ref="D4:D5"/>
    <mergeCell ref="E4:E5"/>
    <mergeCell ref="F4:F5"/>
    <mergeCell ref="G4:G5"/>
    <mergeCell ref="H4:H5"/>
    <mergeCell ref="I55:I56"/>
    <mergeCell ref="J55:J56"/>
    <mergeCell ref="K55:K56"/>
    <mergeCell ref="B55:B56"/>
    <mergeCell ref="C55:C56"/>
    <mergeCell ref="D55:D56"/>
    <mergeCell ref="E55:E56"/>
    <mergeCell ref="F55:F56"/>
    <mergeCell ref="G55:G56"/>
    <mergeCell ref="H55:H56"/>
  </mergeCells>
  <conditionalFormatting sqref="K14:K16 K26:K28 K38:K40 K50:K52 K65:K67 K77:K79 K89:K91 K101:K103">
    <cfRule type="cellIs" dxfId="3" priority="1" operator="lessThan">
      <formula>0</formula>
    </cfRule>
  </conditionalFormatting>
  <conditionalFormatting sqref="E15:H16 B16:C16 E27:H28 B28:C28 E39:H40 B40:C40 E51:H52 B52:C52 E66:H67 B67:C67 E78:H79 B79:C79 E90:H91 B91:C91 E102:H103 B103:C103">
    <cfRule type="expression" dxfId="4" priority="2">
      <formula>indirect("Assumptions!C4")="Yes"</formula>
    </cfRule>
  </conditionalFormatting>
  <conditionalFormatting sqref="E15:H16 B16:C16 E27:H28 B28:C28 E39:H40 B40:C40 E51:H52 B52:C52 E66:H67 B67:C67 E78:H79 B79:C79 E90:H91 B91:C91 E102:H103 B103:C103">
    <cfRule type="expression" dxfId="5" priority="3">
      <formula>indirect("Assumptions!C4")="No"</formula>
    </cfRule>
  </conditionalFormatting>
  <printOptions/>
  <pageMargins bottom="1.0" footer="0.0" header="0.0" left="0.75" right="0.75" top="1.0"/>
  <pageSetup orientation="landscape"/>
  <headerFooter>
    <oddFooter>&amp;L&amp;F&amp;R&amp;A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63.5"/>
    <col customWidth="1" min="3" max="3" width="16.0"/>
    <col customWidth="1" min="4" max="4" width="26.63"/>
    <col customWidth="1" min="5" max="5" width="14.5"/>
    <col customWidth="1" min="6" max="6" width="11.0"/>
    <col customWidth="1" min="7" max="8" width="15.5"/>
    <col customWidth="1" min="9" max="9" width="20.13"/>
    <col customWidth="1" min="10" max="10" width="13.5"/>
    <col customWidth="1" min="11" max="11" width="15.88"/>
    <col customWidth="1" min="12" max="13" width="15.5"/>
  </cols>
  <sheetData>
    <row r="1" ht="12.75" customHeight="1">
      <c r="A1" s="315" t="s">
        <v>1237</v>
      </c>
      <c r="C1" s="235"/>
      <c r="D1" s="236"/>
      <c r="E1" s="235"/>
      <c r="F1" s="235"/>
      <c r="G1" s="237"/>
      <c r="H1" s="235"/>
      <c r="I1" s="235"/>
      <c r="J1" s="235"/>
      <c r="K1" s="66"/>
      <c r="L1" s="238"/>
      <c r="M1" s="238"/>
    </row>
    <row r="2" ht="12.75" customHeight="1">
      <c r="A2" s="316"/>
      <c r="B2" s="317"/>
      <c r="C2" s="235"/>
      <c r="D2" s="236"/>
      <c r="E2" s="235"/>
      <c r="F2" s="235"/>
      <c r="G2" s="237"/>
      <c r="H2" s="235"/>
      <c r="I2" s="235"/>
      <c r="J2" s="235"/>
      <c r="K2" s="66"/>
      <c r="L2" s="238"/>
      <c r="M2" s="238"/>
    </row>
    <row r="3" ht="12.75" customHeight="1">
      <c r="A3" s="238"/>
      <c r="B3" s="235"/>
      <c r="C3" s="235"/>
      <c r="D3" s="236"/>
      <c r="E3" s="235"/>
      <c r="F3" s="235"/>
      <c r="G3" s="237"/>
      <c r="H3" s="235"/>
      <c r="I3" s="235"/>
      <c r="J3" s="235"/>
      <c r="K3" s="66"/>
      <c r="L3" s="238"/>
      <c r="M3" s="238"/>
    </row>
    <row r="4" ht="12.75" customHeight="1">
      <c r="A4" s="238"/>
      <c r="B4" s="239" t="s">
        <v>1223</v>
      </c>
      <c r="C4" s="240" t="s">
        <v>1224</v>
      </c>
      <c r="D4" s="240" t="s">
        <v>1225</v>
      </c>
      <c r="E4" s="240" t="s">
        <v>1226</v>
      </c>
      <c r="F4" s="240" t="s">
        <v>1227</v>
      </c>
      <c r="G4" s="240" t="s">
        <v>1228</v>
      </c>
      <c r="H4" s="240" t="s">
        <v>1229</v>
      </c>
      <c r="I4" s="240" t="s">
        <v>1230</v>
      </c>
      <c r="J4" s="240" t="s">
        <v>1231</v>
      </c>
      <c r="K4" s="240" t="s">
        <v>96</v>
      </c>
      <c r="L4" s="318" t="s">
        <v>1238</v>
      </c>
      <c r="M4" s="318" t="s">
        <v>1239</v>
      </c>
    </row>
    <row r="5" ht="22.5" customHeight="1">
      <c r="A5" s="238"/>
      <c r="B5" s="242"/>
      <c r="C5" s="243"/>
      <c r="D5" s="243"/>
      <c r="E5" s="243"/>
      <c r="F5" s="243"/>
      <c r="G5" s="243"/>
      <c r="H5" s="243"/>
      <c r="I5" s="243"/>
      <c r="J5" s="243"/>
      <c r="K5" s="243"/>
      <c r="L5" s="319"/>
      <c r="M5" s="319"/>
    </row>
    <row r="6" ht="21.0" customHeight="1">
      <c r="A6" s="245" t="s">
        <v>1232</v>
      </c>
      <c r="B6" s="246" t="s">
        <v>1233</v>
      </c>
      <c r="C6" s="247"/>
      <c r="D6" s="248"/>
      <c r="E6" s="247"/>
      <c r="F6" s="247"/>
      <c r="G6" s="247"/>
      <c r="H6" s="247"/>
      <c r="I6" s="249"/>
      <c r="J6" s="250"/>
      <c r="K6" s="250"/>
      <c r="L6" s="320"/>
      <c r="M6" s="321"/>
    </row>
    <row r="7" ht="12.75" customHeight="1">
      <c r="A7" s="238"/>
      <c r="B7" s="252" t="s">
        <v>1240</v>
      </c>
      <c r="C7" s="253"/>
      <c r="D7" s="254"/>
      <c r="E7" s="255"/>
      <c r="F7" s="255"/>
      <c r="G7" s="255"/>
      <c r="H7" s="255"/>
      <c r="I7" s="256"/>
      <c r="J7" s="257"/>
      <c r="K7" s="257"/>
      <c r="L7" s="257"/>
      <c r="M7" s="322"/>
    </row>
    <row r="8" ht="12.75" customHeight="1">
      <c r="A8" s="238"/>
      <c r="B8" s="252"/>
      <c r="C8" s="253"/>
      <c r="D8" s="254"/>
      <c r="E8" s="255"/>
      <c r="F8" s="255"/>
      <c r="G8" s="255"/>
      <c r="H8" s="255"/>
      <c r="I8" s="256"/>
      <c r="J8" s="257"/>
      <c r="K8" s="257"/>
      <c r="L8" s="257"/>
      <c r="M8" s="322"/>
    </row>
    <row r="9" ht="12.75" customHeight="1">
      <c r="A9" s="238"/>
      <c r="B9" s="252"/>
      <c r="C9" s="253"/>
      <c r="D9" s="254"/>
      <c r="E9" s="255"/>
      <c r="F9" s="255"/>
      <c r="G9" s="255"/>
      <c r="H9" s="255"/>
      <c r="I9" s="256"/>
      <c r="J9" s="257"/>
      <c r="K9" s="257"/>
      <c r="L9" s="257"/>
      <c r="M9" s="322"/>
    </row>
    <row r="10" ht="12.75" customHeight="1">
      <c r="A10" s="238"/>
      <c r="B10" s="252"/>
      <c r="C10" s="253"/>
      <c r="D10" s="254"/>
      <c r="E10" s="255"/>
      <c r="F10" s="255"/>
      <c r="G10" s="255"/>
      <c r="H10" s="255"/>
      <c r="I10" s="256"/>
      <c r="J10" s="257"/>
      <c r="K10" s="257"/>
      <c r="L10" s="257"/>
      <c r="M10" s="322"/>
    </row>
    <row r="11" ht="12.75" customHeight="1">
      <c r="A11" s="238"/>
      <c r="B11" s="252"/>
      <c r="C11" s="253"/>
      <c r="D11" s="254"/>
      <c r="E11" s="255"/>
      <c r="F11" s="255"/>
      <c r="G11" s="255"/>
      <c r="H11" s="255"/>
      <c r="I11" s="256"/>
      <c r="J11" s="257"/>
      <c r="K11" s="257"/>
      <c r="L11" s="257"/>
      <c r="M11" s="322"/>
    </row>
    <row r="12" ht="12.75" customHeight="1">
      <c r="A12" s="238"/>
      <c r="B12" s="252"/>
      <c r="C12" s="253"/>
      <c r="D12" s="254"/>
      <c r="E12" s="255"/>
      <c r="F12" s="255"/>
      <c r="G12" s="255"/>
      <c r="H12" s="255"/>
      <c r="I12" s="256"/>
      <c r="J12" s="257"/>
      <c r="K12" s="257"/>
      <c r="L12" s="257"/>
      <c r="M12" s="322"/>
    </row>
    <row r="13" ht="12.75" customHeight="1">
      <c r="A13" s="238"/>
      <c r="B13" s="252"/>
      <c r="C13" s="253"/>
      <c r="D13" s="254"/>
      <c r="E13" s="255"/>
      <c r="F13" s="255"/>
      <c r="G13" s="255"/>
      <c r="H13" s="255"/>
      <c r="I13" s="256"/>
      <c r="J13" s="257"/>
      <c r="K13" s="257"/>
      <c r="L13" s="257"/>
      <c r="M13" s="322"/>
    </row>
    <row r="14" ht="12.75" customHeight="1">
      <c r="A14" s="238"/>
      <c r="B14" s="259"/>
      <c r="C14" s="260"/>
      <c r="D14" s="261"/>
      <c r="E14" s="262"/>
      <c r="F14" s="262"/>
      <c r="G14" s="262"/>
      <c r="H14" s="262"/>
      <c r="I14" s="263"/>
      <c r="J14" s="264"/>
      <c r="K14" s="264"/>
      <c r="L14" s="264"/>
      <c r="M14" s="323"/>
    </row>
    <row r="15" ht="12.75" customHeight="1">
      <c r="A15" s="238"/>
      <c r="B15" s="266"/>
      <c r="C15" s="267"/>
      <c r="D15" s="268"/>
      <c r="E15" s="269"/>
      <c r="F15" s="269"/>
      <c r="G15" s="269"/>
      <c r="H15" s="269"/>
      <c r="I15" s="270"/>
      <c r="J15" s="271" t="s">
        <v>1221</v>
      </c>
      <c r="K15" s="324">
        <f>SUM(K7:K14)</f>
        <v>0</v>
      </c>
      <c r="L15" s="325"/>
      <c r="M15" s="272">
        <f>SUM(M7:M14)</f>
        <v>0</v>
      </c>
    </row>
    <row r="16" ht="12.75" customHeight="1">
      <c r="A16" s="238"/>
      <c r="B16" s="273"/>
      <c r="C16" s="274"/>
      <c r="D16" s="275"/>
      <c r="E16" s="276"/>
      <c r="F16" s="276"/>
      <c r="G16" s="277"/>
      <c r="H16" s="277"/>
      <c r="I16" s="278"/>
      <c r="J16" s="278"/>
      <c r="K16" s="326"/>
      <c r="L16" s="327"/>
      <c r="M16" s="328"/>
    </row>
    <row r="17" ht="9.0" customHeight="1">
      <c r="A17" s="245"/>
      <c r="B17" s="329"/>
      <c r="C17" s="282"/>
      <c r="D17" s="282"/>
      <c r="E17" s="282"/>
      <c r="F17" s="282"/>
      <c r="G17" s="282"/>
      <c r="H17" s="282"/>
      <c r="I17" s="330"/>
      <c r="J17" s="331"/>
      <c r="K17" s="331"/>
      <c r="L17" s="331"/>
      <c r="M17" s="331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</row>
    <row r="18" ht="21.0" customHeight="1">
      <c r="A18" s="245" t="s">
        <v>1232</v>
      </c>
      <c r="B18" s="246" t="s">
        <v>1233</v>
      </c>
      <c r="C18" s="247"/>
      <c r="D18" s="248"/>
      <c r="E18" s="247"/>
      <c r="F18" s="247"/>
      <c r="G18" s="247"/>
      <c r="H18" s="247"/>
      <c r="I18" s="249"/>
      <c r="J18" s="250"/>
      <c r="K18" s="250"/>
      <c r="L18" s="320"/>
      <c r="M18" s="321"/>
    </row>
    <row r="19" ht="12.75" customHeight="1">
      <c r="A19" s="238"/>
      <c r="B19" s="252"/>
      <c r="C19" s="253"/>
      <c r="D19" s="254"/>
      <c r="E19" s="255"/>
      <c r="F19" s="255"/>
      <c r="G19" s="255"/>
      <c r="H19" s="255"/>
      <c r="I19" s="256"/>
      <c r="J19" s="257"/>
      <c r="K19" s="257"/>
      <c r="L19" s="257"/>
      <c r="M19" s="322"/>
    </row>
    <row r="20" ht="12.75" customHeight="1">
      <c r="A20" s="238"/>
      <c r="B20" s="252"/>
      <c r="C20" s="253"/>
      <c r="D20" s="254"/>
      <c r="E20" s="255"/>
      <c r="F20" s="255"/>
      <c r="G20" s="255"/>
      <c r="H20" s="255"/>
      <c r="I20" s="256"/>
      <c r="J20" s="257"/>
      <c r="K20" s="257"/>
      <c r="L20" s="257"/>
      <c r="M20" s="322"/>
    </row>
    <row r="21" ht="12.75" customHeight="1">
      <c r="A21" s="238"/>
      <c r="B21" s="252"/>
      <c r="C21" s="253"/>
      <c r="D21" s="254"/>
      <c r="E21" s="255"/>
      <c r="F21" s="255"/>
      <c r="G21" s="255"/>
      <c r="H21" s="255"/>
      <c r="I21" s="256"/>
      <c r="J21" s="257"/>
      <c r="K21" s="257"/>
      <c r="L21" s="257"/>
      <c r="M21" s="322"/>
    </row>
    <row r="22" ht="12.75" customHeight="1">
      <c r="A22" s="238"/>
      <c r="B22" s="252"/>
      <c r="C22" s="253"/>
      <c r="D22" s="254"/>
      <c r="E22" s="255"/>
      <c r="F22" s="255"/>
      <c r="G22" s="255"/>
      <c r="H22" s="255"/>
      <c r="I22" s="256"/>
      <c r="J22" s="257"/>
      <c r="K22" s="257"/>
      <c r="L22" s="257"/>
      <c r="M22" s="322"/>
    </row>
    <row r="23" ht="12.75" customHeight="1">
      <c r="A23" s="238"/>
      <c r="B23" s="252"/>
      <c r="C23" s="253"/>
      <c r="D23" s="254"/>
      <c r="E23" s="255"/>
      <c r="F23" s="255"/>
      <c r="G23" s="255"/>
      <c r="H23" s="255"/>
      <c r="I23" s="256"/>
      <c r="J23" s="257"/>
      <c r="K23" s="257"/>
      <c r="L23" s="257"/>
      <c r="M23" s="322"/>
    </row>
    <row r="24" ht="12.75" customHeight="1">
      <c r="A24" s="238"/>
      <c r="B24" s="252"/>
      <c r="C24" s="253"/>
      <c r="D24" s="254"/>
      <c r="E24" s="255"/>
      <c r="F24" s="255"/>
      <c r="G24" s="255"/>
      <c r="H24" s="255"/>
      <c r="I24" s="256"/>
      <c r="J24" s="257"/>
      <c r="K24" s="257"/>
      <c r="L24" s="257"/>
      <c r="M24" s="322"/>
    </row>
    <row r="25" ht="12.75" customHeight="1">
      <c r="A25" s="238"/>
      <c r="B25" s="252"/>
      <c r="C25" s="253"/>
      <c r="D25" s="254"/>
      <c r="E25" s="255"/>
      <c r="F25" s="255"/>
      <c r="G25" s="255"/>
      <c r="H25" s="255"/>
      <c r="I25" s="256"/>
      <c r="J25" s="257"/>
      <c r="K25" s="257"/>
      <c r="L25" s="257"/>
      <c r="M25" s="322"/>
    </row>
    <row r="26" ht="12.75" customHeight="1">
      <c r="A26" s="238"/>
      <c r="B26" s="259"/>
      <c r="C26" s="260"/>
      <c r="D26" s="261"/>
      <c r="E26" s="262"/>
      <c r="F26" s="262"/>
      <c r="G26" s="262"/>
      <c r="H26" s="262"/>
      <c r="I26" s="263"/>
      <c r="J26" s="264"/>
      <c r="K26" s="264"/>
      <c r="L26" s="264"/>
      <c r="M26" s="323"/>
    </row>
    <row r="27" ht="12.75" customHeight="1">
      <c r="A27" s="238"/>
      <c r="B27" s="266"/>
      <c r="C27" s="267"/>
      <c r="D27" s="268"/>
      <c r="E27" s="269"/>
      <c r="F27" s="269"/>
      <c r="G27" s="269"/>
      <c r="H27" s="269"/>
      <c r="I27" s="270"/>
      <c r="J27" s="271" t="s">
        <v>1221</v>
      </c>
      <c r="K27" s="324">
        <f>SUM(K19:K26)</f>
        <v>0</v>
      </c>
      <c r="L27" s="325"/>
      <c r="M27" s="272">
        <f>SUM(M19:M26)</f>
        <v>0</v>
      </c>
    </row>
    <row r="28" ht="12.75" customHeight="1">
      <c r="A28" s="238"/>
      <c r="B28" s="273"/>
      <c r="C28" s="274"/>
      <c r="D28" s="275"/>
      <c r="E28" s="276"/>
      <c r="F28" s="276"/>
      <c r="G28" s="277"/>
      <c r="H28" s="277"/>
      <c r="I28" s="278"/>
      <c r="J28" s="278"/>
      <c r="K28" s="326"/>
      <c r="L28" s="327"/>
      <c r="M28" s="328"/>
    </row>
    <row r="29" ht="9.0" customHeight="1">
      <c r="A29" s="245"/>
      <c r="B29" s="280"/>
      <c r="C29" s="281"/>
      <c r="D29" s="281"/>
      <c r="E29" s="281"/>
      <c r="F29" s="281"/>
      <c r="G29" s="282"/>
      <c r="H29" s="282"/>
      <c r="I29" s="283"/>
      <c r="J29" s="284"/>
      <c r="K29" s="284"/>
      <c r="L29" s="332"/>
      <c r="M29" s="286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  <c r="AA29" s="286"/>
      <c r="AB29" s="286"/>
      <c r="AC29" s="286"/>
      <c r="AD29" s="286"/>
      <c r="AE29" s="286"/>
      <c r="AF29" s="286"/>
    </row>
    <row r="30" ht="21.0" customHeight="1">
      <c r="A30" s="245" t="s">
        <v>1232</v>
      </c>
      <c r="B30" s="246" t="s">
        <v>1233</v>
      </c>
      <c r="C30" s="247"/>
      <c r="D30" s="248"/>
      <c r="E30" s="247"/>
      <c r="F30" s="247"/>
      <c r="G30" s="247"/>
      <c r="H30" s="247"/>
      <c r="I30" s="249"/>
      <c r="J30" s="250"/>
      <c r="K30" s="250"/>
      <c r="L30" s="320"/>
      <c r="M30" s="321"/>
    </row>
    <row r="31" ht="12.75" customHeight="1">
      <c r="A31" s="238"/>
      <c r="B31" s="252"/>
      <c r="C31" s="253"/>
      <c r="D31" s="254"/>
      <c r="E31" s="255"/>
      <c r="F31" s="255"/>
      <c r="G31" s="255"/>
      <c r="H31" s="255"/>
      <c r="I31" s="256"/>
      <c r="J31" s="257"/>
      <c r="K31" s="257"/>
      <c r="L31" s="257"/>
      <c r="M31" s="322"/>
    </row>
    <row r="32" ht="12.75" customHeight="1">
      <c r="A32" s="238"/>
      <c r="B32" s="252"/>
      <c r="C32" s="253"/>
      <c r="D32" s="254"/>
      <c r="E32" s="255"/>
      <c r="F32" s="255"/>
      <c r="G32" s="255"/>
      <c r="H32" s="255"/>
      <c r="I32" s="256"/>
      <c r="J32" s="257"/>
      <c r="K32" s="257"/>
      <c r="L32" s="257"/>
      <c r="M32" s="322"/>
    </row>
    <row r="33" ht="12.75" customHeight="1">
      <c r="A33" s="238"/>
      <c r="B33" s="252"/>
      <c r="C33" s="253"/>
      <c r="D33" s="254"/>
      <c r="E33" s="255"/>
      <c r="F33" s="255"/>
      <c r="G33" s="255"/>
      <c r="H33" s="255"/>
      <c r="I33" s="256"/>
      <c r="J33" s="257"/>
      <c r="K33" s="257"/>
      <c r="L33" s="257"/>
      <c r="M33" s="322"/>
    </row>
    <row r="34" ht="12.75" customHeight="1">
      <c r="A34" s="238"/>
      <c r="B34" s="252"/>
      <c r="C34" s="253"/>
      <c r="D34" s="254"/>
      <c r="E34" s="255"/>
      <c r="F34" s="255"/>
      <c r="G34" s="255"/>
      <c r="H34" s="255"/>
      <c r="I34" s="256"/>
      <c r="J34" s="257"/>
      <c r="K34" s="257"/>
      <c r="L34" s="257"/>
      <c r="M34" s="322"/>
    </row>
    <row r="35" ht="12.75" customHeight="1">
      <c r="A35" s="238"/>
      <c r="B35" s="252"/>
      <c r="C35" s="253"/>
      <c r="D35" s="254"/>
      <c r="E35" s="255"/>
      <c r="F35" s="255"/>
      <c r="G35" s="255"/>
      <c r="H35" s="255"/>
      <c r="I35" s="256"/>
      <c r="J35" s="257"/>
      <c r="K35" s="257"/>
      <c r="L35" s="257"/>
      <c r="M35" s="322"/>
    </row>
    <row r="36" ht="12.75" customHeight="1">
      <c r="A36" s="238"/>
      <c r="B36" s="252"/>
      <c r="C36" s="253"/>
      <c r="D36" s="254"/>
      <c r="E36" s="255"/>
      <c r="F36" s="255"/>
      <c r="G36" s="255"/>
      <c r="H36" s="255"/>
      <c r="I36" s="256"/>
      <c r="J36" s="257"/>
      <c r="K36" s="257"/>
      <c r="L36" s="257"/>
      <c r="M36" s="322"/>
    </row>
    <row r="37" ht="12.75" customHeight="1">
      <c r="A37" s="238"/>
      <c r="B37" s="252"/>
      <c r="C37" s="253"/>
      <c r="D37" s="254"/>
      <c r="E37" s="255"/>
      <c r="F37" s="255"/>
      <c r="G37" s="255"/>
      <c r="H37" s="255"/>
      <c r="I37" s="256"/>
      <c r="J37" s="257"/>
      <c r="K37" s="257"/>
      <c r="L37" s="257"/>
      <c r="M37" s="322"/>
    </row>
    <row r="38" ht="12.75" customHeight="1">
      <c r="A38" s="238"/>
      <c r="B38" s="259"/>
      <c r="C38" s="260"/>
      <c r="D38" s="261"/>
      <c r="E38" s="262"/>
      <c r="F38" s="262"/>
      <c r="G38" s="262"/>
      <c r="H38" s="262"/>
      <c r="I38" s="263"/>
      <c r="J38" s="264"/>
      <c r="K38" s="264"/>
      <c r="L38" s="264"/>
      <c r="M38" s="323"/>
    </row>
    <row r="39" ht="12.75" customHeight="1">
      <c r="A39" s="238"/>
      <c r="B39" s="266"/>
      <c r="C39" s="267"/>
      <c r="D39" s="268"/>
      <c r="E39" s="269"/>
      <c r="F39" s="269"/>
      <c r="G39" s="269"/>
      <c r="H39" s="269"/>
      <c r="I39" s="270"/>
      <c r="J39" s="271" t="s">
        <v>1221</v>
      </c>
      <c r="K39" s="324">
        <f>SUM(K31:K38)</f>
        <v>0</v>
      </c>
      <c r="L39" s="325"/>
      <c r="M39" s="272">
        <f>SUM(M31:M38)</f>
        <v>0</v>
      </c>
    </row>
    <row r="40" ht="12.75" customHeight="1">
      <c r="A40" s="238"/>
      <c r="B40" s="273"/>
      <c r="C40" s="274"/>
      <c r="D40" s="275"/>
      <c r="E40" s="276"/>
      <c r="F40" s="276"/>
      <c r="G40" s="277"/>
      <c r="H40" s="277"/>
      <c r="I40" s="278"/>
      <c r="J40" s="278"/>
      <c r="K40" s="326"/>
      <c r="L40" s="327"/>
      <c r="M40" s="328"/>
    </row>
    <row r="41" ht="9.0" customHeight="1">
      <c r="A41" s="245"/>
      <c r="B41" s="280"/>
      <c r="C41" s="281"/>
      <c r="D41" s="281"/>
      <c r="E41" s="281"/>
      <c r="F41" s="281"/>
      <c r="G41" s="282"/>
      <c r="H41" s="282"/>
      <c r="I41" s="283"/>
      <c r="J41" s="284"/>
      <c r="K41" s="284"/>
      <c r="L41" s="332"/>
      <c r="M41" s="286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  <c r="AF41" s="286"/>
    </row>
    <row r="42" ht="21.0" customHeight="1">
      <c r="A42" s="245" t="s">
        <v>1232</v>
      </c>
      <c r="B42" s="246" t="s">
        <v>1233</v>
      </c>
      <c r="C42" s="247"/>
      <c r="D42" s="248"/>
      <c r="E42" s="247"/>
      <c r="F42" s="247"/>
      <c r="G42" s="247"/>
      <c r="H42" s="247"/>
      <c r="I42" s="249"/>
      <c r="J42" s="250"/>
      <c r="K42" s="250"/>
      <c r="L42" s="320"/>
      <c r="M42" s="321"/>
    </row>
    <row r="43" ht="12.75" customHeight="1">
      <c r="A43" s="238"/>
      <c r="B43" s="252"/>
      <c r="C43" s="253"/>
      <c r="D43" s="254"/>
      <c r="E43" s="255"/>
      <c r="F43" s="255"/>
      <c r="G43" s="255"/>
      <c r="H43" s="255"/>
      <c r="I43" s="256"/>
      <c r="J43" s="257"/>
      <c r="K43" s="257"/>
      <c r="L43" s="257"/>
      <c r="M43" s="322"/>
    </row>
    <row r="44" ht="12.75" customHeight="1">
      <c r="A44" s="238"/>
      <c r="B44" s="252"/>
      <c r="C44" s="253"/>
      <c r="D44" s="254"/>
      <c r="E44" s="255"/>
      <c r="F44" s="255"/>
      <c r="G44" s="255"/>
      <c r="H44" s="255"/>
      <c r="I44" s="256"/>
      <c r="J44" s="257"/>
      <c r="K44" s="257"/>
      <c r="L44" s="257"/>
      <c r="M44" s="322"/>
    </row>
    <row r="45" ht="12.75" customHeight="1">
      <c r="A45" s="238"/>
      <c r="B45" s="252"/>
      <c r="C45" s="253"/>
      <c r="D45" s="254"/>
      <c r="E45" s="255"/>
      <c r="F45" s="255"/>
      <c r="G45" s="255"/>
      <c r="H45" s="255"/>
      <c r="I45" s="256"/>
      <c r="J45" s="257"/>
      <c r="K45" s="257"/>
      <c r="L45" s="257"/>
      <c r="M45" s="322"/>
    </row>
    <row r="46" ht="12.75" customHeight="1">
      <c r="A46" s="238"/>
      <c r="B46" s="252"/>
      <c r="C46" s="253"/>
      <c r="D46" s="254"/>
      <c r="E46" s="255"/>
      <c r="F46" s="255"/>
      <c r="G46" s="255"/>
      <c r="H46" s="255"/>
      <c r="I46" s="256"/>
      <c r="J46" s="257"/>
      <c r="K46" s="257"/>
      <c r="L46" s="257"/>
      <c r="M46" s="322"/>
    </row>
    <row r="47" ht="12.75" customHeight="1">
      <c r="A47" s="238"/>
      <c r="B47" s="252"/>
      <c r="C47" s="253"/>
      <c r="D47" s="254"/>
      <c r="E47" s="255"/>
      <c r="F47" s="255"/>
      <c r="G47" s="255"/>
      <c r="H47" s="255"/>
      <c r="I47" s="256"/>
      <c r="J47" s="257"/>
      <c r="K47" s="257"/>
      <c r="L47" s="257"/>
      <c r="M47" s="322"/>
    </row>
    <row r="48" ht="12.75" customHeight="1">
      <c r="A48" s="238"/>
      <c r="B48" s="252"/>
      <c r="C48" s="253"/>
      <c r="D48" s="254"/>
      <c r="E48" s="255"/>
      <c r="F48" s="255"/>
      <c r="G48" s="255"/>
      <c r="H48" s="255"/>
      <c r="I48" s="256"/>
      <c r="J48" s="257"/>
      <c r="K48" s="257"/>
      <c r="L48" s="257"/>
      <c r="M48" s="322"/>
    </row>
    <row r="49" ht="12.75" customHeight="1">
      <c r="A49" s="238"/>
      <c r="B49" s="252"/>
      <c r="C49" s="253"/>
      <c r="D49" s="254"/>
      <c r="E49" s="255"/>
      <c r="F49" s="255"/>
      <c r="G49" s="255"/>
      <c r="H49" s="255"/>
      <c r="I49" s="256"/>
      <c r="J49" s="257"/>
      <c r="K49" s="257"/>
      <c r="L49" s="257"/>
      <c r="M49" s="322"/>
    </row>
    <row r="50" ht="12.75" customHeight="1">
      <c r="A50" s="238"/>
      <c r="B50" s="259"/>
      <c r="C50" s="260"/>
      <c r="D50" s="261"/>
      <c r="E50" s="262"/>
      <c r="F50" s="262"/>
      <c r="G50" s="262"/>
      <c r="H50" s="262"/>
      <c r="I50" s="263"/>
      <c r="J50" s="264"/>
      <c r="K50" s="264"/>
      <c r="L50" s="264"/>
      <c r="M50" s="323"/>
    </row>
    <row r="51" ht="12.75" customHeight="1">
      <c r="A51" s="238"/>
      <c r="B51" s="266"/>
      <c r="C51" s="267"/>
      <c r="D51" s="268"/>
      <c r="E51" s="269"/>
      <c r="F51" s="269"/>
      <c r="G51" s="269"/>
      <c r="H51" s="269"/>
      <c r="I51" s="270"/>
      <c r="J51" s="271" t="s">
        <v>1221</v>
      </c>
      <c r="K51" s="324">
        <f>SUM(K43:K50)</f>
        <v>0</v>
      </c>
      <c r="L51" s="325"/>
      <c r="M51" s="272">
        <f>SUM(M43:M50)</f>
        <v>0</v>
      </c>
    </row>
    <row r="52" ht="12.75" customHeight="1">
      <c r="A52" s="238"/>
      <c r="B52" s="273"/>
      <c r="C52" s="274"/>
      <c r="D52" s="275"/>
      <c r="E52" s="276"/>
      <c r="F52" s="276"/>
      <c r="G52" s="277"/>
      <c r="H52" s="277"/>
      <c r="I52" s="278"/>
      <c r="J52" s="278"/>
      <c r="K52" s="326"/>
      <c r="L52" s="327"/>
      <c r="M52" s="328"/>
    </row>
    <row r="53" ht="12.75" customHeight="1">
      <c r="A53" s="238"/>
      <c r="B53" s="287"/>
      <c r="C53" s="288"/>
      <c r="D53" s="289"/>
      <c r="E53" s="288"/>
      <c r="F53" s="288"/>
      <c r="G53" s="288"/>
      <c r="H53" s="288"/>
      <c r="I53" s="290"/>
      <c r="J53" s="291" t="s">
        <v>1234</v>
      </c>
      <c r="K53" s="333">
        <f>K51+K39+K27+K15</f>
        <v>0</v>
      </c>
      <c r="L53" s="334"/>
      <c r="M53" s="333">
        <f>M51+M39+M27+M15</f>
        <v>0</v>
      </c>
    </row>
    <row r="54" ht="18.0" customHeight="1">
      <c r="A54" s="238"/>
      <c r="B54" s="294"/>
      <c r="C54" s="294"/>
      <c r="D54" s="295"/>
      <c r="E54" s="294"/>
      <c r="F54" s="294"/>
      <c r="G54" s="296"/>
      <c r="H54" s="294"/>
      <c r="I54" s="294"/>
      <c r="J54" s="294"/>
      <c r="K54" s="335"/>
      <c r="L54" s="336"/>
      <c r="M54" s="336"/>
    </row>
    <row r="55" ht="12.75" customHeight="1">
      <c r="A55" s="238"/>
      <c r="B55" s="239" t="s">
        <v>1235</v>
      </c>
      <c r="C55" s="240" t="s">
        <v>1224</v>
      </c>
      <c r="D55" s="240" t="s">
        <v>1225</v>
      </c>
      <c r="E55" s="240" t="s">
        <v>1226</v>
      </c>
      <c r="F55" s="240" t="s">
        <v>1227</v>
      </c>
      <c r="G55" s="240" t="s">
        <v>1228</v>
      </c>
      <c r="H55" s="240" t="s">
        <v>1229</v>
      </c>
      <c r="I55" s="240" t="s">
        <v>1230</v>
      </c>
      <c r="J55" s="240" t="s">
        <v>1231</v>
      </c>
      <c r="K55" s="240" t="s">
        <v>96</v>
      </c>
      <c r="L55" s="318" t="s">
        <v>1238</v>
      </c>
      <c r="M55" s="318" t="s">
        <v>1239</v>
      </c>
      <c r="N55" s="286"/>
      <c r="O55" s="286"/>
      <c r="P55" s="286"/>
      <c r="Q55" s="286"/>
      <c r="R55" s="286"/>
      <c r="S55" s="286"/>
      <c r="T55" s="286"/>
      <c r="U55" s="286"/>
      <c r="V55" s="286"/>
      <c r="W55" s="286"/>
      <c r="X55" s="286"/>
      <c r="Y55" s="286"/>
      <c r="Z55" s="286"/>
      <c r="AA55" s="286"/>
      <c r="AB55" s="286"/>
      <c r="AC55" s="286"/>
      <c r="AD55" s="286"/>
      <c r="AE55" s="286"/>
      <c r="AF55" s="286"/>
      <c r="AG55" s="286"/>
    </row>
    <row r="56" ht="21.75" customHeight="1">
      <c r="A56" s="238"/>
      <c r="B56" s="242"/>
      <c r="C56" s="243"/>
      <c r="D56" s="243"/>
      <c r="E56" s="243"/>
      <c r="F56" s="243"/>
      <c r="G56" s="243"/>
      <c r="H56" s="243"/>
      <c r="I56" s="243"/>
      <c r="J56" s="243"/>
      <c r="K56" s="243"/>
      <c r="L56" s="319"/>
      <c r="M56" s="319"/>
      <c r="N56" s="286"/>
      <c r="O56" s="286"/>
      <c r="P56" s="286"/>
      <c r="Q56" s="286"/>
      <c r="R56" s="286"/>
      <c r="S56" s="286"/>
      <c r="T56" s="286"/>
      <c r="U56" s="286"/>
      <c r="V56" s="286"/>
      <c r="W56" s="286"/>
      <c r="X56" s="286"/>
      <c r="Y56" s="286"/>
      <c r="Z56" s="286"/>
      <c r="AA56" s="286"/>
      <c r="AB56" s="286"/>
      <c r="AC56" s="286"/>
      <c r="AD56" s="286"/>
      <c r="AE56" s="286"/>
      <c r="AF56" s="286"/>
      <c r="AG56" s="286"/>
    </row>
    <row r="57" ht="21.0" customHeight="1">
      <c r="A57" s="245" t="s">
        <v>1232</v>
      </c>
      <c r="B57" s="246" t="s">
        <v>1233</v>
      </c>
      <c r="C57" s="247"/>
      <c r="D57" s="248"/>
      <c r="E57" s="247"/>
      <c r="F57" s="247"/>
      <c r="G57" s="247"/>
      <c r="H57" s="247"/>
      <c r="I57" s="249"/>
      <c r="J57" s="250"/>
      <c r="K57" s="250"/>
      <c r="L57" s="320"/>
      <c r="M57" s="321"/>
    </row>
    <row r="58" ht="12.75" customHeight="1">
      <c r="A58" s="235"/>
      <c r="B58" s="252"/>
      <c r="C58" s="253"/>
      <c r="D58" s="254"/>
      <c r="E58" s="255"/>
      <c r="F58" s="255"/>
      <c r="G58" s="255"/>
      <c r="H58" s="255"/>
      <c r="I58" s="256"/>
      <c r="J58" s="257"/>
      <c r="K58" s="257"/>
      <c r="L58" s="257"/>
      <c r="M58" s="322"/>
      <c r="N58" s="286"/>
      <c r="O58" s="286"/>
      <c r="P58" s="286"/>
      <c r="Q58" s="286"/>
      <c r="R58" s="286"/>
      <c r="S58" s="286"/>
      <c r="T58" s="286"/>
      <c r="U58" s="286"/>
      <c r="V58" s="286"/>
      <c r="W58" s="286"/>
      <c r="X58" s="286"/>
      <c r="Y58" s="286"/>
      <c r="Z58" s="286"/>
      <c r="AA58" s="286"/>
      <c r="AB58" s="286"/>
      <c r="AC58" s="286"/>
      <c r="AD58" s="286"/>
      <c r="AE58" s="286"/>
      <c r="AF58" s="286"/>
      <c r="AG58" s="286"/>
    </row>
    <row r="59" ht="12.75" customHeight="1">
      <c r="A59" s="235"/>
      <c r="B59" s="252"/>
      <c r="C59" s="253"/>
      <c r="D59" s="254"/>
      <c r="E59" s="255"/>
      <c r="F59" s="255"/>
      <c r="G59" s="255"/>
      <c r="H59" s="255"/>
      <c r="I59" s="256"/>
      <c r="J59" s="257"/>
      <c r="K59" s="257"/>
      <c r="L59" s="257"/>
      <c r="M59" s="322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86"/>
      <c r="AB59" s="286"/>
      <c r="AC59" s="286"/>
      <c r="AD59" s="286"/>
      <c r="AE59" s="286"/>
      <c r="AF59" s="286"/>
      <c r="AG59" s="286"/>
    </row>
    <row r="60" ht="12.75" customHeight="1">
      <c r="A60" s="235"/>
      <c r="B60" s="252"/>
      <c r="C60" s="253"/>
      <c r="D60" s="254"/>
      <c r="E60" s="255"/>
      <c r="F60" s="255"/>
      <c r="G60" s="255"/>
      <c r="H60" s="255"/>
      <c r="I60" s="256"/>
      <c r="J60" s="257"/>
      <c r="K60" s="257"/>
      <c r="L60" s="257"/>
      <c r="M60" s="322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86"/>
      <c r="AB60" s="286"/>
      <c r="AC60" s="286"/>
      <c r="AD60" s="286"/>
      <c r="AE60" s="286"/>
      <c r="AF60" s="286"/>
      <c r="AG60" s="286"/>
    </row>
    <row r="61" ht="12.75" customHeight="1">
      <c r="A61" s="235"/>
      <c r="B61" s="252"/>
      <c r="C61" s="253"/>
      <c r="D61" s="254"/>
      <c r="E61" s="255"/>
      <c r="F61" s="255"/>
      <c r="G61" s="255"/>
      <c r="H61" s="255"/>
      <c r="I61" s="256"/>
      <c r="J61" s="257"/>
      <c r="K61" s="257"/>
      <c r="L61" s="257"/>
      <c r="M61" s="322"/>
      <c r="N61" s="286"/>
      <c r="O61" s="286"/>
      <c r="P61" s="286"/>
      <c r="Q61" s="286"/>
      <c r="R61" s="286"/>
      <c r="S61" s="286"/>
      <c r="T61" s="286"/>
      <c r="U61" s="286"/>
      <c r="V61" s="286"/>
      <c r="W61" s="286"/>
      <c r="X61" s="286"/>
      <c r="Y61" s="286"/>
      <c r="Z61" s="286"/>
      <c r="AA61" s="286"/>
      <c r="AB61" s="286"/>
      <c r="AC61" s="286"/>
      <c r="AD61" s="286"/>
      <c r="AE61" s="286"/>
      <c r="AF61" s="286"/>
      <c r="AG61" s="286"/>
    </row>
    <row r="62" ht="12.75" customHeight="1">
      <c r="A62" s="235"/>
      <c r="B62" s="252"/>
      <c r="C62" s="253"/>
      <c r="D62" s="254"/>
      <c r="E62" s="255"/>
      <c r="F62" s="255"/>
      <c r="G62" s="255"/>
      <c r="H62" s="255"/>
      <c r="I62" s="256"/>
      <c r="J62" s="257"/>
      <c r="K62" s="257"/>
      <c r="L62" s="257"/>
      <c r="M62" s="322"/>
      <c r="N62" s="286"/>
      <c r="O62" s="286"/>
      <c r="P62" s="286"/>
      <c r="Q62" s="286"/>
      <c r="R62" s="286"/>
      <c r="S62" s="286"/>
      <c r="T62" s="286"/>
      <c r="U62" s="286"/>
      <c r="V62" s="286"/>
      <c r="W62" s="286"/>
      <c r="X62" s="286"/>
      <c r="Y62" s="286"/>
      <c r="Z62" s="286"/>
      <c r="AA62" s="286"/>
      <c r="AB62" s="286"/>
      <c r="AC62" s="286"/>
      <c r="AD62" s="286"/>
      <c r="AE62" s="286"/>
      <c r="AF62" s="286"/>
      <c r="AG62" s="286"/>
    </row>
    <row r="63" ht="12.75" customHeight="1">
      <c r="A63" s="235"/>
      <c r="B63" s="252"/>
      <c r="C63" s="253"/>
      <c r="D63" s="254"/>
      <c r="E63" s="255"/>
      <c r="F63" s="255"/>
      <c r="G63" s="255"/>
      <c r="H63" s="255"/>
      <c r="I63" s="256"/>
      <c r="J63" s="257"/>
      <c r="K63" s="257"/>
      <c r="L63" s="257"/>
      <c r="M63" s="322"/>
      <c r="N63" s="286"/>
      <c r="O63" s="286"/>
      <c r="P63" s="286"/>
      <c r="Q63" s="286"/>
      <c r="R63" s="286"/>
      <c r="S63" s="286"/>
      <c r="T63" s="286"/>
      <c r="U63" s="286"/>
      <c r="V63" s="286"/>
      <c r="W63" s="286"/>
      <c r="X63" s="286"/>
      <c r="Y63" s="286"/>
      <c r="Z63" s="286"/>
      <c r="AA63" s="286"/>
      <c r="AB63" s="286"/>
      <c r="AC63" s="286"/>
      <c r="AD63" s="286"/>
      <c r="AE63" s="286"/>
      <c r="AF63" s="286"/>
      <c r="AG63" s="286"/>
    </row>
    <row r="64" ht="12.75" customHeight="1">
      <c r="A64" s="235"/>
      <c r="B64" s="252"/>
      <c r="C64" s="253"/>
      <c r="D64" s="254"/>
      <c r="E64" s="255"/>
      <c r="F64" s="255"/>
      <c r="G64" s="255"/>
      <c r="H64" s="255"/>
      <c r="I64" s="256"/>
      <c r="J64" s="257"/>
      <c r="K64" s="257"/>
      <c r="L64" s="257"/>
      <c r="M64" s="322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86"/>
      <c r="AB64" s="286"/>
      <c r="AC64" s="286"/>
      <c r="AD64" s="286"/>
      <c r="AE64" s="286"/>
      <c r="AF64" s="286"/>
      <c r="AG64" s="286"/>
    </row>
    <row r="65" ht="12.75" customHeight="1">
      <c r="A65" s="238"/>
      <c r="B65" s="259"/>
      <c r="C65" s="260"/>
      <c r="D65" s="261"/>
      <c r="E65" s="262"/>
      <c r="F65" s="262"/>
      <c r="G65" s="262"/>
      <c r="H65" s="262"/>
      <c r="I65" s="263"/>
      <c r="J65" s="264"/>
      <c r="K65" s="264"/>
      <c r="L65" s="264"/>
      <c r="M65" s="323"/>
    </row>
    <row r="66" ht="12.75" customHeight="1">
      <c r="A66" s="238"/>
      <c r="B66" s="266"/>
      <c r="C66" s="267"/>
      <c r="D66" s="268"/>
      <c r="E66" s="269"/>
      <c r="F66" s="269"/>
      <c r="G66" s="269"/>
      <c r="H66" s="269"/>
      <c r="I66" s="270"/>
      <c r="J66" s="271" t="s">
        <v>1221</v>
      </c>
      <c r="K66" s="324">
        <f>SUM(K58:K65)</f>
        <v>0</v>
      </c>
      <c r="L66" s="325"/>
      <c r="M66" s="272">
        <f>SUM(M58:M65)</f>
        <v>0</v>
      </c>
    </row>
    <row r="67" ht="12.75" customHeight="1">
      <c r="A67" s="238"/>
      <c r="B67" s="273"/>
      <c r="C67" s="274"/>
      <c r="D67" s="275"/>
      <c r="E67" s="276"/>
      <c r="F67" s="276"/>
      <c r="G67" s="277"/>
      <c r="H67" s="277"/>
      <c r="I67" s="278"/>
      <c r="J67" s="278"/>
      <c r="K67" s="326"/>
      <c r="L67" s="327"/>
      <c r="M67" s="328"/>
    </row>
    <row r="68" ht="9.0" customHeight="1">
      <c r="A68" s="245"/>
      <c r="B68" s="280"/>
      <c r="C68" s="281"/>
      <c r="D68" s="281"/>
      <c r="E68" s="281"/>
      <c r="F68" s="281"/>
      <c r="G68" s="282"/>
      <c r="H68" s="282"/>
      <c r="I68" s="283"/>
      <c r="J68" s="284"/>
      <c r="K68" s="284"/>
      <c r="L68" s="332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  <c r="AA68" s="286"/>
      <c r="AB68" s="286"/>
      <c r="AC68" s="286"/>
      <c r="AD68" s="286"/>
      <c r="AE68" s="286"/>
      <c r="AF68" s="286"/>
    </row>
    <row r="69" ht="21.0" customHeight="1">
      <c r="A69" s="245" t="s">
        <v>1232</v>
      </c>
      <c r="B69" s="246" t="s">
        <v>1233</v>
      </c>
      <c r="C69" s="247"/>
      <c r="D69" s="248"/>
      <c r="E69" s="247"/>
      <c r="F69" s="247"/>
      <c r="G69" s="247"/>
      <c r="H69" s="247"/>
      <c r="I69" s="249"/>
      <c r="J69" s="250"/>
      <c r="K69" s="250"/>
      <c r="L69" s="320"/>
      <c r="M69" s="321"/>
    </row>
    <row r="70" ht="12.75" customHeight="1">
      <c r="A70" s="235"/>
      <c r="B70" s="252"/>
      <c r="C70" s="253"/>
      <c r="D70" s="254"/>
      <c r="E70" s="255"/>
      <c r="F70" s="255"/>
      <c r="G70" s="255"/>
      <c r="H70" s="255"/>
      <c r="I70" s="256"/>
      <c r="J70" s="257"/>
      <c r="K70" s="257"/>
      <c r="L70" s="257"/>
      <c r="M70" s="322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  <c r="AA70" s="286"/>
      <c r="AB70" s="286"/>
      <c r="AC70" s="286"/>
      <c r="AD70" s="286"/>
      <c r="AE70" s="286"/>
      <c r="AF70" s="286"/>
      <c r="AG70" s="286"/>
    </row>
    <row r="71" ht="12.75" customHeight="1">
      <c r="A71" s="235"/>
      <c r="B71" s="252"/>
      <c r="C71" s="253"/>
      <c r="D71" s="254"/>
      <c r="E71" s="255"/>
      <c r="F71" s="255"/>
      <c r="G71" s="255"/>
      <c r="H71" s="255"/>
      <c r="I71" s="256"/>
      <c r="J71" s="257"/>
      <c r="K71" s="257"/>
      <c r="L71" s="257"/>
      <c r="M71" s="322"/>
      <c r="N71" s="286"/>
      <c r="O71" s="286"/>
      <c r="P71" s="286"/>
      <c r="Q71" s="286"/>
      <c r="R71" s="286"/>
      <c r="S71" s="286"/>
      <c r="T71" s="286"/>
      <c r="U71" s="286"/>
      <c r="V71" s="286"/>
      <c r="W71" s="286"/>
      <c r="X71" s="286"/>
      <c r="Y71" s="286"/>
      <c r="Z71" s="286"/>
      <c r="AA71" s="286"/>
      <c r="AB71" s="286"/>
      <c r="AC71" s="286"/>
      <c r="AD71" s="286"/>
      <c r="AE71" s="286"/>
      <c r="AF71" s="286"/>
      <c r="AG71" s="286"/>
    </row>
    <row r="72" ht="12.75" customHeight="1">
      <c r="A72" s="235"/>
      <c r="B72" s="252"/>
      <c r="C72" s="253"/>
      <c r="D72" s="254"/>
      <c r="E72" s="255"/>
      <c r="F72" s="255"/>
      <c r="G72" s="255"/>
      <c r="H72" s="255"/>
      <c r="I72" s="256"/>
      <c r="J72" s="257"/>
      <c r="K72" s="257"/>
      <c r="L72" s="257"/>
      <c r="M72" s="322"/>
      <c r="N72" s="286"/>
      <c r="O72" s="286"/>
      <c r="P72" s="286"/>
      <c r="Q72" s="286"/>
      <c r="R72" s="286"/>
      <c r="S72" s="286"/>
      <c r="T72" s="286"/>
      <c r="U72" s="286"/>
      <c r="V72" s="286"/>
      <c r="W72" s="286"/>
      <c r="X72" s="286"/>
      <c r="Y72" s="286"/>
      <c r="Z72" s="286"/>
      <c r="AA72" s="286"/>
      <c r="AB72" s="286"/>
      <c r="AC72" s="286"/>
      <c r="AD72" s="286"/>
      <c r="AE72" s="286"/>
      <c r="AF72" s="286"/>
      <c r="AG72" s="286"/>
    </row>
    <row r="73" ht="12.75" customHeight="1">
      <c r="A73" s="235"/>
      <c r="B73" s="252"/>
      <c r="C73" s="253"/>
      <c r="D73" s="254"/>
      <c r="E73" s="255"/>
      <c r="F73" s="255"/>
      <c r="G73" s="255"/>
      <c r="H73" s="255"/>
      <c r="I73" s="256"/>
      <c r="J73" s="257"/>
      <c r="K73" s="257"/>
      <c r="L73" s="257"/>
      <c r="M73" s="322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86"/>
      <c r="AB73" s="286"/>
      <c r="AC73" s="286"/>
      <c r="AD73" s="286"/>
      <c r="AE73" s="286"/>
      <c r="AF73" s="286"/>
      <c r="AG73" s="286"/>
    </row>
    <row r="74" ht="12.75" customHeight="1">
      <c r="A74" s="235"/>
      <c r="B74" s="252"/>
      <c r="C74" s="253"/>
      <c r="D74" s="254"/>
      <c r="E74" s="255"/>
      <c r="F74" s="255"/>
      <c r="G74" s="255"/>
      <c r="H74" s="255"/>
      <c r="I74" s="256"/>
      <c r="J74" s="257"/>
      <c r="K74" s="257"/>
      <c r="L74" s="257"/>
      <c r="M74" s="322"/>
      <c r="N74" s="286"/>
      <c r="O74" s="286"/>
      <c r="P74" s="286"/>
      <c r="Q74" s="286"/>
      <c r="R74" s="286"/>
      <c r="S74" s="286"/>
      <c r="T74" s="286"/>
      <c r="U74" s="286"/>
      <c r="V74" s="286"/>
      <c r="W74" s="286"/>
      <c r="X74" s="286"/>
      <c r="Y74" s="286"/>
      <c r="Z74" s="286"/>
      <c r="AA74" s="286"/>
      <c r="AB74" s="286"/>
      <c r="AC74" s="286"/>
      <c r="AD74" s="286"/>
      <c r="AE74" s="286"/>
      <c r="AF74" s="286"/>
      <c r="AG74" s="286"/>
    </row>
    <row r="75" ht="12.75" customHeight="1">
      <c r="A75" s="235"/>
      <c r="B75" s="252"/>
      <c r="C75" s="253"/>
      <c r="D75" s="254"/>
      <c r="E75" s="255"/>
      <c r="F75" s="255"/>
      <c r="G75" s="255"/>
      <c r="H75" s="255"/>
      <c r="I75" s="256"/>
      <c r="J75" s="257"/>
      <c r="K75" s="257"/>
      <c r="L75" s="257"/>
      <c r="M75" s="322"/>
      <c r="N75" s="286"/>
      <c r="O75" s="286"/>
      <c r="P75" s="286"/>
      <c r="Q75" s="286"/>
      <c r="R75" s="286"/>
      <c r="S75" s="286"/>
      <c r="T75" s="286"/>
      <c r="U75" s="286"/>
      <c r="V75" s="286"/>
      <c r="W75" s="286"/>
      <c r="X75" s="286"/>
      <c r="Y75" s="286"/>
      <c r="Z75" s="286"/>
      <c r="AA75" s="286"/>
      <c r="AB75" s="286"/>
      <c r="AC75" s="286"/>
      <c r="AD75" s="286"/>
      <c r="AE75" s="286"/>
      <c r="AF75" s="286"/>
      <c r="AG75" s="286"/>
    </row>
    <row r="76" ht="12.75" customHeight="1">
      <c r="A76" s="235"/>
      <c r="B76" s="252"/>
      <c r="C76" s="253"/>
      <c r="D76" s="254"/>
      <c r="E76" s="255"/>
      <c r="F76" s="255"/>
      <c r="G76" s="255"/>
      <c r="H76" s="255"/>
      <c r="I76" s="256"/>
      <c r="J76" s="257"/>
      <c r="K76" s="257"/>
      <c r="L76" s="257"/>
      <c r="M76" s="322"/>
      <c r="N76" s="286"/>
      <c r="O76" s="286"/>
      <c r="P76" s="286"/>
      <c r="Q76" s="286"/>
      <c r="R76" s="286"/>
      <c r="S76" s="286"/>
      <c r="T76" s="286"/>
      <c r="U76" s="286"/>
      <c r="V76" s="286"/>
      <c r="W76" s="286"/>
      <c r="X76" s="286"/>
      <c r="Y76" s="286"/>
      <c r="Z76" s="286"/>
      <c r="AA76" s="286"/>
      <c r="AB76" s="286"/>
      <c r="AC76" s="286"/>
      <c r="AD76" s="286"/>
      <c r="AE76" s="286"/>
      <c r="AF76" s="286"/>
      <c r="AG76" s="286"/>
    </row>
    <row r="77" ht="12.75" customHeight="1">
      <c r="A77" s="238"/>
      <c r="B77" s="259"/>
      <c r="C77" s="260"/>
      <c r="D77" s="261"/>
      <c r="E77" s="262"/>
      <c r="F77" s="262"/>
      <c r="G77" s="262"/>
      <c r="H77" s="262"/>
      <c r="I77" s="263"/>
      <c r="J77" s="264"/>
      <c r="K77" s="264"/>
      <c r="L77" s="264"/>
      <c r="M77" s="323"/>
    </row>
    <row r="78" ht="12.75" customHeight="1">
      <c r="A78" s="238"/>
      <c r="B78" s="266"/>
      <c r="C78" s="267"/>
      <c r="D78" s="268"/>
      <c r="E78" s="269"/>
      <c r="F78" s="269"/>
      <c r="G78" s="269"/>
      <c r="H78" s="269"/>
      <c r="I78" s="270"/>
      <c r="J78" s="271" t="s">
        <v>1221</v>
      </c>
      <c r="K78" s="324">
        <f>SUM(K70:K77)</f>
        <v>0</v>
      </c>
      <c r="L78" s="325"/>
      <c r="M78" s="272">
        <f>SUM(M70:M77)</f>
        <v>0</v>
      </c>
    </row>
    <row r="79" ht="12.75" customHeight="1">
      <c r="A79" s="238"/>
      <c r="B79" s="273"/>
      <c r="C79" s="274"/>
      <c r="D79" s="275"/>
      <c r="E79" s="276"/>
      <c r="F79" s="276"/>
      <c r="G79" s="277"/>
      <c r="H79" s="277"/>
      <c r="I79" s="278"/>
      <c r="J79" s="278"/>
      <c r="K79" s="326"/>
      <c r="L79" s="327"/>
      <c r="M79" s="328"/>
    </row>
    <row r="80" ht="9.0" customHeight="1">
      <c r="A80" s="245"/>
      <c r="B80" s="280"/>
      <c r="C80" s="281"/>
      <c r="D80" s="281"/>
      <c r="E80" s="281"/>
      <c r="F80" s="281"/>
      <c r="G80" s="282"/>
      <c r="H80" s="282"/>
      <c r="I80" s="283"/>
      <c r="J80" s="284"/>
      <c r="K80" s="284"/>
      <c r="L80" s="332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86"/>
      <c r="AB80" s="286"/>
      <c r="AC80" s="286"/>
      <c r="AD80" s="286"/>
      <c r="AE80" s="286"/>
      <c r="AF80" s="286"/>
    </row>
    <row r="81" ht="21.0" customHeight="1">
      <c r="A81" s="245" t="s">
        <v>1232</v>
      </c>
      <c r="B81" s="246" t="s">
        <v>1233</v>
      </c>
      <c r="C81" s="247"/>
      <c r="D81" s="248"/>
      <c r="E81" s="247"/>
      <c r="F81" s="247"/>
      <c r="G81" s="247"/>
      <c r="H81" s="247"/>
      <c r="I81" s="249"/>
      <c r="J81" s="250"/>
      <c r="K81" s="250"/>
      <c r="L81" s="320"/>
      <c r="M81" s="321"/>
    </row>
    <row r="82" ht="12.75" customHeight="1">
      <c r="A82" s="235"/>
      <c r="B82" s="252"/>
      <c r="C82" s="253"/>
      <c r="D82" s="254"/>
      <c r="E82" s="255"/>
      <c r="F82" s="255"/>
      <c r="G82" s="255"/>
      <c r="H82" s="255"/>
      <c r="I82" s="256"/>
      <c r="J82" s="257"/>
      <c r="K82" s="257"/>
      <c r="L82" s="257"/>
      <c r="M82" s="322"/>
      <c r="N82" s="286"/>
      <c r="O82" s="286"/>
      <c r="P82" s="286"/>
      <c r="Q82" s="286"/>
      <c r="R82" s="286"/>
      <c r="S82" s="286"/>
      <c r="T82" s="286"/>
      <c r="U82" s="286"/>
      <c r="V82" s="286"/>
      <c r="W82" s="286"/>
      <c r="X82" s="286"/>
      <c r="Y82" s="286"/>
      <c r="Z82" s="286"/>
      <c r="AA82" s="286"/>
      <c r="AB82" s="286"/>
      <c r="AC82" s="286"/>
      <c r="AD82" s="286"/>
      <c r="AE82" s="286"/>
      <c r="AF82" s="286"/>
      <c r="AG82" s="286"/>
    </row>
    <row r="83" ht="12.75" customHeight="1">
      <c r="A83" s="235"/>
      <c r="B83" s="252"/>
      <c r="C83" s="253"/>
      <c r="D83" s="254"/>
      <c r="E83" s="255"/>
      <c r="F83" s="255"/>
      <c r="G83" s="255"/>
      <c r="H83" s="255"/>
      <c r="I83" s="256"/>
      <c r="J83" s="257"/>
      <c r="K83" s="257"/>
      <c r="L83" s="257"/>
      <c r="M83" s="322"/>
      <c r="N83" s="286"/>
      <c r="O83" s="286"/>
      <c r="P83" s="286"/>
      <c r="Q83" s="286"/>
      <c r="R83" s="286"/>
      <c r="S83" s="286"/>
      <c r="T83" s="286"/>
      <c r="U83" s="286"/>
      <c r="V83" s="286"/>
      <c r="W83" s="286"/>
      <c r="X83" s="286"/>
      <c r="Y83" s="286"/>
      <c r="Z83" s="286"/>
      <c r="AA83" s="286"/>
      <c r="AB83" s="286"/>
      <c r="AC83" s="286"/>
      <c r="AD83" s="286"/>
      <c r="AE83" s="286"/>
      <c r="AF83" s="286"/>
      <c r="AG83" s="286"/>
    </row>
    <row r="84" ht="12.75" customHeight="1">
      <c r="A84" s="235"/>
      <c r="B84" s="252"/>
      <c r="C84" s="253"/>
      <c r="D84" s="254"/>
      <c r="E84" s="255"/>
      <c r="F84" s="255"/>
      <c r="G84" s="255"/>
      <c r="H84" s="255"/>
      <c r="I84" s="256"/>
      <c r="J84" s="257"/>
      <c r="K84" s="257"/>
      <c r="L84" s="257"/>
      <c r="M84" s="322"/>
      <c r="N84" s="286"/>
      <c r="O84" s="286"/>
      <c r="P84" s="286"/>
      <c r="Q84" s="286"/>
      <c r="R84" s="286"/>
      <c r="S84" s="286"/>
      <c r="T84" s="286"/>
      <c r="U84" s="286"/>
      <c r="V84" s="286"/>
      <c r="W84" s="286"/>
      <c r="X84" s="286"/>
      <c r="Y84" s="286"/>
      <c r="Z84" s="286"/>
      <c r="AA84" s="286"/>
      <c r="AB84" s="286"/>
      <c r="AC84" s="286"/>
      <c r="AD84" s="286"/>
      <c r="AE84" s="286"/>
      <c r="AF84" s="286"/>
      <c r="AG84" s="286"/>
    </row>
    <row r="85" ht="12.75" customHeight="1">
      <c r="A85" s="235"/>
      <c r="B85" s="252"/>
      <c r="C85" s="253"/>
      <c r="D85" s="254"/>
      <c r="E85" s="255"/>
      <c r="F85" s="255"/>
      <c r="G85" s="255"/>
      <c r="H85" s="255"/>
      <c r="I85" s="256"/>
      <c r="J85" s="257"/>
      <c r="K85" s="257"/>
      <c r="L85" s="257"/>
      <c r="M85" s="322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86"/>
      <c r="AB85" s="286"/>
      <c r="AC85" s="286"/>
      <c r="AD85" s="286"/>
      <c r="AE85" s="286"/>
      <c r="AF85" s="286"/>
      <c r="AG85" s="286"/>
    </row>
    <row r="86" ht="12.75" customHeight="1">
      <c r="A86" s="235"/>
      <c r="B86" s="252"/>
      <c r="C86" s="253"/>
      <c r="D86" s="254"/>
      <c r="E86" s="255"/>
      <c r="F86" s="255"/>
      <c r="G86" s="255"/>
      <c r="H86" s="255"/>
      <c r="I86" s="256"/>
      <c r="J86" s="257"/>
      <c r="K86" s="257"/>
      <c r="L86" s="257"/>
      <c r="M86" s="322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86"/>
      <c r="AB86" s="286"/>
      <c r="AC86" s="286"/>
      <c r="AD86" s="286"/>
      <c r="AE86" s="286"/>
      <c r="AF86" s="286"/>
      <c r="AG86" s="286"/>
    </row>
    <row r="87" ht="12.75" customHeight="1">
      <c r="A87" s="235"/>
      <c r="B87" s="252"/>
      <c r="C87" s="253"/>
      <c r="D87" s="254"/>
      <c r="E87" s="255"/>
      <c r="F87" s="255"/>
      <c r="G87" s="255"/>
      <c r="H87" s="255"/>
      <c r="I87" s="256"/>
      <c r="J87" s="257"/>
      <c r="K87" s="257"/>
      <c r="L87" s="257"/>
      <c r="M87" s="322"/>
      <c r="N87" s="286"/>
      <c r="O87" s="286"/>
      <c r="P87" s="286"/>
      <c r="Q87" s="286"/>
      <c r="R87" s="286"/>
      <c r="S87" s="286"/>
      <c r="T87" s="286"/>
      <c r="U87" s="286"/>
      <c r="V87" s="286"/>
      <c r="W87" s="286"/>
      <c r="X87" s="286"/>
      <c r="Y87" s="286"/>
      <c r="Z87" s="286"/>
      <c r="AA87" s="286"/>
      <c r="AB87" s="286"/>
      <c r="AC87" s="286"/>
      <c r="AD87" s="286"/>
      <c r="AE87" s="286"/>
      <c r="AF87" s="286"/>
      <c r="AG87" s="286"/>
    </row>
    <row r="88" ht="12.75" customHeight="1">
      <c r="A88" s="235"/>
      <c r="B88" s="252"/>
      <c r="C88" s="253"/>
      <c r="D88" s="254"/>
      <c r="E88" s="255"/>
      <c r="F88" s="255"/>
      <c r="G88" s="255"/>
      <c r="H88" s="255"/>
      <c r="I88" s="256"/>
      <c r="J88" s="257"/>
      <c r="K88" s="257"/>
      <c r="L88" s="257"/>
      <c r="M88" s="322"/>
      <c r="N88" s="286"/>
      <c r="O88" s="286"/>
      <c r="P88" s="286"/>
      <c r="Q88" s="286"/>
      <c r="R88" s="286"/>
      <c r="S88" s="286"/>
      <c r="T88" s="286"/>
      <c r="U88" s="286"/>
      <c r="V88" s="286"/>
      <c r="W88" s="286"/>
      <c r="X88" s="286"/>
      <c r="Y88" s="286"/>
      <c r="Z88" s="286"/>
      <c r="AA88" s="286"/>
      <c r="AB88" s="286"/>
      <c r="AC88" s="286"/>
      <c r="AD88" s="286"/>
      <c r="AE88" s="286"/>
      <c r="AF88" s="286"/>
      <c r="AG88" s="286"/>
    </row>
    <row r="89" ht="12.75" customHeight="1">
      <c r="A89" s="238"/>
      <c r="B89" s="259"/>
      <c r="C89" s="260"/>
      <c r="D89" s="261"/>
      <c r="E89" s="262"/>
      <c r="F89" s="262"/>
      <c r="G89" s="262"/>
      <c r="H89" s="262"/>
      <c r="I89" s="263"/>
      <c r="J89" s="264"/>
      <c r="K89" s="264"/>
      <c r="L89" s="264"/>
      <c r="M89" s="323"/>
    </row>
    <row r="90" ht="12.75" customHeight="1">
      <c r="A90" s="238"/>
      <c r="B90" s="266"/>
      <c r="C90" s="267"/>
      <c r="D90" s="268"/>
      <c r="E90" s="269"/>
      <c r="F90" s="269"/>
      <c r="G90" s="269"/>
      <c r="H90" s="269"/>
      <c r="I90" s="270"/>
      <c r="J90" s="271" t="s">
        <v>1221</v>
      </c>
      <c r="K90" s="324">
        <f>SUM(K82:K89)</f>
        <v>0</v>
      </c>
      <c r="L90" s="325"/>
      <c r="M90" s="272">
        <f>SUM(M82:M89)</f>
        <v>0</v>
      </c>
    </row>
    <row r="91" ht="12.75" customHeight="1">
      <c r="A91" s="238"/>
      <c r="B91" s="273"/>
      <c r="C91" s="274"/>
      <c r="D91" s="275"/>
      <c r="E91" s="276"/>
      <c r="F91" s="276"/>
      <c r="G91" s="277"/>
      <c r="H91" s="277"/>
      <c r="I91" s="278"/>
      <c r="J91" s="278"/>
      <c r="K91" s="326"/>
      <c r="L91" s="327"/>
      <c r="M91" s="328"/>
    </row>
    <row r="92" ht="9.0" customHeight="1">
      <c r="A92" s="245"/>
      <c r="B92" s="280"/>
      <c r="C92" s="281"/>
      <c r="D92" s="281"/>
      <c r="E92" s="281"/>
      <c r="F92" s="281"/>
      <c r="G92" s="282"/>
      <c r="H92" s="282"/>
      <c r="I92" s="283"/>
      <c r="J92" s="284"/>
      <c r="K92" s="284"/>
      <c r="L92" s="332"/>
      <c r="M92" s="286"/>
      <c r="N92" s="286"/>
      <c r="O92" s="286"/>
      <c r="P92" s="286"/>
      <c r="Q92" s="286"/>
      <c r="R92" s="286"/>
      <c r="S92" s="286"/>
      <c r="T92" s="286"/>
      <c r="U92" s="286"/>
      <c r="V92" s="286"/>
      <c r="W92" s="286"/>
      <c r="X92" s="286"/>
      <c r="Y92" s="286"/>
      <c r="Z92" s="286"/>
      <c r="AA92" s="286"/>
      <c r="AB92" s="286"/>
      <c r="AC92" s="286"/>
      <c r="AD92" s="286"/>
      <c r="AE92" s="286"/>
      <c r="AF92" s="286"/>
    </row>
    <row r="93" ht="21.0" customHeight="1">
      <c r="A93" s="245" t="s">
        <v>1232</v>
      </c>
      <c r="B93" s="246" t="s">
        <v>1233</v>
      </c>
      <c r="C93" s="247"/>
      <c r="D93" s="248"/>
      <c r="E93" s="247"/>
      <c r="F93" s="247"/>
      <c r="G93" s="247"/>
      <c r="H93" s="247"/>
      <c r="I93" s="249"/>
      <c r="J93" s="250"/>
      <c r="K93" s="250"/>
      <c r="L93" s="320"/>
      <c r="M93" s="321"/>
    </row>
    <row r="94" ht="12.75" customHeight="1">
      <c r="A94" s="235"/>
      <c r="B94" s="252"/>
      <c r="C94" s="253"/>
      <c r="D94" s="254"/>
      <c r="E94" s="255"/>
      <c r="F94" s="255"/>
      <c r="G94" s="255"/>
      <c r="H94" s="255"/>
      <c r="I94" s="256"/>
      <c r="J94" s="257"/>
      <c r="K94" s="257"/>
      <c r="L94" s="257"/>
      <c r="M94" s="322"/>
      <c r="N94" s="286"/>
      <c r="O94" s="286"/>
      <c r="P94" s="286"/>
      <c r="Q94" s="286"/>
      <c r="R94" s="286"/>
      <c r="S94" s="286"/>
      <c r="T94" s="286"/>
      <c r="U94" s="286"/>
      <c r="V94" s="286"/>
      <c r="W94" s="286"/>
      <c r="X94" s="286"/>
      <c r="Y94" s="286"/>
      <c r="Z94" s="286"/>
      <c r="AA94" s="286"/>
      <c r="AB94" s="286"/>
      <c r="AC94" s="286"/>
      <c r="AD94" s="286"/>
      <c r="AE94" s="286"/>
      <c r="AF94" s="286"/>
      <c r="AG94" s="286"/>
    </row>
    <row r="95" ht="12.75" customHeight="1">
      <c r="A95" s="235"/>
      <c r="B95" s="252"/>
      <c r="C95" s="253"/>
      <c r="D95" s="254"/>
      <c r="E95" s="255"/>
      <c r="F95" s="255"/>
      <c r="G95" s="255"/>
      <c r="H95" s="255"/>
      <c r="I95" s="256"/>
      <c r="J95" s="257"/>
      <c r="K95" s="257"/>
      <c r="L95" s="257"/>
      <c r="M95" s="322"/>
      <c r="N95" s="286"/>
      <c r="O95" s="286"/>
      <c r="P95" s="286"/>
      <c r="Q95" s="286"/>
      <c r="R95" s="286"/>
      <c r="S95" s="286"/>
      <c r="T95" s="286"/>
      <c r="U95" s="286"/>
      <c r="V95" s="286"/>
      <c r="W95" s="286"/>
      <c r="X95" s="286"/>
      <c r="Y95" s="286"/>
      <c r="Z95" s="286"/>
      <c r="AA95" s="286"/>
      <c r="AB95" s="286"/>
      <c r="AC95" s="286"/>
      <c r="AD95" s="286"/>
      <c r="AE95" s="286"/>
      <c r="AF95" s="286"/>
      <c r="AG95" s="286"/>
    </row>
    <row r="96" ht="12.75" customHeight="1">
      <c r="A96" s="235"/>
      <c r="B96" s="252"/>
      <c r="C96" s="253"/>
      <c r="D96" s="254"/>
      <c r="E96" s="255"/>
      <c r="F96" s="255"/>
      <c r="G96" s="255"/>
      <c r="H96" s="255"/>
      <c r="I96" s="256"/>
      <c r="J96" s="257"/>
      <c r="K96" s="257"/>
      <c r="L96" s="257"/>
      <c r="M96" s="322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86"/>
      <c r="AB96" s="286"/>
      <c r="AC96" s="286"/>
      <c r="AD96" s="286"/>
      <c r="AE96" s="286"/>
      <c r="AF96" s="286"/>
      <c r="AG96" s="286"/>
    </row>
    <row r="97" ht="12.75" customHeight="1">
      <c r="A97" s="235"/>
      <c r="B97" s="252"/>
      <c r="C97" s="253"/>
      <c r="D97" s="254"/>
      <c r="E97" s="255"/>
      <c r="F97" s="255"/>
      <c r="G97" s="255"/>
      <c r="H97" s="255"/>
      <c r="I97" s="256"/>
      <c r="J97" s="257"/>
      <c r="K97" s="257"/>
      <c r="L97" s="257"/>
      <c r="M97" s="322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  <c r="AA97" s="286"/>
      <c r="AB97" s="286"/>
      <c r="AC97" s="286"/>
      <c r="AD97" s="286"/>
      <c r="AE97" s="286"/>
      <c r="AF97" s="286"/>
      <c r="AG97" s="286"/>
    </row>
    <row r="98" ht="12.75" customHeight="1">
      <c r="A98" s="235"/>
      <c r="B98" s="252"/>
      <c r="C98" s="253"/>
      <c r="D98" s="254"/>
      <c r="E98" s="255"/>
      <c r="F98" s="255"/>
      <c r="G98" s="255"/>
      <c r="H98" s="255"/>
      <c r="I98" s="256"/>
      <c r="J98" s="257"/>
      <c r="K98" s="257"/>
      <c r="L98" s="257"/>
      <c r="M98" s="322"/>
      <c r="N98" s="286"/>
      <c r="O98" s="286"/>
      <c r="P98" s="286"/>
      <c r="Q98" s="286"/>
      <c r="R98" s="286"/>
      <c r="S98" s="286"/>
      <c r="T98" s="286"/>
      <c r="U98" s="286"/>
      <c r="V98" s="286"/>
      <c r="W98" s="286"/>
      <c r="X98" s="286"/>
      <c r="Y98" s="286"/>
      <c r="Z98" s="286"/>
      <c r="AA98" s="286"/>
      <c r="AB98" s="286"/>
      <c r="AC98" s="286"/>
      <c r="AD98" s="286"/>
      <c r="AE98" s="286"/>
      <c r="AF98" s="286"/>
      <c r="AG98" s="286"/>
    </row>
    <row r="99" ht="12.75" customHeight="1">
      <c r="A99" s="235"/>
      <c r="B99" s="252"/>
      <c r="C99" s="253"/>
      <c r="D99" s="254"/>
      <c r="E99" s="255"/>
      <c r="F99" s="255"/>
      <c r="G99" s="255"/>
      <c r="H99" s="255"/>
      <c r="I99" s="256"/>
      <c r="J99" s="257"/>
      <c r="K99" s="257"/>
      <c r="L99" s="257"/>
      <c r="M99" s="322"/>
      <c r="N99" s="286"/>
      <c r="O99" s="286"/>
      <c r="P99" s="286"/>
      <c r="Q99" s="286"/>
      <c r="R99" s="286"/>
      <c r="S99" s="286"/>
      <c r="T99" s="286"/>
      <c r="U99" s="286"/>
      <c r="V99" s="286"/>
      <c r="W99" s="286"/>
      <c r="X99" s="286"/>
      <c r="Y99" s="286"/>
      <c r="Z99" s="286"/>
      <c r="AA99" s="286"/>
      <c r="AB99" s="286"/>
      <c r="AC99" s="286"/>
      <c r="AD99" s="286"/>
      <c r="AE99" s="286"/>
      <c r="AF99" s="286"/>
      <c r="AG99" s="286"/>
    </row>
    <row r="100" ht="12.75" customHeight="1">
      <c r="A100" s="235"/>
      <c r="B100" s="252"/>
      <c r="C100" s="253"/>
      <c r="D100" s="254"/>
      <c r="E100" s="255"/>
      <c r="F100" s="255"/>
      <c r="G100" s="255"/>
      <c r="H100" s="255"/>
      <c r="I100" s="256"/>
      <c r="J100" s="257"/>
      <c r="K100" s="257"/>
      <c r="L100" s="257"/>
      <c r="M100" s="322"/>
      <c r="N100" s="286"/>
      <c r="O100" s="286"/>
      <c r="P100" s="286"/>
      <c r="Q100" s="286"/>
      <c r="R100" s="286"/>
      <c r="S100" s="286"/>
      <c r="T100" s="286"/>
      <c r="U100" s="286"/>
      <c r="V100" s="286"/>
      <c r="W100" s="286"/>
      <c r="X100" s="286"/>
      <c r="Y100" s="286"/>
      <c r="Z100" s="286"/>
      <c r="AA100" s="286"/>
      <c r="AB100" s="286"/>
      <c r="AC100" s="286"/>
      <c r="AD100" s="286"/>
      <c r="AE100" s="286"/>
      <c r="AF100" s="286"/>
      <c r="AG100" s="286"/>
    </row>
    <row r="101" ht="12.75" customHeight="1">
      <c r="A101" s="238"/>
      <c r="B101" s="259"/>
      <c r="C101" s="260"/>
      <c r="D101" s="261"/>
      <c r="E101" s="262"/>
      <c r="F101" s="262"/>
      <c r="G101" s="262"/>
      <c r="H101" s="262"/>
      <c r="I101" s="263"/>
      <c r="J101" s="264"/>
      <c r="K101" s="264"/>
      <c r="L101" s="264"/>
      <c r="M101" s="323"/>
    </row>
    <row r="102" ht="12.75" customHeight="1">
      <c r="A102" s="238"/>
      <c r="B102" s="266"/>
      <c r="C102" s="267"/>
      <c r="D102" s="268"/>
      <c r="E102" s="269"/>
      <c r="F102" s="269"/>
      <c r="G102" s="269"/>
      <c r="H102" s="269"/>
      <c r="I102" s="270"/>
      <c r="J102" s="271" t="s">
        <v>1221</v>
      </c>
      <c r="K102" s="324">
        <f>SUM(K94:K101)</f>
        <v>0</v>
      </c>
      <c r="L102" s="325"/>
      <c r="M102" s="272">
        <f>SUM(M94:M101)</f>
        <v>0</v>
      </c>
    </row>
    <row r="103" ht="12.75" customHeight="1">
      <c r="A103" s="238"/>
      <c r="B103" s="273"/>
      <c r="C103" s="274"/>
      <c r="D103" s="275"/>
      <c r="E103" s="276"/>
      <c r="F103" s="276"/>
      <c r="G103" s="277"/>
      <c r="H103" s="277"/>
      <c r="I103" s="278"/>
      <c r="J103" s="278"/>
      <c r="K103" s="326"/>
      <c r="L103" s="327"/>
      <c r="M103" s="328"/>
    </row>
    <row r="104" ht="12.75" customHeight="1">
      <c r="A104" s="235"/>
      <c r="B104" s="301"/>
      <c r="C104" s="302"/>
      <c r="D104" s="302"/>
      <c r="E104" s="302"/>
      <c r="F104" s="302"/>
      <c r="G104" s="303"/>
      <c r="H104" s="302"/>
      <c r="I104" s="303"/>
      <c r="J104" s="304" t="s">
        <v>1234</v>
      </c>
      <c r="K104" s="333">
        <f>K102+K90+K78+K66</f>
        <v>0</v>
      </c>
      <c r="L104" s="337"/>
      <c r="M104" s="333">
        <f>M102+M90+M78+M66</f>
        <v>0</v>
      </c>
      <c r="N104" s="286"/>
      <c r="O104" s="286"/>
      <c r="P104" s="286"/>
      <c r="Q104" s="286"/>
      <c r="R104" s="286"/>
      <c r="S104" s="286"/>
      <c r="T104" s="286"/>
      <c r="U104" s="286"/>
      <c r="V104" s="286"/>
      <c r="W104" s="286"/>
      <c r="X104" s="286"/>
      <c r="Y104" s="286"/>
      <c r="Z104" s="286"/>
      <c r="AA104" s="286"/>
      <c r="AB104" s="286"/>
      <c r="AC104" s="286"/>
      <c r="AD104" s="286"/>
      <c r="AE104" s="286"/>
      <c r="AF104" s="286"/>
      <c r="AG104" s="286"/>
    </row>
    <row r="105" ht="18.0" customHeight="1">
      <c r="A105" s="235"/>
      <c r="B105" s="307"/>
      <c r="C105" s="307"/>
      <c r="D105" s="307"/>
      <c r="E105" s="307"/>
      <c r="F105" s="307"/>
      <c r="G105" s="308"/>
      <c r="H105" s="307"/>
      <c r="I105" s="308"/>
      <c r="J105" s="307"/>
      <c r="K105" s="338"/>
      <c r="L105" s="339"/>
      <c r="M105" s="339"/>
      <c r="N105" s="286"/>
      <c r="O105" s="286"/>
      <c r="P105" s="286"/>
      <c r="Q105" s="286"/>
      <c r="R105" s="286"/>
      <c r="S105" s="286"/>
      <c r="T105" s="286"/>
      <c r="U105" s="286"/>
      <c r="V105" s="286"/>
      <c r="W105" s="286"/>
      <c r="X105" s="286"/>
      <c r="Y105" s="286"/>
      <c r="Z105" s="286"/>
      <c r="AA105" s="286"/>
      <c r="AB105" s="286"/>
      <c r="AC105" s="286"/>
      <c r="AD105" s="286"/>
      <c r="AE105" s="286"/>
      <c r="AF105" s="286"/>
      <c r="AG105" s="286"/>
    </row>
    <row r="106" ht="12.75" customHeight="1">
      <c r="A106" s="238"/>
      <c r="B106" s="239" t="s">
        <v>1241</v>
      </c>
      <c r="C106" s="240" t="s">
        <v>1224</v>
      </c>
      <c r="D106" s="240" t="s">
        <v>1225</v>
      </c>
      <c r="E106" s="240" t="s">
        <v>1226</v>
      </c>
      <c r="F106" s="240" t="s">
        <v>1227</v>
      </c>
      <c r="G106" s="240" t="s">
        <v>1228</v>
      </c>
      <c r="H106" s="240" t="s">
        <v>1229</v>
      </c>
      <c r="I106" s="240" t="s">
        <v>1230</v>
      </c>
      <c r="J106" s="240" t="s">
        <v>1231</v>
      </c>
      <c r="K106" s="240" t="s">
        <v>96</v>
      </c>
      <c r="L106" s="318" t="s">
        <v>1238</v>
      </c>
      <c r="M106" s="318" t="s">
        <v>1239</v>
      </c>
      <c r="N106" s="238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168"/>
      <c r="Z106" s="168"/>
      <c r="AA106" s="66"/>
    </row>
    <row r="107" ht="18.75" customHeight="1">
      <c r="A107" s="238"/>
      <c r="B107" s="242"/>
      <c r="C107" s="243"/>
      <c r="D107" s="243"/>
      <c r="E107" s="243"/>
      <c r="F107" s="243"/>
      <c r="G107" s="243"/>
      <c r="H107" s="243"/>
      <c r="I107" s="243"/>
      <c r="J107" s="243"/>
      <c r="K107" s="243"/>
      <c r="L107" s="319"/>
      <c r="M107" s="319"/>
      <c r="N107" s="238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168"/>
      <c r="Z107" s="168"/>
      <c r="AA107" s="66"/>
    </row>
    <row r="108" ht="21.0" customHeight="1">
      <c r="A108" s="245" t="s">
        <v>1232</v>
      </c>
      <c r="B108" s="246" t="s">
        <v>1233</v>
      </c>
      <c r="C108" s="247"/>
      <c r="D108" s="248"/>
      <c r="E108" s="247"/>
      <c r="F108" s="247"/>
      <c r="G108" s="247"/>
      <c r="H108" s="247"/>
      <c r="I108" s="249"/>
      <c r="J108" s="250"/>
      <c r="K108" s="250"/>
      <c r="L108" s="320"/>
      <c r="M108" s="321"/>
    </row>
    <row r="109" ht="12.75" customHeight="1">
      <c r="A109" s="238"/>
      <c r="B109" s="252"/>
      <c r="C109" s="253"/>
      <c r="D109" s="254"/>
      <c r="E109" s="255"/>
      <c r="F109" s="255"/>
      <c r="G109" s="255"/>
      <c r="H109" s="255"/>
      <c r="I109" s="256"/>
      <c r="J109" s="257"/>
      <c r="K109" s="257"/>
      <c r="L109" s="257"/>
      <c r="M109" s="322"/>
    </row>
    <row r="110" ht="12.75" customHeight="1">
      <c r="A110" s="238"/>
      <c r="B110" s="252"/>
      <c r="C110" s="253"/>
      <c r="D110" s="254"/>
      <c r="E110" s="255"/>
      <c r="F110" s="255"/>
      <c r="G110" s="255"/>
      <c r="H110" s="255"/>
      <c r="I110" s="256"/>
      <c r="J110" s="257"/>
      <c r="K110" s="257"/>
      <c r="L110" s="257"/>
      <c r="M110" s="322"/>
    </row>
    <row r="111" ht="12.75" customHeight="1">
      <c r="A111" s="238"/>
      <c r="B111" s="252"/>
      <c r="C111" s="253"/>
      <c r="D111" s="254"/>
      <c r="E111" s="255"/>
      <c r="F111" s="255"/>
      <c r="G111" s="255"/>
      <c r="H111" s="255"/>
      <c r="I111" s="256"/>
      <c r="J111" s="257"/>
      <c r="K111" s="257"/>
      <c r="L111" s="257"/>
      <c r="M111" s="322"/>
    </row>
    <row r="112" ht="12.75" customHeight="1">
      <c r="A112" s="238"/>
      <c r="B112" s="252"/>
      <c r="C112" s="253"/>
      <c r="D112" s="254"/>
      <c r="E112" s="255"/>
      <c r="F112" s="255"/>
      <c r="G112" s="255"/>
      <c r="H112" s="255"/>
      <c r="I112" s="256"/>
      <c r="J112" s="257"/>
      <c r="K112" s="257"/>
      <c r="L112" s="257"/>
      <c r="M112" s="322"/>
    </row>
    <row r="113" ht="12.75" customHeight="1">
      <c r="A113" s="238"/>
      <c r="B113" s="252"/>
      <c r="C113" s="253"/>
      <c r="D113" s="254"/>
      <c r="E113" s="255"/>
      <c r="F113" s="255"/>
      <c r="G113" s="255"/>
      <c r="H113" s="255"/>
      <c r="I113" s="256"/>
      <c r="J113" s="257"/>
      <c r="K113" s="257"/>
      <c r="L113" s="257"/>
      <c r="M113" s="322"/>
    </row>
    <row r="114" ht="12.75" customHeight="1">
      <c r="A114" s="238"/>
      <c r="B114" s="252"/>
      <c r="C114" s="253"/>
      <c r="D114" s="254"/>
      <c r="E114" s="255"/>
      <c r="F114" s="255"/>
      <c r="G114" s="255"/>
      <c r="H114" s="255"/>
      <c r="I114" s="256"/>
      <c r="J114" s="257"/>
      <c r="K114" s="257"/>
      <c r="L114" s="257"/>
      <c r="M114" s="322"/>
    </row>
    <row r="115" ht="12.75" customHeight="1">
      <c r="A115" s="238"/>
      <c r="B115" s="252"/>
      <c r="C115" s="253"/>
      <c r="D115" s="254"/>
      <c r="E115" s="255"/>
      <c r="F115" s="255"/>
      <c r="G115" s="255"/>
      <c r="H115" s="255"/>
      <c r="I115" s="256"/>
      <c r="J115" s="257"/>
      <c r="K115" s="257"/>
      <c r="L115" s="257"/>
      <c r="M115" s="322"/>
    </row>
    <row r="116" ht="12.75" customHeight="1">
      <c r="A116" s="238"/>
      <c r="B116" s="259"/>
      <c r="C116" s="260"/>
      <c r="D116" s="261"/>
      <c r="E116" s="262"/>
      <c r="F116" s="262"/>
      <c r="G116" s="262"/>
      <c r="H116" s="262"/>
      <c r="I116" s="263"/>
      <c r="J116" s="264"/>
      <c r="K116" s="264"/>
      <c r="L116" s="264"/>
      <c r="M116" s="323"/>
    </row>
    <row r="117" ht="12.75" customHeight="1">
      <c r="A117" s="238"/>
      <c r="B117" s="266"/>
      <c r="C117" s="267"/>
      <c r="D117" s="268"/>
      <c r="E117" s="269"/>
      <c r="F117" s="269"/>
      <c r="G117" s="269"/>
      <c r="H117" s="269"/>
      <c r="I117" s="270"/>
      <c r="J117" s="271" t="s">
        <v>1221</v>
      </c>
      <c r="K117" s="324">
        <f>SUM(K109:K116)</f>
        <v>0</v>
      </c>
      <c r="L117" s="325"/>
      <c r="M117" s="272">
        <f>SUM(M109:M116)</f>
        <v>0</v>
      </c>
    </row>
    <row r="118" ht="12.75" customHeight="1">
      <c r="A118" s="238"/>
      <c r="B118" s="273"/>
      <c r="C118" s="274"/>
      <c r="D118" s="275"/>
      <c r="E118" s="276"/>
      <c r="F118" s="276"/>
      <c r="G118" s="277"/>
      <c r="H118" s="277"/>
      <c r="I118" s="278"/>
      <c r="J118" s="278"/>
      <c r="K118" s="326"/>
      <c r="L118" s="327"/>
      <c r="M118" s="328"/>
    </row>
    <row r="119" ht="9.0" customHeight="1">
      <c r="A119" s="245"/>
      <c r="B119" s="280"/>
      <c r="C119" s="281"/>
      <c r="D119" s="281"/>
      <c r="E119" s="281"/>
      <c r="F119" s="281"/>
      <c r="G119" s="282"/>
      <c r="H119" s="282"/>
      <c r="I119" s="283"/>
      <c r="J119" s="284"/>
      <c r="K119" s="284"/>
      <c r="L119" s="332"/>
      <c r="M119" s="286"/>
      <c r="N119" s="286"/>
      <c r="O119" s="286"/>
      <c r="P119" s="286"/>
      <c r="Q119" s="286"/>
      <c r="R119" s="286"/>
      <c r="S119" s="286"/>
      <c r="T119" s="286"/>
      <c r="U119" s="286"/>
      <c r="V119" s="286"/>
      <c r="W119" s="286"/>
      <c r="X119" s="286"/>
      <c r="Y119" s="286"/>
      <c r="Z119" s="286"/>
      <c r="AA119" s="286"/>
      <c r="AB119" s="286"/>
      <c r="AC119" s="286"/>
      <c r="AD119" s="286"/>
      <c r="AE119" s="286"/>
      <c r="AF119" s="286"/>
    </row>
    <row r="120" ht="21.0" customHeight="1">
      <c r="A120" s="245" t="s">
        <v>1232</v>
      </c>
      <c r="B120" s="246" t="s">
        <v>1233</v>
      </c>
      <c r="C120" s="247"/>
      <c r="D120" s="248"/>
      <c r="E120" s="247"/>
      <c r="F120" s="247"/>
      <c r="G120" s="247"/>
      <c r="H120" s="247"/>
      <c r="I120" s="249"/>
      <c r="J120" s="250"/>
      <c r="K120" s="250"/>
      <c r="L120" s="320"/>
      <c r="M120" s="321"/>
    </row>
    <row r="121" ht="12.75" customHeight="1">
      <c r="A121" s="238"/>
      <c r="B121" s="252"/>
      <c r="C121" s="253"/>
      <c r="D121" s="254"/>
      <c r="E121" s="255"/>
      <c r="F121" s="255"/>
      <c r="G121" s="255"/>
      <c r="H121" s="255"/>
      <c r="I121" s="256"/>
      <c r="J121" s="257"/>
      <c r="K121" s="257"/>
      <c r="L121" s="257"/>
      <c r="M121" s="322"/>
    </row>
    <row r="122" ht="12.75" customHeight="1">
      <c r="A122" s="238"/>
      <c r="B122" s="252"/>
      <c r="C122" s="253"/>
      <c r="D122" s="254"/>
      <c r="E122" s="255"/>
      <c r="F122" s="255"/>
      <c r="G122" s="255"/>
      <c r="H122" s="255"/>
      <c r="I122" s="256"/>
      <c r="J122" s="257"/>
      <c r="K122" s="257"/>
      <c r="L122" s="257"/>
      <c r="M122" s="322"/>
    </row>
    <row r="123" ht="12.75" customHeight="1">
      <c r="A123" s="238"/>
      <c r="B123" s="252"/>
      <c r="C123" s="253"/>
      <c r="D123" s="254"/>
      <c r="E123" s="255"/>
      <c r="F123" s="255"/>
      <c r="G123" s="255"/>
      <c r="H123" s="255"/>
      <c r="I123" s="256"/>
      <c r="J123" s="257"/>
      <c r="K123" s="257"/>
      <c r="L123" s="257"/>
      <c r="M123" s="322"/>
    </row>
    <row r="124" ht="12.75" customHeight="1">
      <c r="A124" s="238"/>
      <c r="B124" s="252"/>
      <c r="C124" s="253"/>
      <c r="D124" s="254"/>
      <c r="E124" s="255"/>
      <c r="F124" s="255"/>
      <c r="G124" s="255"/>
      <c r="H124" s="255"/>
      <c r="I124" s="256"/>
      <c r="J124" s="257"/>
      <c r="K124" s="257"/>
      <c r="L124" s="257"/>
      <c r="M124" s="322"/>
    </row>
    <row r="125" ht="12.75" customHeight="1">
      <c r="A125" s="238"/>
      <c r="B125" s="252"/>
      <c r="C125" s="253"/>
      <c r="D125" s="254"/>
      <c r="E125" s="255"/>
      <c r="F125" s="255"/>
      <c r="G125" s="255"/>
      <c r="H125" s="255"/>
      <c r="I125" s="256"/>
      <c r="J125" s="257"/>
      <c r="K125" s="257"/>
      <c r="L125" s="257"/>
      <c r="M125" s="322"/>
    </row>
    <row r="126" ht="12.75" customHeight="1">
      <c r="A126" s="238"/>
      <c r="B126" s="252"/>
      <c r="C126" s="253"/>
      <c r="D126" s="254"/>
      <c r="E126" s="255"/>
      <c r="F126" s="255"/>
      <c r="G126" s="255"/>
      <c r="H126" s="255"/>
      <c r="I126" s="256"/>
      <c r="J126" s="257"/>
      <c r="K126" s="257"/>
      <c r="L126" s="257"/>
      <c r="M126" s="322"/>
    </row>
    <row r="127" ht="12.75" customHeight="1">
      <c r="A127" s="238"/>
      <c r="B127" s="252"/>
      <c r="C127" s="253"/>
      <c r="D127" s="254"/>
      <c r="E127" s="255"/>
      <c r="F127" s="255"/>
      <c r="G127" s="255"/>
      <c r="H127" s="255"/>
      <c r="I127" s="256"/>
      <c r="J127" s="257"/>
      <c r="K127" s="257"/>
      <c r="L127" s="257"/>
      <c r="M127" s="322"/>
    </row>
    <row r="128" ht="12.75" customHeight="1">
      <c r="A128" s="238"/>
      <c r="B128" s="259"/>
      <c r="C128" s="260"/>
      <c r="D128" s="261"/>
      <c r="E128" s="262"/>
      <c r="F128" s="262"/>
      <c r="G128" s="262"/>
      <c r="H128" s="262"/>
      <c r="I128" s="263"/>
      <c r="J128" s="264"/>
      <c r="K128" s="264"/>
      <c r="L128" s="264"/>
      <c r="M128" s="323"/>
    </row>
    <row r="129" ht="12.75" customHeight="1">
      <c r="A129" s="238"/>
      <c r="B129" s="266"/>
      <c r="C129" s="267"/>
      <c r="D129" s="268"/>
      <c r="E129" s="269"/>
      <c r="F129" s="269"/>
      <c r="G129" s="269"/>
      <c r="H129" s="269"/>
      <c r="I129" s="270"/>
      <c r="J129" s="271" t="s">
        <v>1221</v>
      </c>
      <c r="K129" s="324">
        <f>SUM(K121:K128)</f>
        <v>0</v>
      </c>
      <c r="L129" s="325"/>
      <c r="M129" s="272">
        <f>SUM(M121:M128)</f>
        <v>0</v>
      </c>
    </row>
    <row r="130" ht="12.75" customHeight="1">
      <c r="A130" s="238"/>
      <c r="B130" s="273"/>
      <c r="C130" s="274"/>
      <c r="D130" s="275"/>
      <c r="E130" s="276"/>
      <c r="F130" s="276"/>
      <c r="G130" s="277"/>
      <c r="H130" s="277"/>
      <c r="I130" s="278"/>
      <c r="J130" s="278"/>
      <c r="K130" s="326"/>
      <c r="L130" s="327"/>
      <c r="M130" s="328"/>
    </row>
    <row r="131" ht="9.0" customHeight="1">
      <c r="A131" s="245"/>
      <c r="B131" s="280"/>
      <c r="C131" s="281"/>
      <c r="D131" s="281"/>
      <c r="E131" s="281"/>
      <c r="F131" s="281"/>
      <c r="G131" s="282"/>
      <c r="H131" s="282"/>
      <c r="I131" s="283"/>
      <c r="J131" s="284"/>
      <c r="K131" s="284"/>
      <c r="L131" s="332"/>
      <c r="M131" s="286"/>
      <c r="N131" s="286"/>
      <c r="O131" s="286"/>
      <c r="P131" s="286"/>
      <c r="Q131" s="286"/>
      <c r="R131" s="286"/>
      <c r="S131" s="286"/>
      <c r="T131" s="286"/>
      <c r="U131" s="286"/>
      <c r="V131" s="286"/>
      <c r="W131" s="286"/>
      <c r="X131" s="286"/>
      <c r="Y131" s="286"/>
      <c r="Z131" s="286"/>
      <c r="AA131" s="286"/>
      <c r="AB131" s="286"/>
      <c r="AC131" s="286"/>
      <c r="AD131" s="286"/>
      <c r="AE131" s="286"/>
      <c r="AF131" s="286"/>
    </row>
    <row r="132" ht="21.0" customHeight="1">
      <c r="A132" s="245" t="s">
        <v>1232</v>
      </c>
      <c r="B132" s="246" t="s">
        <v>1233</v>
      </c>
      <c r="C132" s="247"/>
      <c r="D132" s="248"/>
      <c r="E132" s="247"/>
      <c r="F132" s="247"/>
      <c r="G132" s="247"/>
      <c r="H132" s="247"/>
      <c r="I132" s="249"/>
      <c r="J132" s="250"/>
      <c r="K132" s="250"/>
      <c r="L132" s="320"/>
      <c r="M132" s="321"/>
    </row>
    <row r="133" ht="12.75" customHeight="1">
      <c r="A133" s="238"/>
      <c r="B133" s="252"/>
      <c r="C133" s="253"/>
      <c r="D133" s="254"/>
      <c r="E133" s="255"/>
      <c r="F133" s="255"/>
      <c r="G133" s="255"/>
      <c r="H133" s="255"/>
      <c r="I133" s="256"/>
      <c r="J133" s="257"/>
      <c r="K133" s="257"/>
      <c r="L133" s="257"/>
      <c r="M133" s="322"/>
    </row>
    <row r="134" ht="12.75" customHeight="1">
      <c r="A134" s="238"/>
      <c r="B134" s="252"/>
      <c r="C134" s="253"/>
      <c r="D134" s="254"/>
      <c r="E134" s="255"/>
      <c r="F134" s="255"/>
      <c r="G134" s="255"/>
      <c r="H134" s="255"/>
      <c r="I134" s="256"/>
      <c r="J134" s="257"/>
      <c r="K134" s="257"/>
      <c r="L134" s="257"/>
      <c r="M134" s="322"/>
    </row>
    <row r="135" ht="12.75" customHeight="1">
      <c r="A135" s="238"/>
      <c r="B135" s="252"/>
      <c r="C135" s="253"/>
      <c r="D135" s="254"/>
      <c r="E135" s="255"/>
      <c r="F135" s="255"/>
      <c r="G135" s="255"/>
      <c r="H135" s="255"/>
      <c r="I135" s="256"/>
      <c r="J135" s="257"/>
      <c r="K135" s="257"/>
      <c r="L135" s="257"/>
      <c r="M135" s="322"/>
    </row>
    <row r="136" ht="12.75" customHeight="1">
      <c r="A136" s="238"/>
      <c r="B136" s="252"/>
      <c r="C136" s="253"/>
      <c r="D136" s="254"/>
      <c r="E136" s="255"/>
      <c r="F136" s="255"/>
      <c r="G136" s="255"/>
      <c r="H136" s="255"/>
      <c r="I136" s="256"/>
      <c r="J136" s="257"/>
      <c r="K136" s="257"/>
      <c r="L136" s="257"/>
      <c r="M136" s="322"/>
    </row>
    <row r="137" ht="12.75" customHeight="1">
      <c r="A137" s="238"/>
      <c r="B137" s="252"/>
      <c r="C137" s="253"/>
      <c r="D137" s="254"/>
      <c r="E137" s="255"/>
      <c r="F137" s="255"/>
      <c r="G137" s="255"/>
      <c r="H137" s="255"/>
      <c r="I137" s="256"/>
      <c r="J137" s="257"/>
      <c r="K137" s="257"/>
      <c r="L137" s="257"/>
      <c r="M137" s="322"/>
    </row>
    <row r="138" ht="12.75" customHeight="1">
      <c r="A138" s="238"/>
      <c r="B138" s="252"/>
      <c r="C138" s="253"/>
      <c r="D138" s="254"/>
      <c r="E138" s="255"/>
      <c r="F138" s="255"/>
      <c r="G138" s="255"/>
      <c r="H138" s="255"/>
      <c r="I138" s="256"/>
      <c r="J138" s="257"/>
      <c r="K138" s="257"/>
      <c r="L138" s="257"/>
      <c r="M138" s="322"/>
    </row>
    <row r="139" ht="12.75" customHeight="1">
      <c r="A139" s="238"/>
      <c r="B139" s="252"/>
      <c r="C139" s="253"/>
      <c r="D139" s="254"/>
      <c r="E139" s="255"/>
      <c r="F139" s="255"/>
      <c r="G139" s="255"/>
      <c r="H139" s="255"/>
      <c r="I139" s="256"/>
      <c r="J139" s="257"/>
      <c r="K139" s="257"/>
      <c r="L139" s="257"/>
      <c r="M139" s="322"/>
    </row>
    <row r="140" ht="12.75" customHeight="1">
      <c r="A140" s="238"/>
      <c r="B140" s="259"/>
      <c r="C140" s="260"/>
      <c r="D140" s="261"/>
      <c r="E140" s="262"/>
      <c r="F140" s="262"/>
      <c r="G140" s="262"/>
      <c r="H140" s="262"/>
      <c r="I140" s="263"/>
      <c r="J140" s="264"/>
      <c r="K140" s="264"/>
      <c r="L140" s="264"/>
      <c r="M140" s="323"/>
    </row>
    <row r="141" ht="12.75" customHeight="1">
      <c r="A141" s="238"/>
      <c r="B141" s="266"/>
      <c r="C141" s="267"/>
      <c r="D141" s="268"/>
      <c r="E141" s="269"/>
      <c r="F141" s="269"/>
      <c r="G141" s="269"/>
      <c r="H141" s="269"/>
      <c r="I141" s="270"/>
      <c r="J141" s="271" t="s">
        <v>1221</v>
      </c>
      <c r="K141" s="324">
        <f>SUM(K133:K140)</f>
        <v>0</v>
      </c>
      <c r="L141" s="325"/>
      <c r="M141" s="272">
        <f>SUM(M133:M140)</f>
        <v>0</v>
      </c>
    </row>
    <row r="142" ht="12.75" customHeight="1">
      <c r="A142" s="238"/>
      <c r="B142" s="273"/>
      <c r="C142" s="274"/>
      <c r="D142" s="275"/>
      <c r="E142" s="276"/>
      <c r="F142" s="276"/>
      <c r="G142" s="277"/>
      <c r="H142" s="277"/>
      <c r="I142" s="278"/>
      <c r="J142" s="278"/>
      <c r="K142" s="326"/>
      <c r="L142" s="327"/>
      <c r="M142" s="328"/>
    </row>
    <row r="143" ht="9.0" customHeight="1">
      <c r="A143" s="245"/>
      <c r="B143" s="280"/>
      <c r="C143" s="281"/>
      <c r="D143" s="281"/>
      <c r="E143" s="281"/>
      <c r="F143" s="281"/>
      <c r="G143" s="282"/>
      <c r="H143" s="282"/>
      <c r="I143" s="283"/>
      <c r="J143" s="284"/>
      <c r="K143" s="284"/>
      <c r="L143" s="332"/>
      <c r="M143" s="286"/>
      <c r="N143" s="286"/>
      <c r="O143" s="286"/>
      <c r="P143" s="286"/>
      <c r="Q143" s="286"/>
      <c r="R143" s="286"/>
      <c r="S143" s="286"/>
      <c r="T143" s="286"/>
      <c r="U143" s="286"/>
      <c r="V143" s="286"/>
      <c r="W143" s="286"/>
      <c r="X143" s="286"/>
      <c r="Y143" s="286"/>
      <c r="Z143" s="286"/>
      <c r="AA143" s="286"/>
      <c r="AB143" s="286"/>
      <c r="AC143" s="286"/>
      <c r="AD143" s="286"/>
      <c r="AE143" s="286"/>
      <c r="AF143" s="286"/>
    </row>
    <row r="144" ht="21.0" customHeight="1">
      <c r="A144" s="245" t="s">
        <v>1232</v>
      </c>
      <c r="B144" s="246" t="s">
        <v>1233</v>
      </c>
      <c r="C144" s="247"/>
      <c r="D144" s="248"/>
      <c r="E144" s="247"/>
      <c r="F144" s="247"/>
      <c r="G144" s="247"/>
      <c r="H144" s="247"/>
      <c r="I144" s="249"/>
      <c r="J144" s="250"/>
      <c r="K144" s="250"/>
      <c r="L144" s="320"/>
      <c r="M144" s="321"/>
    </row>
    <row r="145" ht="12.75" customHeight="1">
      <c r="A145" s="238"/>
      <c r="B145" s="252"/>
      <c r="C145" s="253"/>
      <c r="D145" s="254"/>
      <c r="E145" s="255"/>
      <c r="F145" s="255"/>
      <c r="G145" s="255"/>
      <c r="H145" s="255"/>
      <c r="I145" s="256"/>
      <c r="J145" s="257"/>
      <c r="K145" s="257"/>
      <c r="L145" s="257"/>
      <c r="M145" s="322"/>
    </row>
    <row r="146" ht="12.75" customHeight="1">
      <c r="A146" s="238"/>
      <c r="B146" s="252"/>
      <c r="C146" s="253"/>
      <c r="D146" s="254"/>
      <c r="E146" s="255"/>
      <c r="F146" s="255"/>
      <c r="G146" s="255"/>
      <c r="H146" s="255"/>
      <c r="I146" s="256"/>
      <c r="J146" s="257"/>
      <c r="K146" s="257"/>
      <c r="L146" s="257"/>
      <c r="M146" s="322"/>
    </row>
    <row r="147" ht="12.75" customHeight="1">
      <c r="A147" s="238"/>
      <c r="B147" s="252"/>
      <c r="C147" s="253"/>
      <c r="D147" s="254"/>
      <c r="E147" s="255"/>
      <c r="F147" s="255"/>
      <c r="G147" s="255"/>
      <c r="H147" s="255"/>
      <c r="I147" s="256"/>
      <c r="J147" s="257"/>
      <c r="K147" s="257"/>
      <c r="L147" s="257"/>
      <c r="M147" s="322"/>
    </row>
    <row r="148" ht="12.75" customHeight="1">
      <c r="A148" s="238"/>
      <c r="B148" s="252"/>
      <c r="C148" s="253"/>
      <c r="D148" s="254"/>
      <c r="E148" s="255"/>
      <c r="F148" s="255"/>
      <c r="G148" s="255"/>
      <c r="H148" s="255"/>
      <c r="I148" s="256"/>
      <c r="J148" s="257"/>
      <c r="K148" s="257"/>
      <c r="L148" s="257"/>
      <c r="M148" s="322"/>
    </row>
    <row r="149" ht="12.75" customHeight="1">
      <c r="A149" s="238"/>
      <c r="B149" s="252"/>
      <c r="C149" s="253"/>
      <c r="D149" s="254"/>
      <c r="E149" s="255"/>
      <c r="F149" s="255"/>
      <c r="G149" s="255"/>
      <c r="H149" s="255"/>
      <c r="I149" s="256"/>
      <c r="J149" s="257"/>
      <c r="K149" s="257"/>
      <c r="L149" s="257"/>
      <c r="M149" s="322"/>
    </row>
    <row r="150" ht="12.75" customHeight="1">
      <c r="A150" s="238"/>
      <c r="B150" s="252"/>
      <c r="C150" s="253"/>
      <c r="D150" s="254"/>
      <c r="E150" s="255"/>
      <c r="F150" s="255"/>
      <c r="G150" s="255"/>
      <c r="H150" s="255"/>
      <c r="I150" s="256"/>
      <c r="J150" s="257"/>
      <c r="K150" s="257"/>
      <c r="L150" s="257"/>
      <c r="M150" s="322"/>
    </row>
    <row r="151" ht="12.75" customHeight="1">
      <c r="A151" s="238"/>
      <c r="B151" s="252"/>
      <c r="C151" s="253"/>
      <c r="D151" s="254"/>
      <c r="E151" s="255"/>
      <c r="F151" s="255"/>
      <c r="G151" s="255"/>
      <c r="H151" s="255"/>
      <c r="I151" s="256"/>
      <c r="J151" s="257"/>
      <c r="K151" s="257"/>
      <c r="L151" s="257"/>
      <c r="M151" s="322"/>
    </row>
    <row r="152" ht="12.75" customHeight="1">
      <c r="A152" s="238"/>
      <c r="B152" s="259"/>
      <c r="C152" s="260"/>
      <c r="D152" s="261"/>
      <c r="E152" s="262"/>
      <c r="F152" s="262"/>
      <c r="G152" s="262"/>
      <c r="H152" s="262"/>
      <c r="I152" s="263"/>
      <c r="J152" s="264"/>
      <c r="K152" s="264"/>
      <c r="L152" s="264"/>
      <c r="M152" s="323"/>
    </row>
    <row r="153" ht="12.75" customHeight="1">
      <c r="A153" s="238"/>
      <c r="B153" s="266"/>
      <c r="C153" s="267"/>
      <c r="D153" s="268"/>
      <c r="E153" s="269"/>
      <c r="F153" s="269"/>
      <c r="G153" s="269"/>
      <c r="H153" s="269"/>
      <c r="I153" s="270"/>
      <c r="J153" s="271" t="s">
        <v>1221</v>
      </c>
      <c r="K153" s="324">
        <f>SUM(K145:K152)</f>
        <v>0</v>
      </c>
      <c r="L153" s="325"/>
      <c r="M153" s="272">
        <f>SUM(M145:M152)</f>
        <v>0</v>
      </c>
    </row>
    <row r="154" ht="12.75" customHeight="1">
      <c r="A154" s="238"/>
      <c r="B154" s="273"/>
      <c r="C154" s="274"/>
      <c r="D154" s="275"/>
      <c r="E154" s="276"/>
      <c r="F154" s="276"/>
      <c r="G154" s="277"/>
      <c r="H154" s="277"/>
      <c r="I154" s="278"/>
      <c r="J154" s="278"/>
      <c r="K154" s="326"/>
      <c r="L154" s="327"/>
      <c r="M154" s="328"/>
    </row>
    <row r="155" ht="12.75" customHeight="1">
      <c r="A155" s="238"/>
      <c r="B155" s="301"/>
      <c r="C155" s="302"/>
      <c r="D155" s="302"/>
      <c r="E155" s="302"/>
      <c r="F155" s="302"/>
      <c r="G155" s="303"/>
      <c r="H155" s="302"/>
      <c r="I155" s="303"/>
      <c r="J155" s="304" t="s">
        <v>1234</v>
      </c>
      <c r="K155" s="333">
        <f>K153+K141+K129+K117</f>
        <v>0</v>
      </c>
      <c r="L155" s="337"/>
      <c r="M155" s="333">
        <f>M153+M141+M129+M117</f>
        <v>0</v>
      </c>
    </row>
    <row r="156" ht="12.75" customHeight="1">
      <c r="A156" s="238"/>
      <c r="B156" s="307"/>
      <c r="C156" s="307"/>
      <c r="D156" s="307"/>
      <c r="E156" s="307"/>
      <c r="F156" s="307"/>
      <c r="G156" s="308"/>
      <c r="H156" s="307"/>
      <c r="I156" s="308"/>
      <c r="J156" s="307"/>
      <c r="K156" s="338"/>
      <c r="L156" s="339"/>
      <c r="M156" s="339"/>
    </row>
    <row r="157" ht="12.75" customHeight="1">
      <c r="A157" s="245" t="s">
        <v>1232</v>
      </c>
      <c r="B157" s="310"/>
      <c r="C157" s="311"/>
      <c r="D157" s="311"/>
      <c r="E157" s="311"/>
      <c r="F157" s="311"/>
      <c r="G157" s="312"/>
      <c r="H157" s="311"/>
      <c r="I157" s="312"/>
      <c r="J157" s="313" t="s">
        <v>1236</v>
      </c>
      <c r="K157" s="340">
        <f>K155+K104+K53</f>
        <v>0</v>
      </c>
      <c r="L157" s="341"/>
      <c r="M157" s="340">
        <f>M155+M104+M53</f>
        <v>0</v>
      </c>
    </row>
    <row r="158" ht="12.75" customHeight="1">
      <c r="A158" s="238"/>
      <c r="B158" s="235"/>
      <c r="C158" s="235"/>
      <c r="D158" s="236"/>
      <c r="E158" s="235"/>
      <c r="F158" s="235"/>
      <c r="G158" s="237"/>
      <c r="H158" s="235"/>
      <c r="I158" s="235"/>
      <c r="J158" s="235"/>
      <c r="K158" s="66"/>
      <c r="L158" s="238"/>
      <c r="M158" s="238"/>
    </row>
    <row r="159" ht="12.75" customHeight="1">
      <c r="A159" s="238"/>
      <c r="B159" s="235"/>
      <c r="C159" s="235"/>
      <c r="D159" s="236"/>
      <c r="E159" s="235"/>
      <c r="F159" s="235"/>
      <c r="G159" s="237"/>
      <c r="H159" s="235"/>
      <c r="I159" s="235"/>
      <c r="J159" s="235"/>
      <c r="K159" s="66"/>
      <c r="L159" s="238"/>
      <c r="M159" s="238"/>
    </row>
    <row r="160" ht="12.75" customHeight="1">
      <c r="A160" s="238"/>
      <c r="B160" s="235"/>
      <c r="C160" s="235"/>
      <c r="D160" s="236"/>
      <c r="E160" s="235"/>
      <c r="F160" s="235"/>
      <c r="G160" s="237"/>
      <c r="H160" s="235"/>
      <c r="I160" s="235"/>
      <c r="J160" s="235"/>
      <c r="K160" s="66"/>
      <c r="L160" s="238"/>
      <c r="M160" s="238"/>
    </row>
    <row r="161" ht="12.75" customHeight="1">
      <c r="A161" s="238"/>
      <c r="B161" s="235"/>
      <c r="C161" s="235"/>
      <c r="D161" s="236"/>
      <c r="E161" s="235"/>
      <c r="F161" s="235"/>
      <c r="G161" s="237"/>
      <c r="H161" s="235"/>
      <c r="I161" s="235"/>
      <c r="J161" s="235"/>
      <c r="K161" s="66"/>
      <c r="L161" s="238"/>
      <c r="M161" s="238"/>
    </row>
    <row r="162" ht="12.75" customHeight="1">
      <c r="A162" s="238"/>
      <c r="B162" s="235"/>
      <c r="C162" s="235"/>
      <c r="D162" s="236"/>
      <c r="E162" s="235"/>
      <c r="F162" s="235"/>
      <c r="G162" s="237"/>
      <c r="H162" s="235"/>
      <c r="I162" s="235"/>
      <c r="J162" s="235"/>
      <c r="K162" s="66"/>
      <c r="L162" s="238"/>
      <c r="M162" s="238"/>
    </row>
    <row r="163" ht="12.75" customHeight="1">
      <c r="A163" s="238"/>
      <c r="B163" s="235"/>
      <c r="C163" s="235"/>
      <c r="D163" s="236"/>
      <c r="E163" s="235"/>
      <c r="F163" s="235"/>
      <c r="G163" s="237"/>
      <c r="H163" s="235"/>
      <c r="I163" s="235"/>
      <c r="J163" s="235"/>
      <c r="K163" s="66"/>
      <c r="L163" s="238"/>
      <c r="M163" s="238"/>
    </row>
    <row r="164" ht="12.75" customHeight="1">
      <c r="A164" s="238"/>
      <c r="B164" s="235"/>
      <c r="C164" s="235"/>
      <c r="D164" s="236"/>
      <c r="E164" s="235"/>
      <c r="F164" s="235"/>
      <c r="G164" s="237"/>
      <c r="H164" s="235"/>
      <c r="I164" s="235"/>
      <c r="J164" s="235"/>
      <c r="K164" s="66"/>
      <c r="L164" s="238"/>
      <c r="M164" s="238"/>
    </row>
    <row r="165" ht="12.75" customHeight="1">
      <c r="A165" s="238"/>
      <c r="B165" s="235"/>
      <c r="C165" s="235"/>
      <c r="D165" s="236"/>
      <c r="E165" s="235"/>
      <c r="F165" s="235"/>
      <c r="G165" s="237"/>
      <c r="H165" s="235"/>
      <c r="I165" s="235"/>
      <c r="J165" s="235"/>
      <c r="K165" s="66"/>
      <c r="L165" s="238"/>
      <c r="M165" s="238"/>
    </row>
    <row r="166" ht="12.75" customHeight="1">
      <c r="A166" s="238"/>
      <c r="B166" s="235"/>
      <c r="C166" s="235"/>
      <c r="D166" s="236"/>
      <c r="E166" s="235"/>
      <c r="F166" s="235"/>
      <c r="G166" s="237"/>
      <c r="H166" s="235"/>
      <c r="I166" s="235"/>
      <c r="J166" s="235"/>
      <c r="K166" s="66"/>
      <c r="L166" s="238"/>
      <c r="M166" s="238"/>
    </row>
    <row r="167" ht="12.75" customHeight="1">
      <c r="A167" s="238"/>
      <c r="B167" s="235"/>
      <c r="C167" s="235"/>
      <c r="D167" s="236"/>
      <c r="E167" s="235"/>
      <c r="F167" s="235"/>
      <c r="G167" s="237"/>
      <c r="H167" s="235"/>
      <c r="I167" s="235"/>
      <c r="J167" s="235"/>
      <c r="K167" s="66"/>
      <c r="L167" s="238"/>
      <c r="M167" s="238"/>
    </row>
    <row r="168" ht="12.75" customHeight="1">
      <c r="A168" s="238"/>
      <c r="B168" s="235"/>
      <c r="C168" s="235"/>
      <c r="D168" s="236"/>
      <c r="E168" s="235"/>
      <c r="F168" s="235"/>
      <c r="G168" s="237"/>
      <c r="H168" s="235"/>
      <c r="I168" s="235"/>
      <c r="J168" s="235"/>
      <c r="K168" s="66"/>
      <c r="L168" s="238"/>
      <c r="M168" s="238"/>
    </row>
    <row r="169" ht="12.75" customHeight="1">
      <c r="A169" s="238"/>
      <c r="B169" s="235"/>
      <c r="C169" s="235"/>
      <c r="D169" s="236"/>
      <c r="E169" s="235"/>
      <c r="F169" s="235"/>
      <c r="G169" s="237"/>
      <c r="H169" s="235"/>
      <c r="I169" s="235"/>
      <c r="J169" s="235"/>
      <c r="K169" s="66"/>
      <c r="L169" s="238"/>
      <c r="M169" s="238"/>
    </row>
    <row r="170" ht="12.75" customHeight="1">
      <c r="A170" s="238"/>
      <c r="B170" s="235"/>
      <c r="C170" s="235"/>
      <c r="D170" s="236"/>
      <c r="E170" s="235"/>
      <c r="F170" s="235"/>
      <c r="G170" s="237"/>
      <c r="H170" s="235"/>
      <c r="I170" s="235"/>
      <c r="J170" s="235"/>
      <c r="K170" s="66"/>
      <c r="L170" s="238"/>
      <c r="M170" s="238"/>
    </row>
    <row r="171" ht="12.75" customHeight="1">
      <c r="A171" s="238"/>
      <c r="B171" s="235"/>
      <c r="C171" s="235"/>
      <c r="D171" s="236"/>
      <c r="E171" s="235"/>
      <c r="F171" s="235"/>
      <c r="G171" s="237"/>
      <c r="H171" s="235"/>
      <c r="I171" s="235"/>
      <c r="J171" s="235"/>
      <c r="K171" s="66"/>
      <c r="L171" s="238"/>
      <c r="M171" s="238"/>
    </row>
    <row r="172" ht="12.75" customHeight="1">
      <c r="A172" s="238"/>
      <c r="B172" s="235"/>
      <c r="C172" s="235"/>
      <c r="D172" s="236"/>
      <c r="E172" s="235"/>
      <c r="F172" s="235"/>
      <c r="G172" s="237"/>
      <c r="H172" s="235"/>
      <c r="I172" s="235"/>
      <c r="J172" s="235"/>
      <c r="K172" s="66"/>
      <c r="L172" s="238"/>
      <c r="M172" s="238"/>
    </row>
    <row r="173" ht="12.75" customHeight="1">
      <c r="A173" s="238"/>
      <c r="B173" s="235"/>
      <c r="C173" s="235"/>
      <c r="D173" s="236"/>
      <c r="E173" s="235"/>
      <c r="F173" s="235"/>
      <c r="G173" s="237"/>
      <c r="H173" s="235"/>
      <c r="I173" s="235"/>
      <c r="J173" s="235"/>
      <c r="K173" s="66"/>
      <c r="L173" s="238"/>
      <c r="M173" s="238"/>
    </row>
    <row r="174" ht="12.75" customHeight="1">
      <c r="A174" s="238"/>
      <c r="B174" s="235"/>
      <c r="C174" s="235"/>
      <c r="D174" s="236"/>
      <c r="E174" s="235"/>
      <c r="F174" s="235"/>
      <c r="G174" s="237"/>
      <c r="H174" s="235"/>
      <c r="I174" s="235"/>
      <c r="J174" s="235"/>
      <c r="K174" s="66"/>
      <c r="L174" s="238"/>
      <c r="M174" s="238"/>
    </row>
    <row r="175" ht="12.75" customHeight="1">
      <c r="A175" s="238"/>
      <c r="B175" s="235"/>
      <c r="C175" s="235"/>
      <c r="D175" s="236"/>
      <c r="E175" s="235"/>
      <c r="F175" s="235"/>
      <c r="G175" s="237"/>
      <c r="H175" s="235"/>
      <c r="I175" s="235"/>
      <c r="J175" s="235"/>
      <c r="K175" s="66"/>
      <c r="L175" s="238"/>
      <c r="M175" s="238"/>
    </row>
    <row r="176" ht="12.75" customHeight="1">
      <c r="A176" s="238"/>
      <c r="B176" s="235"/>
      <c r="C176" s="235"/>
      <c r="D176" s="236"/>
      <c r="E176" s="235"/>
      <c r="F176" s="235"/>
      <c r="G176" s="237"/>
      <c r="H176" s="235"/>
      <c r="I176" s="235"/>
      <c r="J176" s="235"/>
      <c r="K176" s="66"/>
      <c r="L176" s="238"/>
      <c r="M176" s="238"/>
    </row>
    <row r="177" ht="12.75" customHeight="1">
      <c r="A177" s="238"/>
      <c r="B177" s="235"/>
      <c r="C177" s="235"/>
      <c r="D177" s="236"/>
      <c r="E177" s="235"/>
      <c r="F177" s="235"/>
      <c r="G177" s="237"/>
      <c r="H177" s="235"/>
      <c r="I177" s="235"/>
      <c r="J177" s="235"/>
      <c r="K177" s="66"/>
      <c r="L177" s="238"/>
      <c r="M177" s="238"/>
    </row>
    <row r="178" ht="12.75" customHeight="1">
      <c r="A178" s="238"/>
      <c r="B178" s="235"/>
      <c r="C178" s="235"/>
      <c r="D178" s="236"/>
      <c r="E178" s="235"/>
      <c r="F178" s="235"/>
      <c r="G178" s="237"/>
      <c r="H178" s="235"/>
      <c r="I178" s="235"/>
      <c r="J178" s="235"/>
      <c r="K178" s="66"/>
      <c r="L178" s="238"/>
      <c r="M178" s="238"/>
    </row>
    <row r="179" ht="12.75" customHeight="1">
      <c r="A179" s="238"/>
      <c r="B179" s="235"/>
      <c r="C179" s="235"/>
      <c r="D179" s="236"/>
      <c r="E179" s="235"/>
      <c r="F179" s="235"/>
      <c r="G179" s="237"/>
      <c r="H179" s="235"/>
      <c r="I179" s="235"/>
      <c r="J179" s="235"/>
      <c r="K179" s="66"/>
      <c r="L179" s="238"/>
      <c r="M179" s="238"/>
    </row>
    <row r="180" ht="12.75" customHeight="1">
      <c r="A180" s="238"/>
      <c r="B180" s="235"/>
      <c r="C180" s="235"/>
      <c r="D180" s="236"/>
      <c r="E180" s="235"/>
      <c r="F180" s="235"/>
      <c r="G180" s="237"/>
      <c r="H180" s="235"/>
      <c r="I180" s="235"/>
      <c r="J180" s="235"/>
      <c r="K180" s="66"/>
      <c r="L180" s="238"/>
      <c r="M180" s="238"/>
    </row>
    <row r="181" ht="12.75" customHeight="1">
      <c r="A181" s="238"/>
      <c r="B181" s="235"/>
      <c r="C181" s="235"/>
      <c r="D181" s="236"/>
      <c r="E181" s="235"/>
      <c r="F181" s="235"/>
      <c r="G181" s="237"/>
      <c r="H181" s="235"/>
      <c r="I181" s="235"/>
      <c r="J181" s="235"/>
      <c r="K181" s="66"/>
      <c r="L181" s="238"/>
      <c r="M181" s="238"/>
    </row>
    <row r="182" ht="12.75" customHeight="1">
      <c r="A182" s="238"/>
      <c r="B182" s="235"/>
      <c r="C182" s="235"/>
      <c r="D182" s="236"/>
      <c r="E182" s="235"/>
      <c r="F182" s="235"/>
      <c r="G182" s="237"/>
      <c r="H182" s="235"/>
      <c r="I182" s="235"/>
      <c r="J182" s="235"/>
      <c r="K182" s="66"/>
      <c r="L182" s="238"/>
      <c r="M182" s="238"/>
    </row>
    <row r="183" ht="12.75" customHeight="1">
      <c r="A183" s="238"/>
      <c r="B183" s="235"/>
      <c r="C183" s="235"/>
      <c r="D183" s="236"/>
      <c r="E183" s="235"/>
      <c r="F183" s="235"/>
      <c r="G183" s="237"/>
      <c r="H183" s="235"/>
      <c r="I183" s="235"/>
      <c r="J183" s="235"/>
      <c r="K183" s="66"/>
      <c r="L183" s="238"/>
      <c r="M183" s="238"/>
    </row>
    <row r="184" ht="12.75" customHeight="1">
      <c r="A184" s="238"/>
      <c r="B184" s="235"/>
      <c r="C184" s="235"/>
      <c r="D184" s="236"/>
      <c r="E184" s="235"/>
      <c r="F184" s="235"/>
      <c r="G184" s="237"/>
      <c r="H184" s="235"/>
      <c r="I184" s="235"/>
      <c r="J184" s="235"/>
      <c r="K184" s="66"/>
      <c r="L184" s="238"/>
      <c r="M184" s="238"/>
    </row>
    <row r="185" ht="12.75" customHeight="1">
      <c r="A185" s="238"/>
      <c r="B185" s="235"/>
      <c r="C185" s="235"/>
      <c r="D185" s="236"/>
      <c r="E185" s="235"/>
      <c r="F185" s="235"/>
      <c r="G185" s="237"/>
      <c r="H185" s="235"/>
      <c r="I185" s="235"/>
      <c r="J185" s="235"/>
      <c r="K185" s="66"/>
      <c r="L185" s="238"/>
      <c r="M185" s="238"/>
    </row>
    <row r="186" ht="12.75" customHeight="1">
      <c r="A186" s="238"/>
      <c r="B186" s="235"/>
      <c r="C186" s="235"/>
      <c r="D186" s="236"/>
      <c r="E186" s="235"/>
      <c r="F186" s="235"/>
      <c r="G186" s="237"/>
      <c r="H186" s="235"/>
      <c r="I186" s="235"/>
      <c r="J186" s="235"/>
      <c r="K186" s="66"/>
      <c r="L186" s="238"/>
      <c r="M186" s="238"/>
    </row>
    <row r="187" ht="12.75" customHeight="1">
      <c r="A187" s="238"/>
      <c r="B187" s="235"/>
      <c r="C187" s="235"/>
      <c r="D187" s="236"/>
      <c r="E187" s="235"/>
      <c r="F187" s="235"/>
      <c r="G187" s="237"/>
      <c r="H187" s="235"/>
      <c r="I187" s="235"/>
      <c r="J187" s="235"/>
      <c r="K187" s="66"/>
      <c r="L187" s="238"/>
      <c r="M187" s="238"/>
    </row>
    <row r="188" ht="12.75" customHeight="1">
      <c r="A188" s="238"/>
      <c r="B188" s="235"/>
      <c r="C188" s="235"/>
      <c r="D188" s="236"/>
      <c r="E188" s="235"/>
      <c r="F188" s="235"/>
      <c r="G188" s="237"/>
      <c r="H188" s="235"/>
      <c r="I188" s="235"/>
      <c r="J188" s="235"/>
      <c r="K188" s="66"/>
      <c r="L188" s="238"/>
      <c r="M188" s="238"/>
    </row>
    <row r="189" ht="12.75" customHeight="1">
      <c r="A189" s="238"/>
      <c r="B189" s="235"/>
      <c r="C189" s="235"/>
      <c r="D189" s="236"/>
      <c r="E189" s="235"/>
      <c r="F189" s="235"/>
      <c r="G189" s="237"/>
      <c r="H189" s="235"/>
      <c r="I189" s="235"/>
      <c r="J189" s="235"/>
      <c r="K189" s="66"/>
      <c r="L189" s="238"/>
      <c r="M189" s="238"/>
    </row>
    <row r="190" ht="12.75" customHeight="1">
      <c r="A190" s="238"/>
      <c r="B190" s="235"/>
      <c r="C190" s="235"/>
      <c r="D190" s="236"/>
      <c r="E190" s="235"/>
      <c r="F190" s="235"/>
      <c r="G190" s="237"/>
      <c r="H190" s="235"/>
      <c r="I190" s="235"/>
      <c r="J190" s="235"/>
      <c r="K190" s="66"/>
      <c r="L190" s="238"/>
      <c r="M190" s="238"/>
    </row>
    <row r="191" ht="12.75" customHeight="1">
      <c r="A191" s="238"/>
      <c r="B191" s="235"/>
      <c r="C191" s="235"/>
      <c r="D191" s="236"/>
      <c r="E191" s="235"/>
      <c r="F191" s="235"/>
      <c r="G191" s="237"/>
      <c r="H191" s="235"/>
      <c r="I191" s="235"/>
      <c r="J191" s="235"/>
      <c r="K191" s="66"/>
      <c r="L191" s="238"/>
      <c r="M191" s="238"/>
    </row>
    <row r="192" ht="12.75" customHeight="1">
      <c r="A192" s="238"/>
      <c r="B192" s="235"/>
      <c r="C192" s="235"/>
      <c r="D192" s="236"/>
      <c r="E192" s="235"/>
      <c r="F192" s="235"/>
      <c r="G192" s="237"/>
      <c r="H192" s="235"/>
      <c r="I192" s="235"/>
      <c r="J192" s="235"/>
      <c r="K192" s="66"/>
      <c r="L192" s="238"/>
      <c r="M192" s="238"/>
    </row>
    <row r="193" ht="12.75" customHeight="1">
      <c r="A193" s="238"/>
      <c r="B193" s="235"/>
      <c r="C193" s="235"/>
      <c r="D193" s="236"/>
      <c r="E193" s="235"/>
      <c r="F193" s="235"/>
      <c r="G193" s="237"/>
      <c r="H193" s="235"/>
      <c r="I193" s="235"/>
      <c r="J193" s="235"/>
      <c r="K193" s="66"/>
      <c r="L193" s="238"/>
      <c r="M193" s="238"/>
    </row>
    <row r="194" ht="12.75" customHeight="1">
      <c r="A194" s="238"/>
      <c r="B194" s="235"/>
      <c r="C194" s="235"/>
      <c r="D194" s="236"/>
      <c r="E194" s="235"/>
      <c r="F194" s="235"/>
      <c r="G194" s="237"/>
      <c r="H194" s="235"/>
      <c r="I194" s="235"/>
      <c r="J194" s="235"/>
      <c r="K194" s="66"/>
      <c r="L194" s="238"/>
      <c r="M194" s="238"/>
    </row>
    <row r="195" ht="12.75" customHeight="1">
      <c r="A195" s="238"/>
      <c r="B195" s="235"/>
      <c r="C195" s="235"/>
      <c r="D195" s="236"/>
      <c r="E195" s="235"/>
      <c r="F195" s="235"/>
      <c r="G195" s="237"/>
      <c r="H195" s="235"/>
      <c r="I195" s="235"/>
      <c r="J195" s="235"/>
      <c r="K195" s="66"/>
      <c r="L195" s="238"/>
      <c r="M195" s="238"/>
    </row>
    <row r="196" ht="12.75" customHeight="1">
      <c r="A196" s="238"/>
      <c r="B196" s="235"/>
      <c r="C196" s="235"/>
      <c r="D196" s="236"/>
      <c r="E196" s="235"/>
      <c r="F196" s="235"/>
      <c r="G196" s="237"/>
      <c r="H196" s="235"/>
      <c r="I196" s="235"/>
      <c r="J196" s="235"/>
      <c r="K196" s="66"/>
      <c r="L196" s="238"/>
      <c r="M196" s="238"/>
    </row>
    <row r="197" ht="12.75" customHeight="1">
      <c r="A197" s="238"/>
      <c r="B197" s="235"/>
      <c r="C197" s="235"/>
      <c r="D197" s="236"/>
      <c r="E197" s="235"/>
      <c r="F197" s="235"/>
      <c r="G197" s="237"/>
      <c r="H197" s="235"/>
      <c r="I197" s="235"/>
      <c r="J197" s="235"/>
      <c r="K197" s="66"/>
      <c r="L197" s="238"/>
      <c r="M197" s="238"/>
    </row>
    <row r="198" ht="12.75" customHeight="1">
      <c r="A198" s="238"/>
      <c r="B198" s="235"/>
      <c r="C198" s="235"/>
      <c r="D198" s="236"/>
      <c r="E198" s="235"/>
      <c r="F198" s="235"/>
      <c r="G198" s="237"/>
      <c r="H198" s="235"/>
      <c r="I198" s="235"/>
      <c r="J198" s="235"/>
      <c r="K198" s="66"/>
      <c r="L198" s="238"/>
      <c r="M198" s="238"/>
    </row>
    <row r="199" ht="12.75" customHeight="1">
      <c r="A199" s="238"/>
      <c r="B199" s="235"/>
      <c r="C199" s="235"/>
      <c r="D199" s="236"/>
      <c r="E199" s="235"/>
      <c r="F199" s="235"/>
      <c r="G199" s="237"/>
      <c r="H199" s="235"/>
      <c r="I199" s="235"/>
      <c r="J199" s="235"/>
      <c r="K199" s="66"/>
      <c r="L199" s="238"/>
      <c r="M199" s="238"/>
    </row>
    <row r="200" ht="12.75" customHeight="1">
      <c r="A200" s="238"/>
      <c r="B200" s="235"/>
      <c r="C200" s="235"/>
      <c r="D200" s="236"/>
      <c r="E200" s="235"/>
      <c r="F200" s="235"/>
      <c r="G200" s="237"/>
      <c r="H200" s="235"/>
      <c r="I200" s="235"/>
      <c r="J200" s="235"/>
      <c r="K200" s="66"/>
      <c r="L200" s="238"/>
      <c r="M200" s="238"/>
    </row>
    <row r="201" ht="12.75" customHeight="1">
      <c r="A201" s="238"/>
      <c r="B201" s="235"/>
      <c r="C201" s="235"/>
      <c r="D201" s="236"/>
      <c r="E201" s="235"/>
      <c r="F201" s="235"/>
      <c r="G201" s="237"/>
      <c r="H201" s="235"/>
      <c r="I201" s="235"/>
      <c r="J201" s="235"/>
      <c r="K201" s="66"/>
      <c r="L201" s="238"/>
      <c r="M201" s="238"/>
    </row>
    <row r="202" ht="12.75" customHeight="1">
      <c r="A202" s="238"/>
      <c r="B202" s="235"/>
      <c r="C202" s="235"/>
      <c r="D202" s="236"/>
      <c r="E202" s="235"/>
      <c r="F202" s="235"/>
      <c r="G202" s="237"/>
      <c r="H202" s="235"/>
      <c r="I202" s="235"/>
      <c r="J202" s="235"/>
      <c r="K202" s="66"/>
      <c r="L202" s="238"/>
      <c r="M202" s="238"/>
    </row>
    <row r="203" ht="12.75" customHeight="1">
      <c r="A203" s="238"/>
      <c r="B203" s="235"/>
      <c r="C203" s="235"/>
      <c r="D203" s="236"/>
      <c r="E203" s="235"/>
      <c r="F203" s="235"/>
      <c r="G203" s="237"/>
      <c r="H203" s="235"/>
      <c r="I203" s="235"/>
      <c r="J203" s="235"/>
      <c r="K203" s="66"/>
      <c r="L203" s="238"/>
      <c r="M203" s="238"/>
    </row>
    <row r="204" ht="12.75" customHeight="1">
      <c r="A204" s="238"/>
      <c r="B204" s="235"/>
      <c r="C204" s="235"/>
      <c r="D204" s="236"/>
      <c r="E204" s="235"/>
      <c r="F204" s="235"/>
      <c r="G204" s="237"/>
      <c r="H204" s="235"/>
      <c r="I204" s="235"/>
      <c r="J204" s="235"/>
      <c r="K204" s="66"/>
      <c r="L204" s="238"/>
      <c r="M204" s="238"/>
    </row>
    <row r="205" ht="12.75" customHeight="1">
      <c r="A205" s="238"/>
      <c r="B205" s="235"/>
      <c r="C205" s="235"/>
      <c r="D205" s="236"/>
      <c r="E205" s="235"/>
      <c r="F205" s="235"/>
      <c r="G205" s="237"/>
      <c r="H205" s="235"/>
      <c r="I205" s="235"/>
      <c r="J205" s="235"/>
      <c r="K205" s="66"/>
      <c r="L205" s="238"/>
      <c r="M205" s="238"/>
    </row>
    <row r="206" ht="12.75" customHeight="1">
      <c r="A206" s="238"/>
      <c r="B206" s="235"/>
      <c r="C206" s="235"/>
      <c r="D206" s="236"/>
      <c r="E206" s="235"/>
      <c r="F206" s="235"/>
      <c r="G206" s="237"/>
      <c r="H206" s="235"/>
      <c r="I206" s="235"/>
      <c r="J206" s="235"/>
      <c r="K206" s="66"/>
      <c r="L206" s="238"/>
      <c r="M206" s="238"/>
    </row>
    <row r="207" ht="12.75" customHeight="1">
      <c r="A207" s="238"/>
      <c r="B207" s="235"/>
      <c r="C207" s="235"/>
      <c r="D207" s="236"/>
      <c r="E207" s="235"/>
      <c r="F207" s="235"/>
      <c r="G207" s="237"/>
      <c r="H207" s="235"/>
      <c r="I207" s="235"/>
      <c r="J207" s="235"/>
      <c r="K207" s="66"/>
      <c r="L207" s="238"/>
      <c r="M207" s="238"/>
    </row>
    <row r="208" ht="12.75" customHeight="1">
      <c r="A208" s="238"/>
      <c r="B208" s="235"/>
      <c r="C208" s="235"/>
      <c r="D208" s="236"/>
      <c r="E208" s="235"/>
      <c r="F208" s="235"/>
      <c r="G208" s="237"/>
      <c r="H208" s="235"/>
      <c r="I208" s="235"/>
      <c r="J208" s="235"/>
      <c r="K208" s="66"/>
      <c r="L208" s="238"/>
      <c r="M208" s="238"/>
    </row>
    <row r="209" ht="12.75" customHeight="1">
      <c r="A209" s="238"/>
      <c r="B209" s="235"/>
      <c r="C209" s="235"/>
      <c r="D209" s="236"/>
      <c r="E209" s="235"/>
      <c r="F209" s="235"/>
      <c r="G209" s="237"/>
      <c r="H209" s="235"/>
      <c r="I209" s="235"/>
      <c r="J209" s="235"/>
      <c r="K209" s="66"/>
      <c r="L209" s="238"/>
      <c r="M209" s="238"/>
    </row>
    <row r="210" ht="12.75" customHeight="1">
      <c r="A210" s="238"/>
      <c r="B210" s="235"/>
      <c r="C210" s="235"/>
      <c r="D210" s="236"/>
      <c r="E210" s="235"/>
      <c r="F210" s="235"/>
      <c r="G210" s="237"/>
      <c r="H210" s="235"/>
      <c r="I210" s="235"/>
      <c r="J210" s="235"/>
      <c r="K210" s="66"/>
      <c r="L210" s="238"/>
      <c r="M210" s="238"/>
    </row>
    <row r="211" ht="12.75" customHeight="1">
      <c r="A211" s="238"/>
      <c r="B211" s="235"/>
      <c r="C211" s="235"/>
      <c r="D211" s="236"/>
      <c r="E211" s="235"/>
      <c r="F211" s="235"/>
      <c r="G211" s="237"/>
      <c r="H211" s="235"/>
      <c r="I211" s="235"/>
      <c r="J211" s="235"/>
      <c r="K211" s="66"/>
      <c r="L211" s="238"/>
      <c r="M211" s="238"/>
    </row>
    <row r="212" ht="12.75" customHeight="1">
      <c r="A212" s="238"/>
      <c r="B212" s="235"/>
      <c r="C212" s="235"/>
      <c r="D212" s="236"/>
      <c r="E212" s="235"/>
      <c r="F212" s="235"/>
      <c r="G212" s="237"/>
      <c r="H212" s="235"/>
      <c r="I212" s="235"/>
      <c r="J212" s="235"/>
      <c r="K212" s="66"/>
      <c r="L212" s="238"/>
      <c r="M212" s="238"/>
    </row>
    <row r="213" ht="12.75" customHeight="1">
      <c r="A213" s="238"/>
      <c r="B213" s="235"/>
      <c r="C213" s="235"/>
      <c r="D213" s="236"/>
      <c r="E213" s="235"/>
      <c r="F213" s="235"/>
      <c r="G213" s="237"/>
      <c r="H213" s="235"/>
      <c r="I213" s="235"/>
      <c r="J213" s="235"/>
      <c r="K213" s="66"/>
      <c r="L213" s="238"/>
      <c r="M213" s="238"/>
    </row>
    <row r="214" ht="12.75" customHeight="1">
      <c r="A214" s="238"/>
      <c r="B214" s="235"/>
      <c r="C214" s="235"/>
      <c r="D214" s="236"/>
      <c r="E214" s="235"/>
      <c r="F214" s="235"/>
      <c r="G214" s="237"/>
      <c r="H214" s="235"/>
      <c r="I214" s="235"/>
      <c r="J214" s="235"/>
      <c r="K214" s="66"/>
      <c r="L214" s="238"/>
      <c r="M214" s="238"/>
    </row>
    <row r="215" ht="12.75" customHeight="1">
      <c r="A215" s="238"/>
      <c r="B215" s="235"/>
      <c r="C215" s="235"/>
      <c r="D215" s="236"/>
      <c r="E215" s="235"/>
      <c r="F215" s="235"/>
      <c r="G215" s="237"/>
      <c r="H215" s="235"/>
      <c r="I215" s="235"/>
      <c r="J215" s="235"/>
      <c r="K215" s="66"/>
      <c r="L215" s="238"/>
      <c r="M215" s="238"/>
    </row>
    <row r="216" ht="12.75" customHeight="1">
      <c r="A216" s="238"/>
      <c r="B216" s="235"/>
      <c r="C216" s="235"/>
      <c r="D216" s="236"/>
      <c r="E216" s="235"/>
      <c r="F216" s="235"/>
      <c r="G216" s="237"/>
      <c r="H216" s="235"/>
      <c r="I216" s="235"/>
      <c r="J216" s="235"/>
      <c r="K216" s="66"/>
      <c r="L216" s="238"/>
      <c r="M216" s="238"/>
    </row>
    <row r="217" ht="12.75" customHeight="1">
      <c r="A217" s="238"/>
      <c r="B217" s="235"/>
      <c r="C217" s="235"/>
      <c r="D217" s="236"/>
      <c r="E217" s="235"/>
      <c r="F217" s="235"/>
      <c r="G217" s="237"/>
      <c r="H217" s="235"/>
      <c r="I217" s="235"/>
      <c r="J217" s="235"/>
      <c r="K217" s="66"/>
      <c r="L217" s="238"/>
      <c r="M217" s="238"/>
    </row>
    <row r="218" ht="12.75" customHeight="1">
      <c r="A218" s="238"/>
      <c r="B218" s="235"/>
      <c r="C218" s="235"/>
      <c r="D218" s="236"/>
      <c r="E218" s="235"/>
      <c r="F218" s="235"/>
      <c r="G218" s="237"/>
      <c r="H218" s="235"/>
      <c r="I218" s="235"/>
      <c r="J218" s="235"/>
      <c r="K218" s="66"/>
      <c r="L218" s="238"/>
      <c r="M218" s="238"/>
    </row>
    <row r="219" ht="12.75" customHeight="1">
      <c r="A219" s="238"/>
      <c r="B219" s="235"/>
      <c r="C219" s="235"/>
      <c r="D219" s="236"/>
      <c r="E219" s="235"/>
      <c r="F219" s="235"/>
      <c r="G219" s="237"/>
      <c r="H219" s="235"/>
      <c r="I219" s="235"/>
      <c r="J219" s="235"/>
      <c r="K219" s="66"/>
      <c r="L219" s="238"/>
      <c r="M219" s="238"/>
    </row>
    <row r="220" ht="12.75" customHeight="1">
      <c r="A220" s="238"/>
      <c r="B220" s="235"/>
      <c r="C220" s="235"/>
      <c r="D220" s="236"/>
      <c r="E220" s="235"/>
      <c r="F220" s="235"/>
      <c r="G220" s="237"/>
      <c r="H220" s="235"/>
      <c r="I220" s="235"/>
      <c r="J220" s="235"/>
      <c r="K220" s="66"/>
      <c r="L220" s="238"/>
      <c r="M220" s="238"/>
    </row>
    <row r="221" ht="12.75" customHeight="1">
      <c r="A221" s="238"/>
      <c r="B221" s="235"/>
      <c r="C221" s="235"/>
      <c r="D221" s="236"/>
      <c r="E221" s="235"/>
      <c r="F221" s="235"/>
      <c r="G221" s="237"/>
      <c r="H221" s="235"/>
      <c r="I221" s="235"/>
      <c r="J221" s="235"/>
      <c r="K221" s="66"/>
      <c r="L221" s="238"/>
      <c r="M221" s="238"/>
    </row>
    <row r="222" ht="12.75" customHeight="1">
      <c r="A222" s="238"/>
      <c r="B222" s="235"/>
      <c r="C222" s="235"/>
      <c r="D222" s="236"/>
      <c r="E222" s="235"/>
      <c r="F222" s="235"/>
      <c r="G222" s="237"/>
      <c r="H222" s="235"/>
      <c r="I222" s="235"/>
      <c r="J222" s="235"/>
      <c r="K222" s="66"/>
      <c r="L222" s="238"/>
      <c r="M222" s="238"/>
    </row>
    <row r="223" ht="12.75" customHeight="1">
      <c r="A223" s="238"/>
      <c r="B223" s="235"/>
      <c r="C223" s="235"/>
      <c r="D223" s="236"/>
      <c r="E223" s="235"/>
      <c r="F223" s="235"/>
      <c r="G223" s="237"/>
      <c r="H223" s="235"/>
      <c r="I223" s="235"/>
      <c r="J223" s="235"/>
      <c r="K223" s="66"/>
      <c r="L223" s="238"/>
      <c r="M223" s="238"/>
    </row>
    <row r="224" ht="12.75" customHeight="1">
      <c r="A224" s="238"/>
      <c r="B224" s="235"/>
      <c r="C224" s="235"/>
      <c r="D224" s="236"/>
      <c r="E224" s="235"/>
      <c r="F224" s="235"/>
      <c r="G224" s="237"/>
      <c r="H224" s="235"/>
      <c r="I224" s="235"/>
      <c r="J224" s="235"/>
      <c r="K224" s="66"/>
      <c r="L224" s="238"/>
      <c r="M224" s="238"/>
    </row>
    <row r="225" ht="12.75" customHeight="1">
      <c r="A225" s="238"/>
      <c r="B225" s="235"/>
      <c r="C225" s="235"/>
      <c r="D225" s="236"/>
      <c r="E225" s="235"/>
      <c r="F225" s="235"/>
      <c r="G225" s="237"/>
      <c r="H225" s="235"/>
      <c r="I225" s="235"/>
      <c r="J225" s="235"/>
      <c r="K225" s="66"/>
      <c r="L225" s="238"/>
      <c r="M225" s="238"/>
    </row>
    <row r="226" ht="12.75" customHeight="1">
      <c r="A226" s="238"/>
      <c r="B226" s="235"/>
      <c r="C226" s="235"/>
      <c r="D226" s="236"/>
      <c r="E226" s="235"/>
      <c r="F226" s="235"/>
      <c r="G226" s="237"/>
      <c r="H226" s="235"/>
      <c r="I226" s="235"/>
      <c r="J226" s="235"/>
      <c r="K226" s="66"/>
      <c r="L226" s="238"/>
      <c r="M226" s="238"/>
    </row>
    <row r="227" ht="12.75" customHeight="1">
      <c r="A227" s="238"/>
      <c r="B227" s="235"/>
      <c r="C227" s="235"/>
      <c r="D227" s="236"/>
      <c r="E227" s="235"/>
      <c r="F227" s="235"/>
      <c r="G227" s="237"/>
      <c r="H227" s="235"/>
      <c r="I227" s="235"/>
      <c r="J227" s="235"/>
      <c r="K227" s="66"/>
      <c r="L227" s="238"/>
      <c r="M227" s="238"/>
    </row>
    <row r="228" ht="12.75" customHeight="1">
      <c r="A228" s="238"/>
      <c r="B228" s="235"/>
      <c r="C228" s="235"/>
      <c r="D228" s="236"/>
      <c r="E228" s="235"/>
      <c r="F228" s="235"/>
      <c r="G228" s="237"/>
      <c r="H228" s="235"/>
      <c r="I228" s="235"/>
      <c r="J228" s="235"/>
      <c r="K228" s="66"/>
      <c r="L228" s="238"/>
      <c r="M228" s="238"/>
    </row>
    <row r="229" ht="12.75" customHeight="1">
      <c r="A229" s="238"/>
      <c r="B229" s="235"/>
      <c r="C229" s="235"/>
      <c r="D229" s="236"/>
      <c r="E229" s="235"/>
      <c r="F229" s="235"/>
      <c r="G229" s="237"/>
      <c r="H229" s="235"/>
      <c r="I229" s="235"/>
      <c r="J229" s="235"/>
      <c r="K229" s="66"/>
      <c r="L229" s="238"/>
      <c r="M229" s="238"/>
    </row>
    <row r="230" ht="12.75" customHeight="1">
      <c r="A230" s="238"/>
      <c r="B230" s="235"/>
      <c r="C230" s="235"/>
      <c r="D230" s="236"/>
      <c r="E230" s="235"/>
      <c r="F230" s="235"/>
      <c r="G230" s="237"/>
      <c r="H230" s="235"/>
      <c r="I230" s="235"/>
      <c r="J230" s="235"/>
      <c r="K230" s="66"/>
      <c r="L230" s="238"/>
      <c r="M230" s="238"/>
    </row>
    <row r="231" ht="12.75" customHeight="1">
      <c r="A231" s="238"/>
      <c r="B231" s="235"/>
      <c r="C231" s="235"/>
      <c r="D231" s="236"/>
      <c r="E231" s="235"/>
      <c r="F231" s="235"/>
      <c r="G231" s="237"/>
      <c r="H231" s="235"/>
      <c r="I231" s="235"/>
      <c r="J231" s="235"/>
      <c r="K231" s="66"/>
      <c r="L231" s="238"/>
      <c r="M231" s="238"/>
    </row>
    <row r="232" ht="12.75" customHeight="1">
      <c r="A232" s="238"/>
      <c r="B232" s="235"/>
      <c r="C232" s="235"/>
      <c r="D232" s="236"/>
      <c r="E232" s="235"/>
      <c r="F232" s="235"/>
      <c r="G232" s="237"/>
      <c r="H232" s="235"/>
      <c r="I232" s="235"/>
      <c r="J232" s="235"/>
      <c r="K232" s="66"/>
      <c r="L232" s="238"/>
      <c r="M232" s="238"/>
    </row>
    <row r="233" ht="12.75" customHeight="1">
      <c r="A233" s="238"/>
      <c r="B233" s="235"/>
      <c r="C233" s="235"/>
      <c r="D233" s="236"/>
      <c r="E233" s="235"/>
      <c r="F233" s="235"/>
      <c r="G233" s="237"/>
      <c r="H233" s="235"/>
      <c r="I233" s="235"/>
      <c r="J233" s="235"/>
      <c r="K233" s="66"/>
      <c r="L233" s="238"/>
      <c r="M233" s="238"/>
    </row>
    <row r="234" ht="12.75" customHeight="1">
      <c r="A234" s="238"/>
      <c r="B234" s="235"/>
      <c r="C234" s="235"/>
      <c r="D234" s="236"/>
      <c r="E234" s="235"/>
      <c r="F234" s="235"/>
      <c r="G234" s="237"/>
      <c r="H234" s="235"/>
      <c r="I234" s="235"/>
      <c r="J234" s="235"/>
      <c r="K234" s="66"/>
      <c r="L234" s="238"/>
      <c r="M234" s="238"/>
    </row>
    <row r="235" ht="12.75" customHeight="1">
      <c r="A235" s="238"/>
      <c r="B235" s="235"/>
      <c r="C235" s="235"/>
      <c r="D235" s="236"/>
      <c r="E235" s="235"/>
      <c r="F235" s="235"/>
      <c r="G235" s="237"/>
      <c r="H235" s="235"/>
      <c r="I235" s="235"/>
      <c r="J235" s="235"/>
      <c r="K235" s="66"/>
      <c r="L235" s="238"/>
      <c r="M235" s="238"/>
    </row>
    <row r="236" ht="12.75" customHeight="1">
      <c r="A236" s="238"/>
      <c r="B236" s="235"/>
      <c r="C236" s="235"/>
      <c r="D236" s="236"/>
      <c r="E236" s="235"/>
      <c r="F236" s="235"/>
      <c r="G236" s="237"/>
      <c r="H236" s="235"/>
      <c r="I236" s="235"/>
      <c r="J236" s="235"/>
      <c r="K236" s="66"/>
      <c r="L236" s="238"/>
      <c r="M236" s="238"/>
    </row>
    <row r="237" ht="12.75" customHeight="1">
      <c r="A237" s="238"/>
      <c r="B237" s="235"/>
      <c r="C237" s="235"/>
      <c r="D237" s="236"/>
      <c r="E237" s="235"/>
      <c r="F237" s="235"/>
      <c r="G237" s="237"/>
      <c r="H237" s="235"/>
      <c r="I237" s="235"/>
      <c r="J237" s="235"/>
      <c r="K237" s="66"/>
      <c r="L237" s="238"/>
      <c r="M237" s="238"/>
    </row>
    <row r="238" ht="12.75" customHeight="1">
      <c r="A238" s="238"/>
      <c r="B238" s="235"/>
      <c r="C238" s="235"/>
      <c r="D238" s="236"/>
      <c r="E238" s="235"/>
      <c r="F238" s="235"/>
      <c r="G238" s="237"/>
      <c r="H238" s="235"/>
      <c r="I238" s="235"/>
      <c r="J238" s="235"/>
      <c r="K238" s="66"/>
      <c r="L238" s="238"/>
      <c r="M238" s="238"/>
    </row>
    <row r="239" ht="12.75" customHeight="1">
      <c r="A239" s="238"/>
      <c r="B239" s="235"/>
      <c r="C239" s="235"/>
      <c r="D239" s="236"/>
      <c r="E239" s="235"/>
      <c r="F239" s="235"/>
      <c r="G239" s="237"/>
      <c r="H239" s="235"/>
      <c r="I239" s="235"/>
      <c r="J239" s="235"/>
      <c r="K239" s="66"/>
      <c r="L239" s="238"/>
      <c r="M239" s="238"/>
    </row>
    <row r="240" ht="12.75" customHeight="1">
      <c r="A240" s="238"/>
      <c r="B240" s="235"/>
      <c r="C240" s="235"/>
      <c r="D240" s="236"/>
      <c r="E240" s="235"/>
      <c r="F240" s="235"/>
      <c r="G240" s="237"/>
      <c r="H240" s="235"/>
      <c r="I240" s="235"/>
      <c r="J240" s="235"/>
      <c r="K240" s="66"/>
      <c r="L240" s="238"/>
      <c r="M240" s="238"/>
    </row>
    <row r="241" ht="12.75" customHeight="1">
      <c r="A241" s="238"/>
      <c r="B241" s="235"/>
      <c r="C241" s="235"/>
      <c r="D241" s="236"/>
      <c r="E241" s="235"/>
      <c r="F241" s="235"/>
      <c r="G241" s="237"/>
      <c r="H241" s="235"/>
      <c r="I241" s="235"/>
      <c r="J241" s="235"/>
      <c r="K241" s="66"/>
      <c r="L241" s="238"/>
      <c r="M241" s="238"/>
    </row>
    <row r="242" ht="12.75" customHeight="1">
      <c r="A242" s="238"/>
      <c r="B242" s="235"/>
      <c r="C242" s="235"/>
      <c r="D242" s="236"/>
      <c r="E242" s="235"/>
      <c r="F242" s="235"/>
      <c r="G242" s="237"/>
      <c r="H242" s="235"/>
      <c r="I242" s="235"/>
      <c r="J242" s="235"/>
      <c r="K242" s="66"/>
      <c r="L242" s="238"/>
      <c r="M242" s="238"/>
    </row>
    <row r="243" ht="12.75" customHeight="1">
      <c r="A243" s="238"/>
      <c r="B243" s="235"/>
      <c r="C243" s="235"/>
      <c r="D243" s="236"/>
      <c r="E243" s="235"/>
      <c r="F243" s="235"/>
      <c r="G243" s="237"/>
      <c r="H243" s="235"/>
      <c r="I243" s="235"/>
      <c r="J243" s="235"/>
      <c r="K243" s="66"/>
      <c r="L243" s="238"/>
      <c r="M243" s="238"/>
    </row>
    <row r="244" ht="12.75" customHeight="1">
      <c r="A244" s="238"/>
      <c r="B244" s="235"/>
      <c r="C244" s="235"/>
      <c r="D244" s="236"/>
      <c r="E244" s="235"/>
      <c r="F244" s="235"/>
      <c r="G244" s="237"/>
      <c r="H244" s="235"/>
      <c r="I244" s="235"/>
      <c r="J244" s="235"/>
      <c r="K244" s="66"/>
      <c r="L244" s="238"/>
      <c r="M244" s="238"/>
    </row>
    <row r="245" ht="12.75" customHeight="1">
      <c r="A245" s="238"/>
      <c r="B245" s="235"/>
      <c r="C245" s="235"/>
      <c r="D245" s="236"/>
      <c r="E245" s="235"/>
      <c r="F245" s="235"/>
      <c r="G245" s="237"/>
      <c r="H245" s="235"/>
      <c r="I245" s="235"/>
      <c r="J245" s="235"/>
      <c r="K245" s="66"/>
      <c r="L245" s="238"/>
      <c r="M245" s="238"/>
    </row>
    <row r="246" ht="12.75" customHeight="1">
      <c r="A246" s="238"/>
      <c r="B246" s="235"/>
      <c r="C246" s="235"/>
      <c r="D246" s="236"/>
      <c r="E246" s="235"/>
      <c r="F246" s="235"/>
      <c r="G246" s="237"/>
      <c r="H246" s="235"/>
      <c r="I246" s="235"/>
      <c r="J246" s="235"/>
      <c r="K246" s="66"/>
      <c r="L246" s="238"/>
      <c r="M246" s="238"/>
    </row>
    <row r="247" ht="12.75" customHeight="1">
      <c r="A247" s="238"/>
      <c r="B247" s="235"/>
      <c r="C247" s="235"/>
      <c r="D247" s="236"/>
      <c r="E247" s="235"/>
      <c r="F247" s="235"/>
      <c r="G247" s="237"/>
      <c r="H247" s="235"/>
      <c r="I247" s="235"/>
      <c r="J247" s="235"/>
      <c r="K247" s="66"/>
      <c r="L247" s="238"/>
      <c r="M247" s="238"/>
    </row>
    <row r="248" ht="12.75" customHeight="1">
      <c r="A248" s="238"/>
      <c r="B248" s="235"/>
      <c r="C248" s="235"/>
      <c r="D248" s="236"/>
      <c r="E248" s="235"/>
      <c r="F248" s="235"/>
      <c r="G248" s="237"/>
      <c r="H248" s="235"/>
      <c r="I248" s="235"/>
      <c r="J248" s="235"/>
      <c r="K248" s="66"/>
      <c r="L248" s="238"/>
      <c r="M248" s="238"/>
    </row>
    <row r="249" ht="12.75" customHeight="1">
      <c r="A249" s="238"/>
      <c r="B249" s="235"/>
      <c r="C249" s="235"/>
      <c r="D249" s="236"/>
      <c r="E249" s="235"/>
      <c r="F249" s="235"/>
      <c r="G249" s="237"/>
      <c r="H249" s="235"/>
      <c r="I249" s="235"/>
      <c r="J249" s="235"/>
      <c r="K249" s="66"/>
      <c r="L249" s="238"/>
      <c r="M249" s="238"/>
    </row>
    <row r="250" ht="12.75" customHeight="1">
      <c r="A250" s="238"/>
      <c r="B250" s="235"/>
      <c r="C250" s="235"/>
      <c r="D250" s="236"/>
      <c r="E250" s="235"/>
      <c r="F250" s="235"/>
      <c r="G250" s="237"/>
      <c r="H250" s="235"/>
      <c r="I250" s="235"/>
      <c r="J250" s="235"/>
      <c r="K250" s="66"/>
      <c r="L250" s="238"/>
      <c r="M250" s="238"/>
    </row>
    <row r="251" ht="12.75" customHeight="1">
      <c r="A251" s="238"/>
      <c r="B251" s="235"/>
      <c r="C251" s="235"/>
      <c r="D251" s="236"/>
      <c r="E251" s="235"/>
      <c r="F251" s="235"/>
      <c r="G251" s="237"/>
      <c r="H251" s="235"/>
      <c r="I251" s="235"/>
      <c r="J251" s="235"/>
      <c r="K251" s="66"/>
      <c r="L251" s="238"/>
      <c r="M251" s="238"/>
    </row>
    <row r="252" ht="12.75" customHeight="1">
      <c r="A252" s="238"/>
      <c r="B252" s="235"/>
      <c r="C252" s="235"/>
      <c r="D252" s="236"/>
      <c r="E252" s="235"/>
      <c r="F252" s="235"/>
      <c r="G252" s="237"/>
      <c r="H252" s="235"/>
      <c r="I252" s="235"/>
      <c r="J252" s="235"/>
      <c r="K252" s="66"/>
      <c r="L252" s="238"/>
      <c r="M252" s="238"/>
    </row>
    <row r="253" ht="12.75" customHeight="1">
      <c r="A253" s="238"/>
      <c r="B253" s="235"/>
      <c r="C253" s="235"/>
      <c r="D253" s="236"/>
      <c r="E253" s="235"/>
      <c r="F253" s="235"/>
      <c r="G253" s="237"/>
      <c r="H253" s="235"/>
      <c r="I253" s="235"/>
      <c r="J253" s="235"/>
      <c r="K253" s="66"/>
      <c r="L253" s="238"/>
      <c r="M253" s="238"/>
    </row>
    <row r="254" ht="12.75" customHeight="1">
      <c r="A254" s="238"/>
      <c r="B254" s="235"/>
      <c r="C254" s="235"/>
      <c r="D254" s="236"/>
      <c r="E254" s="235"/>
      <c r="F254" s="235"/>
      <c r="G254" s="237"/>
      <c r="H254" s="235"/>
      <c r="I254" s="235"/>
      <c r="J254" s="235"/>
      <c r="K254" s="66"/>
      <c r="L254" s="238"/>
      <c r="M254" s="238"/>
    </row>
    <row r="255" ht="12.75" customHeight="1">
      <c r="A255" s="238"/>
      <c r="B255" s="235"/>
      <c r="C255" s="235"/>
      <c r="D255" s="236"/>
      <c r="E255" s="235"/>
      <c r="F255" s="235"/>
      <c r="G255" s="237"/>
      <c r="H255" s="235"/>
      <c r="I255" s="235"/>
      <c r="J255" s="235"/>
      <c r="K255" s="66"/>
      <c r="L255" s="238"/>
      <c r="M255" s="238"/>
    </row>
    <row r="256" ht="12.75" customHeight="1">
      <c r="A256" s="238"/>
      <c r="B256" s="235"/>
      <c r="C256" s="235"/>
      <c r="D256" s="236"/>
      <c r="E256" s="235"/>
      <c r="F256" s="235"/>
      <c r="G256" s="237"/>
      <c r="H256" s="235"/>
      <c r="I256" s="235"/>
      <c r="J256" s="235"/>
      <c r="K256" s="66"/>
      <c r="L256" s="238"/>
      <c r="M256" s="238"/>
    </row>
    <row r="257" ht="12.75" customHeight="1">
      <c r="A257" s="238"/>
      <c r="B257" s="235"/>
      <c r="C257" s="235"/>
      <c r="D257" s="236"/>
      <c r="E257" s="235"/>
      <c r="F257" s="235"/>
      <c r="G257" s="237"/>
      <c r="H257" s="235"/>
      <c r="I257" s="235"/>
      <c r="J257" s="235"/>
      <c r="K257" s="66"/>
      <c r="L257" s="238"/>
      <c r="M257" s="238"/>
    </row>
    <row r="258" ht="12.75" customHeight="1">
      <c r="A258" s="238"/>
      <c r="B258" s="235"/>
      <c r="C258" s="235"/>
      <c r="D258" s="236"/>
      <c r="E258" s="235"/>
      <c r="F258" s="235"/>
      <c r="G258" s="237"/>
      <c r="H258" s="235"/>
      <c r="I258" s="235"/>
      <c r="J258" s="235"/>
      <c r="K258" s="66"/>
      <c r="L258" s="238"/>
      <c r="M258" s="238"/>
    </row>
    <row r="259" ht="12.75" customHeight="1">
      <c r="A259" s="238"/>
      <c r="B259" s="235"/>
      <c r="C259" s="235"/>
      <c r="D259" s="236"/>
      <c r="E259" s="235"/>
      <c r="F259" s="235"/>
      <c r="G259" s="237"/>
      <c r="H259" s="235"/>
      <c r="I259" s="235"/>
      <c r="J259" s="235"/>
      <c r="K259" s="66"/>
      <c r="L259" s="238"/>
      <c r="M259" s="238"/>
    </row>
    <row r="260" ht="12.75" customHeight="1">
      <c r="A260" s="238"/>
      <c r="B260" s="235"/>
      <c r="C260" s="235"/>
      <c r="D260" s="236"/>
      <c r="E260" s="235"/>
      <c r="F260" s="235"/>
      <c r="G260" s="237"/>
      <c r="H260" s="235"/>
      <c r="I260" s="235"/>
      <c r="J260" s="235"/>
      <c r="K260" s="66"/>
      <c r="L260" s="238"/>
      <c r="M260" s="238"/>
    </row>
    <row r="261" ht="12.75" customHeight="1">
      <c r="A261" s="238"/>
      <c r="B261" s="235"/>
      <c r="C261" s="235"/>
      <c r="D261" s="236"/>
      <c r="E261" s="235"/>
      <c r="F261" s="235"/>
      <c r="G261" s="237"/>
      <c r="H261" s="235"/>
      <c r="I261" s="235"/>
      <c r="J261" s="235"/>
      <c r="K261" s="66"/>
      <c r="L261" s="238"/>
      <c r="M261" s="238"/>
    </row>
    <row r="262" ht="12.75" customHeight="1">
      <c r="A262" s="238"/>
      <c r="B262" s="235"/>
      <c r="C262" s="235"/>
      <c r="D262" s="236"/>
      <c r="E262" s="235"/>
      <c r="F262" s="235"/>
      <c r="G262" s="237"/>
      <c r="H262" s="235"/>
      <c r="I262" s="235"/>
      <c r="J262" s="235"/>
      <c r="K262" s="66"/>
      <c r="L262" s="238"/>
      <c r="M262" s="238"/>
    </row>
    <row r="263" ht="12.75" customHeight="1">
      <c r="A263" s="238"/>
      <c r="B263" s="235"/>
      <c r="C263" s="235"/>
      <c r="D263" s="236"/>
      <c r="E263" s="235"/>
      <c r="F263" s="235"/>
      <c r="G263" s="237"/>
      <c r="H263" s="235"/>
      <c r="I263" s="235"/>
      <c r="J263" s="235"/>
      <c r="K263" s="66"/>
      <c r="L263" s="238"/>
      <c r="M263" s="238"/>
    </row>
    <row r="264" ht="12.75" customHeight="1">
      <c r="A264" s="238"/>
      <c r="B264" s="235"/>
      <c r="C264" s="235"/>
      <c r="D264" s="236"/>
      <c r="E264" s="235"/>
      <c r="F264" s="235"/>
      <c r="G264" s="237"/>
      <c r="H264" s="235"/>
      <c r="I264" s="235"/>
      <c r="J264" s="235"/>
      <c r="K264" s="66"/>
      <c r="L264" s="238"/>
      <c r="M264" s="238"/>
    </row>
    <row r="265" ht="12.75" customHeight="1">
      <c r="A265" s="238"/>
      <c r="B265" s="235"/>
      <c r="C265" s="235"/>
      <c r="D265" s="236"/>
      <c r="E265" s="235"/>
      <c r="F265" s="235"/>
      <c r="G265" s="237"/>
      <c r="H265" s="235"/>
      <c r="I265" s="235"/>
      <c r="J265" s="235"/>
      <c r="K265" s="66"/>
      <c r="L265" s="238"/>
      <c r="M265" s="238"/>
    </row>
    <row r="266" ht="12.75" customHeight="1">
      <c r="A266" s="238"/>
      <c r="B266" s="235"/>
      <c r="C266" s="235"/>
      <c r="D266" s="236"/>
      <c r="E266" s="235"/>
      <c r="F266" s="235"/>
      <c r="G266" s="237"/>
      <c r="H266" s="235"/>
      <c r="I266" s="235"/>
      <c r="J266" s="235"/>
      <c r="K266" s="66"/>
      <c r="L266" s="238"/>
      <c r="M266" s="238"/>
    </row>
    <row r="267" ht="12.75" customHeight="1">
      <c r="A267" s="238"/>
      <c r="B267" s="235"/>
      <c r="C267" s="235"/>
      <c r="D267" s="236"/>
      <c r="E267" s="235"/>
      <c r="F267" s="235"/>
      <c r="G267" s="237"/>
      <c r="H267" s="235"/>
      <c r="I267" s="235"/>
      <c r="J267" s="235"/>
      <c r="K267" s="66"/>
      <c r="L267" s="238"/>
      <c r="M267" s="238"/>
    </row>
    <row r="268" ht="12.75" customHeight="1">
      <c r="A268" s="238"/>
      <c r="B268" s="235"/>
      <c r="C268" s="235"/>
      <c r="D268" s="236"/>
      <c r="E268" s="235"/>
      <c r="F268" s="235"/>
      <c r="G268" s="237"/>
      <c r="H268" s="235"/>
      <c r="I268" s="235"/>
      <c r="J268" s="235"/>
      <c r="K268" s="66"/>
      <c r="L268" s="238"/>
      <c r="M268" s="238"/>
    </row>
    <row r="269" ht="12.75" customHeight="1">
      <c r="A269" s="238"/>
      <c r="B269" s="235"/>
      <c r="C269" s="235"/>
      <c r="D269" s="236"/>
      <c r="E269" s="235"/>
      <c r="F269" s="235"/>
      <c r="G269" s="237"/>
      <c r="H269" s="235"/>
      <c r="I269" s="235"/>
      <c r="J269" s="235"/>
      <c r="K269" s="66"/>
      <c r="L269" s="238"/>
      <c r="M269" s="238"/>
    </row>
    <row r="270" ht="12.75" customHeight="1">
      <c r="A270" s="238"/>
      <c r="B270" s="235"/>
      <c r="C270" s="235"/>
      <c r="D270" s="236"/>
      <c r="E270" s="235"/>
      <c r="F270" s="235"/>
      <c r="G270" s="237"/>
      <c r="H270" s="235"/>
      <c r="I270" s="235"/>
      <c r="J270" s="235"/>
      <c r="K270" s="66"/>
      <c r="L270" s="238"/>
      <c r="M270" s="238"/>
    </row>
    <row r="271" ht="12.75" customHeight="1">
      <c r="A271" s="238"/>
      <c r="B271" s="235"/>
      <c r="C271" s="235"/>
      <c r="D271" s="236"/>
      <c r="E271" s="235"/>
      <c r="F271" s="235"/>
      <c r="G271" s="237"/>
      <c r="H271" s="235"/>
      <c r="I271" s="235"/>
      <c r="J271" s="235"/>
      <c r="K271" s="66"/>
      <c r="L271" s="238"/>
      <c r="M271" s="238"/>
    </row>
    <row r="272" ht="12.75" customHeight="1">
      <c r="A272" s="238"/>
      <c r="B272" s="235"/>
      <c r="C272" s="235"/>
      <c r="D272" s="236"/>
      <c r="E272" s="235"/>
      <c r="F272" s="235"/>
      <c r="G272" s="237"/>
      <c r="H272" s="235"/>
      <c r="I272" s="235"/>
      <c r="J272" s="235"/>
      <c r="K272" s="66"/>
      <c r="L272" s="238"/>
      <c r="M272" s="238"/>
    </row>
    <row r="273" ht="12.75" customHeight="1">
      <c r="A273" s="238"/>
      <c r="B273" s="235"/>
      <c r="C273" s="235"/>
      <c r="D273" s="236"/>
      <c r="E273" s="235"/>
      <c r="F273" s="235"/>
      <c r="G273" s="237"/>
      <c r="H273" s="235"/>
      <c r="I273" s="235"/>
      <c r="J273" s="235"/>
      <c r="K273" s="66"/>
      <c r="L273" s="238"/>
      <c r="M273" s="238"/>
    </row>
    <row r="274" ht="12.75" customHeight="1">
      <c r="A274" s="238"/>
      <c r="B274" s="235"/>
      <c r="C274" s="235"/>
      <c r="D274" s="236"/>
      <c r="E274" s="235"/>
      <c r="F274" s="235"/>
      <c r="G274" s="237"/>
      <c r="H274" s="235"/>
      <c r="I274" s="235"/>
      <c r="J274" s="235"/>
      <c r="K274" s="66"/>
      <c r="L274" s="238"/>
      <c r="M274" s="238"/>
    </row>
    <row r="275" ht="12.75" customHeight="1">
      <c r="A275" s="238"/>
      <c r="B275" s="235"/>
      <c r="C275" s="235"/>
      <c r="D275" s="236"/>
      <c r="E275" s="235"/>
      <c r="F275" s="235"/>
      <c r="G275" s="237"/>
      <c r="H275" s="235"/>
      <c r="I275" s="235"/>
      <c r="J275" s="235"/>
      <c r="K275" s="66"/>
      <c r="L275" s="238"/>
      <c r="M275" s="238"/>
    </row>
    <row r="276" ht="12.75" customHeight="1">
      <c r="A276" s="238"/>
      <c r="B276" s="235"/>
      <c r="C276" s="235"/>
      <c r="D276" s="236"/>
      <c r="E276" s="235"/>
      <c r="F276" s="235"/>
      <c r="G276" s="237"/>
      <c r="H276" s="235"/>
      <c r="I276" s="235"/>
      <c r="J276" s="235"/>
      <c r="K276" s="66"/>
      <c r="L276" s="238"/>
      <c r="M276" s="238"/>
    </row>
    <row r="277" ht="12.75" customHeight="1">
      <c r="A277" s="238"/>
      <c r="B277" s="235"/>
      <c r="C277" s="235"/>
      <c r="D277" s="236"/>
      <c r="E277" s="235"/>
      <c r="F277" s="235"/>
      <c r="G277" s="237"/>
      <c r="H277" s="235"/>
      <c r="I277" s="235"/>
      <c r="J277" s="235"/>
      <c r="K277" s="66"/>
      <c r="L277" s="238"/>
      <c r="M277" s="238"/>
    </row>
    <row r="278" ht="12.75" customHeight="1">
      <c r="A278" s="238"/>
      <c r="B278" s="235"/>
      <c r="C278" s="235"/>
      <c r="D278" s="236"/>
      <c r="E278" s="235"/>
      <c r="F278" s="235"/>
      <c r="G278" s="237"/>
      <c r="H278" s="235"/>
      <c r="I278" s="235"/>
      <c r="J278" s="235"/>
      <c r="K278" s="66"/>
      <c r="L278" s="238"/>
      <c r="M278" s="238"/>
    </row>
    <row r="279" ht="12.75" customHeight="1">
      <c r="A279" s="238"/>
      <c r="B279" s="235"/>
      <c r="C279" s="235"/>
      <c r="D279" s="236"/>
      <c r="E279" s="235"/>
      <c r="F279" s="235"/>
      <c r="G279" s="237"/>
      <c r="H279" s="235"/>
      <c r="I279" s="235"/>
      <c r="J279" s="235"/>
      <c r="K279" s="66"/>
      <c r="L279" s="238"/>
      <c r="M279" s="238"/>
    </row>
    <row r="280" ht="12.75" customHeight="1">
      <c r="A280" s="238"/>
      <c r="B280" s="235"/>
      <c r="C280" s="235"/>
      <c r="D280" s="236"/>
      <c r="E280" s="235"/>
      <c r="F280" s="235"/>
      <c r="G280" s="237"/>
      <c r="H280" s="235"/>
      <c r="I280" s="235"/>
      <c r="J280" s="235"/>
      <c r="K280" s="66"/>
      <c r="L280" s="238"/>
      <c r="M280" s="238"/>
    </row>
    <row r="281" ht="12.75" customHeight="1">
      <c r="A281" s="238"/>
      <c r="B281" s="235"/>
      <c r="C281" s="235"/>
      <c r="D281" s="236"/>
      <c r="E281" s="235"/>
      <c r="F281" s="235"/>
      <c r="G281" s="237"/>
      <c r="H281" s="235"/>
      <c r="I281" s="235"/>
      <c r="J281" s="235"/>
      <c r="K281" s="66"/>
      <c r="L281" s="238"/>
      <c r="M281" s="238"/>
    </row>
    <row r="282" ht="12.75" customHeight="1">
      <c r="A282" s="238"/>
      <c r="B282" s="235"/>
      <c r="C282" s="235"/>
      <c r="D282" s="236"/>
      <c r="E282" s="235"/>
      <c r="F282" s="235"/>
      <c r="G282" s="237"/>
      <c r="H282" s="235"/>
      <c r="I282" s="235"/>
      <c r="J282" s="235"/>
      <c r="K282" s="66"/>
      <c r="L282" s="238"/>
      <c r="M282" s="238"/>
    </row>
    <row r="283" ht="12.75" customHeight="1">
      <c r="A283" s="238"/>
      <c r="B283" s="235"/>
      <c r="C283" s="235"/>
      <c r="D283" s="236"/>
      <c r="E283" s="235"/>
      <c r="F283" s="235"/>
      <c r="G283" s="237"/>
      <c r="H283" s="235"/>
      <c r="I283" s="235"/>
      <c r="J283" s="235"/>
      <c r="K283" s="66"/>
      <c r="L283" s="238"/>
      <c r="M283" s="238"/>
    </row>
    <row r="284" ht="12.75" customHeight="1">
      <c r="A284" s="238"/>
      <c r="B284" s="235"/>
      <c r="C284" s="235"/>
      <c r="D284" s="236"/>
      <c r="E284" s="235"/>
      <c r="F284" s="235"/>
      <c r="G284" s="237"/>
      <c r="H284" s="235"/>
      <c r="I284" s="235"/>
      <c r="J284" s="235"/>
      <c r="K284" s="66"/>
      <c r="L284" s="238"/>
      <c r="M284" s="238"/>
    </row>
    <row r="285" ht="12.75" customHeight="1">
      <c r="A285" s="238"/>
      <c r="B285" s="235"/>
      <c r="C285" s="235"/>
      <c r="D285" s="236"/>
      <c r="E285" s="235"/>
      <c r="F285" s="235"/>
      <c r="G285" s="237"/>
      <c r="H285" s="235"/>
      <c r="I285" s="235"/>
      <c r="J285" s="235"/>
      <c r="K285" s="66"/>
      <c r="L285" s="238"/>
      <c r="M285" s="238"/>
    </row>
    <row r="286" ht="12.75" customHeight="1">
      <c r="A286" s="238"/>
      <c r="B286" s="235"/>
      <c r="C286" s="235"/>
      <c r="D286" s="236"/>
      <c r="E286" s="235"/>
      <c r="F286" s="235"/>
      <c r="G286" s="237"/>
      <c r="H286" s="235"/>
      <c r="I286" s="235"/>
      <c r="J286" s="235"/>
      <c r="K286" s="66"/>
      <c r="L286" s="238"/>
      <c r="M286" s="238"/>
    </row>
    <row r="287" ht="12.75" customHeight="1">
      <c r="A287" s="238"/>
      <c r="B287" s="235"/>
      <c r="C287" s="235"/>
      <c r="D287" s="236"/>
      <c r="E287" s="235"/>
      <c r="F287" s="235"/>
      <c r="G287" s="237"/>
      <c r="H287" s="235"/>
      <c r="I287" s="235"/>
      <c r="J287" s="235"/>
      <c r="K287" s="66"/>
      <c r="L287" s="238"/>
      <c r="M287" s="238"/>
    </row>
    <row r="288" ht="12.75" customHeight="1">
      <c r="A288" s="238"/>
      <c r="B288" s="235"/>
      <c r="C288" s="235"/>
      <c r="D288" s="236"/>
      <c r="E288" s="235"/>
      <c r="F288" s="235"/>
      <c r="G288" s="237"/>
      <c r="H288" s="235"/>
      <c r="I288" s="235"/>
      <c r="J288" s="235"/>
      <c r="K288" s="66"/>
      <c r="L288" s="238"/>
      <c r="M288" s="238"/>
    </row>
    <row r="289" ht="12.75" customHeight="1">
      <c r="A289" s="238"/>
      <c r="B289" s="235"/>
      <c r="C289" s="235"/>
      <c r="D289" s="236"/>
      <c r="E289" s="235"/>
      <c r="F289" s="235"/>
      <c r="G289" s="237"/>
      <c r="H289" s="235"/>
      <c r="I289" s="235"/>
      <c r="J289" s="235"/>
      <c r="K289" s="66"/>
      <c r="L289" s="238"/>
      <c r="M289" s="238"/>
    </row>
    <row r="290" ht="12.75" customHeight="1">
      <c r="A290" s="238"/>
      <c r="B290" s="235"/>
      <c r="C290" s="235"/>
      <c r="D290" s="236"/>
      <c r="E290" s="235"/>
      <c r="F290" s="235"/>
      <c r="G290" s="237"/>
      <c r="H290" s="235"/>
      <c r="I290" s="235"/>
      <c r="J290" s="235"/>
      <c r="K290" s="66"/>
      <c r="L290" s="238"/>
      <c r="M290" s="238"/>
    </row>
    <row r="291" ht="12.75" customHeight="1">
      <c r="A291" s="238"/>
      <c r="B291" s="235"/>
      <c r="C291" s="235"/>
      <c r="D291" s="236"/>
      <c r="E291" s="235"/>
      <c r="F291" s="235"/>
      <c r="G291" s="237"/>
      <c r="H291" s="235"/>
      <c r="I291" s="235"/>
      <c r="J291" s="235"/>
      <c r="K291" s="66"/>
      <c r="L291" s="238"/>
      <c r="M291" s="238"/>
    </row>
    <row r="292" ht="12.75" customHeight="1">
      <c r="A292" s="238"/>
      <c r="B292" s="235"/>
      <c r="C292" s="235"/>
      <c r="D292" s="236"/>
      <c r="E292" s="235"/>
      <c r="F292" s="235"/>
      <c r="G292" s="237"/>
      <c r="H292" s="235"/>
      <c r="I292" s="235"/>
      <c r="J292" s="235"/>
      <c r="K292" s="66"/>
      <c r="L292" s="238"/>
      <c r="M292" s="238"/>
    </row>
    <row r="293" ht="12.75" customHeight="1">
      <c r="A293" s="238"/>
      <c r="B293" s="235"/>
      <c r="C293" s="235"/>
      <c r="D293" s="236"/>
      <c r="E293" s="235"/>
      <c r="F293" s="235"/>
      <c r="G293" s="237"/>
      <c r="H293" s="235"/>
      <c r="I293" s="235"/>
      <c r="J293" s="235"/>
      <c r="K293" s="66"/>
      <c r="L293" s="238"/>
      <c r="M293" s="238"/>
    </row>
    <row r="294" ht="12.75" customHeight="1">
      <c r="A294" s="238"/>
      <c r="B294" s="235"/>
      <c r="C294" s="235"/>
      <c r="D294" s="236"/>
      <c r="E294" s="235"/>
      <c r="F294" s="235"/>
      <c r="G294" s="237"/>
      <c r="H294" s="235"/>
      <c r="I294" s="235"/>
      <c r="J294" s="235"/>
      <c r="K294" s="66"/>
      <c r="L294" s="238"/>
      <c r="M294" s="238"/>
    </row>
    <row r="295" ht="12.75" customHeight="1">
      <c r="A295" s="238"/>
      <c r="B295" s="235"/>
      <c r="C295" s="235"/>
      <c r="D295" s="236"/>
      <c r="E295" s="235"/>
      <c r="F295" s="235"/>
      <c r="G295" s="237"/>
      <c r="H295" s="235"/>
      <c r="I295" s="235"/>
      <c r="J295" s="235"/>
      <c r="K295" s="66"/>
      <c r="L295" s="238"/>
      <c r="M295" s="238"/>
    </row>
    <row r="296" ht="12.75" customHeight="1">
      <c r="A296" s="238"/>
      <c r="B296" s="235"/>
      <c r="C296" s="235"/>
      <c r="D296" s="236"/>
      <c r="E296" s="235"/>
      <c r="F296" s="235"/>
      <c r="G296" s="237"/>
      <c r="H296" s="235"/>
      <c r="I296" s="235"/>
      <c r="J296" s="235"/>
      <c r="K296" s="66"/>
      <c r="L296" s="238"/>
      <c r="M296" s="238"/>
    </row>
    <row r="297" ht="12.75" customHeight="1">
      <c r="A297" s="238"/>
      <c r="B297" s="235"/>
      <c r="C297" s="235"/>
      <c r="D297" s="236"/>
      <c r="E297" s="235"/>
      <c r="F297" s="235"/>
      <c r="G297" s="237"/>
      <c r="H297" s="235"/>
      <c r="I297" s="235"/>
      <c r="J297" s="235"/>
      <c r="K297" s="66"/>
      <c r="L297" s="238"/>
      <c r="M297" s="238"/>
    </row>
    <row r="298" ht="12.75" customHeight="1">
      <c r="A298" s="238"/>
      <c r="B298" s="235"/>
      <c r="C298" s="235"/>
      <c r="D298" s="236"/>
      <c r="E298" s="235"/>
      <c r="F298" s="235"/>
      <c r="G298" s="237"/>
      <c r="H298" s="235"/>
      <c r="I298" s="235"/>
      <c r="J298" s="235"/>
      <c r="K298" s="66"/>
      <c r="L298" s="238"/>
      <c r="M298" s="238"/>
    </row>
    <row r="299" ht="12.75" customHeight="1">
      <c r="A299" s="238"/>
      <c r="B299" s="235"/>
      <c r="C299" s="235"/>
      <c r="D299" s="236"/>
      <c r="E299" s="235"/>
      <c r="F299" s="235"/>
      <c r="G299" s="237"/>
      <c r="H299" s="235"/>
      <c r="I299" s="235"/>
      <c r="J299" s="235"/>
      <c r="K299" s="66"/>
      <c r="L299" s="238"/>
      <c r="M299" s="238"/>
    </row>
    <row r="300" ht="12.75" customHeight="1">
      <c r="A300" s="238"/>
      <c r="B300" s="235"/>
      <c r="C300" s="235"/>
      <c r="D300" s="236"/>
      <c r="E300" s="235"/>
      <c r="F300" s="235"/>
      <c r="G300" s="237"/>
      <c r="H300" s="235"/>
      <c r="I300" s="235"/>
      <c r="J300" s="235"/>
      <c r="K300" s="66"/>
      <c r="L300" s="238"/>
      <c r="M300" s="238"/>
    </row>
    <row r="301" ht="12.75" customHeight="1">
      <c r="A301" s="238"/>
      <c r="B301" s="235"/>
      <c r="C301" s="235"/>
      <c r="D301" s="236"/>
      <c r="E301" s="235"/>
      <c r="F301" s="235"/>
      <c r="G301" s="237"/>
      <c r="H301" s="235"/>
      <c r="I301" s="235"/>
      <c r="J301" s="235"/>
      <c r="K301" s="66"/>
      <c r="L301" s="238"/>
      <c r="M301" s="238"/>
    </row>
    <row r="302" ht="12.75" customHeight="1">
      <c r="A302" s="238"/>
      <c r="B302" s="235"/>
      <c r="C302" s="235"/>
      <c r="D302" s="236"/>
      <c r="E302" s="235"/>
      <c r="F302" s="235"/>
      <c r="G302" s="237"/>
      <c r="H302" s="235"/>
      <c r="I302" s="235"/>
      <c r="J302" s="235"/>
      <c r="K302" s="66"/>
      <c r="L302" s="238"/>
      <c r="M302" s="238"/>
    </row>
    <row r="303" ht="12.75" customHeight="1">
      <c r="A303" s="238"/>
      <c r="B303" s="235"/>
      <c r="C303" s="235"/>
      <c r="D303" s="236"/>
      <c r="E303" s="235"/>
      <c r="F303" s="235"/>
      <c r="G303" s="237"/>
      <c r="H303" s="235"/>
      <c r="I303" s="235"/>
      <c r="J303" s="235"/>
      <c r="K303" s="66"/>
      <c r="L303" s="238"/>
      <c r="M303" s="238"/>
    </row>
    <row r="304" ht="12.75" customHeight="1">
      <c r="A304" s="238"/>
      <c r="B304" s="235"/>
      <c r="C304" s="235"/>
      <c r="D304" s="236"/>
      <c r="E304" s="235"/>
      <c r="F304" s="235"/>
      <c r="G304" s="237"/>
      <c r="H304" s="235"/>
      <c r="I304" s="235"/>
      <c r="J304" s="235"/>
      <c r="K304" s="66"/>
      <c r="L304" s="238"/>
      <c r="M304" s="238"/>
    </row>
    <row r="305" ht="12.75" customHeight="1">
      <c r="A305" s="238"/>
      <c r="B305" s="235"/>
      <c r="C305" s="235"/>
      <c r="D305" s="236"/>
      <c r="E305" s="235"/>
      <c r="F305" s="235"/>
      <c r="G305" s="237"/>
      <c r="H305" s="235"/>
      <c r="I305" s="235"/>
      <c r="J305" s="235"/>
      <c r="K305" s="66"/>
      <c r="L305" s="238"/>
      <c r="M305" s="238"/>
    </row>
    <row r="306" ht="12.75" customHeight="1">
      <c r="A306" s="238"/>
      <c r="B306" s="235"/>
      <c r="C306" s="235"/>
      <c r="D306" s="236"/>
      <c r="E306" s="235"/>
      <c r="F306" s="235"/>
      <c r="G306" s="237"/>
      <c r="H306" s="235"/>
      <c r="I306" s="235"/>
      <c r="J306" s="235"/>
      <c r="K306" s="66"/>
      <c r="L306" s="238"/>
      <c r="M306" s="238"/>
    </row>
    <row r="307" ht="12.75" customHeight="1">
      <c r="A307" s="238"/>
      <c r="B307" s="235"/>
      <c r="C307" s="235"/>
      <c r="D307" s="236"/>
      <c r="E307" s="235"/>
      <c r="F307" s="235"/>
      <c r="G307" s="237"/>
      <c r="H307" s="235"/>
      <c r="I307" s="235"/>
      <c r="J307" s="235"/>
      <c r="K307" s="66"/>
      <c r="L307" s="238"/>
      <c r="M307" s="238"/>
    </row>
    <row r="308" ht="12.75" customHeight="1">
      <c r="A308" s="238"/>
      <c r="B308" s="235"/>
      <c r="C308" s="235"/>
      <c r="D308" s="236"/>
      <c r="E308" s="235"/>
      <c r="F308" s="235"/>
      <c r="G308" s="237"/>
      <c r="H308" s="235"/>
      <c r="I308" s="235"/>
      <c r="J308" s="235"/>
      <c r="K308" s="66"/>
      <c r="L308" s="238"/>
      <c r="M308" s="238"/>
    </row>
    <row r="309" ht="12.75" customHeight="1">
      <c r="A309" s="238"/>
      <c r="B309" s="235"/>
      <c r="C309" s="235"/>
      <c r="D309" s="236"/>
      <c r="E309" s="235"/>
      <c r="F309" s="235"/>
      <c r="G309" s="237"/>
      <c r="H309" s="235"/>
      <c r="I309" s="235"/>
      <c r="J309" s="235"/>
      <c r="K309" s="66"/>
      <c r="L309" s="238"/>
      <c r="M309" s="238"/>
    </row>
    <row r="310" ht="12.75" customHeight="1">
      <c r="A310" s="238"/>
      <c r="B310" s="235"/>
      <c r="C310" s="235"/>
      <c r="D310" s="236"/>
      <c r="E310" s="235"/>
      <c r="F310" s="235"/>
      <c r="G310" s="237"/>
      <c r="H310" s="235"/>
      <c r="I310" s="235"/>
      <c r="J310" s="235"/>
      <c r="K310" s="66"/>
      <c r="L310" s="238"/>
      <c r="M310" s="238"/>
    </row>
    <row r="311" ht="12.75" customHeight="1">
      <c r="A311" s="238"/>
      <c r="B311" s="235"/>
      <c r="C311" s="235"/>
      <c r="D311" s="236"/>
      <c r="E311" s="235"/>
      <c r="F311" s="235"/>
      <c r="G311" s="237"/>
      <c r="H311" s="235"/>
      <c r="I311" s="235"/>
      <c r="J311" s="235"/>
      <c r="K311" s="66"/>
      <c r="L311" s="238"/>
      <c r="M311" s="238"/>
    </row>
    <row r="312" ht="12.75" customHeight="1">
      <c r="A312" s="238"/>
      <c r="B312" s="235"/>
      <c r="C312" s="235"/>
      <c r="D312" s="236"/>
      <c r="E312" s="235"/>
      <c r="F312" s="235"/>
      <c r="G312" s="237"/>
      <c r="H312" s="235"/>
      <c r="I312" s="235"/>
      <c r="J312" s="235"/>
      <c r="K312" s="66"/>
      <c r="L312" s="238"/>
      <c r="M312" s="238"/>
    </row>
    <row r="313" ht="12.75" customHeight="1">
      <c r="A313" s="238"/>
      <c r="B313" s="235"/>
      <c r="C313" s="235"/>
      <c r="D313" s="236"/>
      <c r="E313" s="235"/>
      <c r="F313" s="235"/>
      <c r="G313" s="237"/>
      <c r="H313" s="235"/>
      <c r="I313" s="235"/>
      <c r="J313" s="235"/>
      <c r="K313" s="66"/>
      <c r="L313" s="238"/>
      <c r="M313" s="238"/>
    </row>
    <row r="314" ht="12.75" customHeight="1">
      <c r="A314" s="238"/>
      <c r="B314" s="235"/>
      <c r="C314" s="235"/>
      <c r="D314" s="236"/>
      <c r="E314" s="235"/>
      <c r="F314" s="235"/>
      <c r="G314" s="237"/>
      <c r="H314" s="235"/>
      <c r="I314" s="235"/>
      <c r="J314" s="235"/>
      <c r="K314" s="66"/>
      <c r="L314" s="238"/>
      <c r="M314" s="238"/>
    </row>
    <row r="315" ht="12.75" customHeight="1">
      <c r="A315" s="238"/>
      <c r="B315" s="235"/>
      <c r="C315" s="235"/>
      <c r="D315" s="236"/>
      <c r="E315" s="235"/>
      <c r="F315" s="235"/>
      <c r="G315" s="237"/>
      <c r="H315" s="235"/>
      <c r="I315" s="235"/>
      <c r="J315" s="235"/>
      <c r="K315" s="66"/>
      <c r="L315" s="238"/>
      <c r="M315" s="238"/>
    </row>
    <row r="316" ht="12.75" customHeight="1">
      <c r="A316" s="238"/>
      <c r="B316" s="235"/>
      <c r="C316" s="235"/>
      <c r="D316" s="236"/>
      <c r="E316" s="235"/>
      <c r="F316" s="235"/>
      <c r="G316" s="237"/>
      <c r="H316" s="235"/>
      <c r="I316" s="235"/>
      <c r="J316" s="235"/>
      <c r="K316" s="66"/>
      <c r="L316" s="238"/>
      <c r="M316" s="238"/>
    </row>
    <row r="317" ht="12.75" customHeight="1">
      <c r="A317" s="238"/>
      <c r="B317" s="235"/>
      <c r="C317" s="235"/>
      <c r="D317" s="236"/>
      <c r="E317" s="235"/>
      <c r="F317" s="235"/>
      <c r="G317" s="237"/>
      <c r="H317" s="235"/>
      <c r="I317" s="235"/>
      <c r="J317" s="235"/>
      <c r="K317" s="66"/>
      <c r="L317" s="238"/>
      <c r="M317" s="238"/>
    </row>
    <row r="318" ht="12.75" customHeight="1">
      <c r="A318" s="238"/>
      <c r="B318" s="235"/>
      <c r="C318" s="235"/>
      <c r="D318" s="236"/>
      <c r="E318" s="235"/>
      <c r="F318" s="235"/>
      <c r="G318" s="237"/>
      <c r="H318" s="235"/>
      <c r="I318" s="235"/>
      <c r="J318" s="235"/>
      <c r="K318" s="66"/>
      <c r="L318" s="238"/>
      <c r="M318" s="238"/>
    </row>
    <row r="319" ht="12.75" customHeight="1">
      <c r="A319" s="238"/>
      <c r="B319" s="235"/>
      <c r="C319" s="235"/>
      <c r="D319" s="236"/>
      <c r="E319" s="235"/>
      <c r="F319" s="235"/>
      <c r="G319" s="237"/>
      <c r="H319" s="235"/>
      <c r="I319" s="235"/>
      <c r="J319" s="235"/>
      <c r="K319" s="66"/>
      <c r="L319" s="238"/>
      <c r="M319" s="238"/>
    </row>
    <row r="320" ht="12.75" customHeight="1">
      <c r="A320" s="238"/>
      <c r="B320" s="235"/>
      <c r="C320" s="235"/>
      <c r="D320" s="236"/>
      <c r="E320" s="235"/>
      <c r="F320" s="235"/>
      <c r="G320" s="237"/>
      <c r="H320" s="235"/>
      <c r="I320" s="235"/>
      <c r="J320" s="235"/>
      <c r="K320" s="66"/>
      <c r="L320" s="238"/>
      <c r="M320" s="238"/>
    </row>
    <row r="321" ht="12.75" customHeight="1">
      <c r="A321" s="238"/>
      <c r="B321" s="235"/>
      <c r="C321" s="235"/>
      <c r="D321" s="236"/>
      <c r="E321" s="235"/>
      <c r="F321" s="235"/>
      <c r="G321" s="237"/>
      <c r="H321" s="235"/>
      <c r="I321" s="235"/>
      <c r="J321" s="235"/>
      <c r="K321" s="66"/>
      <c r="L321" s="238"/>
      <c r="M321" s="238"/>
    </row>
    <row r="322" ht="12.75" customHeight="1">
      <c r="A322" s="238"/>
      <c r="B322" s="235"/>
      <c r="C322" s="235"/>
      <c r="D322" s="236"/>
      <c r="E322" s="235"/>
      <c r="F322" s="235"/>
      <c r="G322" s="237"/>
      <c r="H322" s="235"/>
      <c r="I322" s="235"/>
      <c r="J322" s="235"/>
      <c r="K322" s="66"/>
      <c r="L322" s="238"/>
      <c r="M322" s="238"/>
    </row>
    <row r="323" ht="12.75" customHeight="1">
      <c r="A323" s="238"/>
      <c r="B323" s="235"/>
      <c r="C323" s="235"/>
      <c r="D323" s="236"/>
      <c r="E323" s="235"/>
      <c r="F323" s="235"/>
      <c r="G323" s="237"/>
      <c r="H323" s="235"/>
      <c r="I323" s="235"/>
      <c r="J323" s="235"/>
      <c r="K323" s="66"/>
      <c r="L323" s="238"/>
      <c r="M323" s="238"/>
    </row>
    <row r="324" ht="12.75" customHeight="1">
      <c r="A324" s="238"/>
      <c r="B324" s="235"/>
      <c r="C324" s="235"/>
      <c r="D324" s="236"/>
      <c r="E324" s="235"/>
      <c r="F324" s="235"/>
      <c r="G324" s="237"/>
      <c r="H324" s="235"/>
      <c r="I324" s="235"/>
      <c r="J324" s="235"/>
      <c r="K324" s="66"/>
      <c r="L324" s="238"/>
      <c r="M324" s="238"/>
    </row>
    <row r="325" ht="12.75" customHeight="1">
      <c r="A325" s="238"/>
      <c r="B325" s="235"/>
      <c r="C325" s="235"/>
      <c r="D325" s="236"/>
      <c r="E325" s="235"/>
      <c r="F325" s="235"/>
      <c r="G325" s="237"/>
      <c r="H325" s="235"/>
      <c r="I325" s="235"/>
      <c r="J325" s="235"/>
      <c r="K325" s="66"/>
      <c r="L325" s="238"/>
      <c r="M325" s="238"/>
    </row>
    <row r="326" ht="12.75" customHeight="1">
      <c r="A326" s="238"/>
      <c r="B326" s="235"/>
      <c r="C326" s="235"/>
      <c r="D326" s="236"/>
      <c r="E326" s="235"/>
      <c r="F326" s="235"/>
      <c r="G326" s="237"/>
      <c r="H326" s="235"/>
      <c r="I326" s="235"/>
      <c r="J326" s="235"/>
      <c r="K326" s="66"/>
      <c r="L326" s="238"/>
      <c r="M326" s="238"/>
    </row>
    <row r="327" ht="12.75" customHeight="1">
      <c r="A327" s="238"/>
      <c r="B327" s="235"/>
      <c r="C327" s="235"/>
      <c r="D327" s="236"/>
      <c r="E327" s="235"/>
      <c r="F327" s="235"/>
      <c r="G327" s="237"/>
      <c r="H327" s="235"/>
      <c r="I327" s="235"/>
      <c r="J327" s="235"/>
      <c r="K327" s="66"/>
      <c r="L327" s="238"/>
      <c r="M327" s="238"/>
    </row>
    <row r="328" ht="12.75" customHeight="1">
      <c r="A328" s="238"/>
      <c r="B328" s="235"/>
      <c r="C328" s="235"/>
      <c r="D328" s="236"/>
      <c r="E328" s="235"/>
      <c r="F328" s="235"/>
      <c r="G328" s="237"/>
      <c r="H328" s="235"/>
      <c r="I328" s="235"/>
      <c r="J328" s="235"/>
      <c r="K328" s="66"/>
      <c r="L328" s="238"/>
      <c r="M328" s="238"/>
    </row>
    <row r="329" ht="12.75" customHeight="1">
      <c r="A329" s="238"/>
      <c r="B329" s="235"/>
      <c r="C329" s="235"/>
      <c r="D329" s="236"/>
      <c r="E329" s="235"/>
      <c r="F329" s="235"/>
      <c r="G329" s="237"/>
      <c r="H329" s="235"/>
      <c r="I329" s="235"/>
      <c r="J329" s="235"/>
      <c r="K329" s="66"/>
      <c r="L329" s="238"/>
      <c r="M329" s="238"/>
    </row>
    <row r="330" ht="12.75" customHeight="1">
      <c r="A330" s="238"/>
      <c r="B330" s="235"/>
      <c r="C330" s="235"/>
      <c r="D330" s="236"/>
      <c r="E330" s="235"/>
      <c r="F330" s="235"/>
      <c r="G330" s="237"/>
      <c r="H330" s="235"/>
      <c r="I330" s="235"/>
      <c r="J330" s="235"/>
      <c r="K330" s="66"/>
      <c r="L330" s="238"/>
      <c r="M330" s="238"/>
    </row>
    <row r="331" ht="12.75" customHeight="1">
      <c r="A331" s="238"/>
      <c r="B331" s="235"/>
      <c r="C331" s="235"/>
      <c r="D331" s="236"/>
      <c r="E331" s="235"/>
      <c r="F331" s="235"/>
      <c r="G331" s="237"/>
      <c r="H331" s="235"/>
      <c r="I331" s="235"/>
      <c r="J331" s="235"/>
      <c r="K331" s="66"/>
      <c r="L331" s="238"/>
      <c r="M331" s="238"/>
    </row>
    <row r="332" ht="12.75" customHeight="1">
      <c r="A332" s="238"/>
      <c r="B332" s="235"/>
      <c r="C332" s="235"/>
      <c r="D332" s="236"/>
      <c r="E332" s="235"/>
      <c r="F332" s="235"/>
      <c r="G332" s="237"/>
      <c r="H332" s="235"/>
      <c r="I332" s="235"/>
      <c r="J332" s="235"/>
      <c r="K332" s="66"/>
      <c r="L332" s="238"/>
      <c r="M332" s="238"/>
    </row>
    <row r="333" ht="12.75" customHeight="1">
      <c r="A333" s="238"/>
      <c r="B333" s="235"/>
      <c r="C333" s="235"/>
      <c r="D333" s="236"/>
      <c r="E333" s="235"/>
      <c r="F333" s="235"/>
      <c r="G333" s="237"/>
      <c r="H333" s="235"/>
      <c r="I333" s="235"/>
      <c r="J333" s="235"/>
      <c r="K333" s="66"/>
      <c r="L333" s="238"/>
      <c r="M333" s="238"/>
    </row>
    <row r="334" ht="12.75" customHeight="1">
      <c r="A334" s="238"/>
      <c r="B334" s="235"/>
      <c r="C334" s="235"/>
      <c r="D334" s="236"/>
      <c r="E334" s="235"/>
      <c r="F334" s="235"/>
      <c r="G334" s="237"/>
      <c r="H334" s="235"/>
      <c r="I334" s="235"/>
      <c r="J334" s="235"/>
      <c r="K334" s="66"/>
      <c r="L334" s="238"/>
      <c r="M334" s="238"/>
    </row>
    <row r="335" ht="12.75" customHeight="1">
      <c r="A335" s="238"/>
      <c r="B335" s="235"/>
      <c r="C335" s="235"/>
      <c r="D335" s="236"/>
      <c r="E335" s="235"/>
      <c r="F335" s="235"/>
      <c r="G335" s="237"/>
      <c r="H335" s="235"/>
      <c r="I335" s="235"/>
      <c r="J335" s="235"/>
      <c r="K335" s="66"/>
      <c r="L335" s="238"/>
      <c r="M335" s="238"/>
    </row>
    <row r="336" ht="12.75" customHeight="1">
      <c r="A336" s="238"/>
      <c r="B336" s="235"/>
      <c r="C336" s="235"/>
      <c r="D336" s="236"/>
      <c r="E336" s="235"/>
      <c r="F336" s="235"/>
      <c r="G336" s="237"/>
      <c r="H336" s="235"/>
      <c r="I336" s="235"/>
      <c r="J336" s="235"/>
      <c r="K336" s="66"/>
      <c r="L336" s="238"/>
      <c r="M336" s="238"/>
    </row>
    <row r="337" ht="12.75" customHeight="1">
      <c r="A337" s="238"/>
      <c r="B337" s="235"/>
      <c r="C337" s="235"/>
      <c r="D337" s="236"/>
      <c r="E337" s="235"/>
      <c r="F337" s="235"/>
      <c r="G337" s="237"/>
      <c r="H337" s="235"/>
      <c r="I337" s="235"/>
      <c r="J337" s="235"/>
      <c r="K337" s="66"/>
      <c r="L337" s="238"/>
      <c r="M337" s="238"/>
    </row>
    <row r="338" ht="12.75" customHeight="1">
      <c r="A338" s="238"/>
      <c r="B338" s="235"/>
      <c r="C338" s="235"/>
      <c r="D338" s="236"/>
      <c r="E338" s="235"/>
      <c r="F338" s="235"/>
      <c r="G338" s="237"/>
      <c r="H338" s="235"/>
      <c r="I338" s="235"/>
      <c r="J338" s="235"/>
      <c r="K338" s="66"/>
      <c r="L338" s="238"/>
      <c r="M338" s="238"/>
    </row>
    <row r="339" ht="12.75" customHeight="1">
      <c r="A339" s="238"/>
      <c r="B339" s="235"/>
      <c r="C339" s="235"/>
      <c r="D339" s="236"/>
      <c r="E339" s="235"/>
      <c r="F339" s="235"/>
      <c r="G339" s="237"/>
      <c r="H339" s="235"/>
      <c r="I339" s="235"/>
      <c r="J339" s="235"/>
      <c r="K339" s="66"/>
      <c r="L339" s="238"/>
      <c r="M339" s="238"/>
    </row>
    <row r="340" ht="12.75" customHeight="1">
      <c r="A340" s="238"/>
      <c r="B340" s="235"/>
      <c r="C340" s="235"/>
      <c r="D340" s="236"/>
      <c r="E340" s="235"/>
      <c r="F340" s="235"/>
      <c r="G340" s="237"/>
      <c r="H340" s="235"/>
      <c r="I340" s="235"/>
      <c r="J340" s="235"/>
      <c r="K340" s="66"/>
      <c r="L340" s="238"/>
      <c r="M340" s="238"/>
    </row>
    <row r="341" ht="12.75" customHeight="1">
      <c r="A341" s="238"/>
      <c r="B341" s="235"/>
      <c r="C341" s="235"/>
      <c r="D341" s="236"/>
      <c r="E341" s="235"/>
      <c r="F341" s="235"/>
      <c r="G341" s="237"/>
      <c r="H341" s="235"/>
      <c r="I341" s="235"/>
      <c r="J341" s="235"/>
      <c r="K341" s="66"/>
      <c r="L341" s="238"/>
      <c r="M341" s="238"/>
    </row>
    <row r="342" ht="12.75" customHeight="1">
      <c r="A342" s="238"/>
      <c r="B342" s="235"/>
      <c r="C342" s="235"/>
      <c r="D342" s="236"/>
      <c r="E342" s="235"/>
      <c r="F342" s="235"/>
      <c r="G342" s="237"/>
      <c r="H342" s="235"/>
      <c r="I342" s="235"/>
      <c r="J342" s="235"/>
      <c r="K342" s="66"/>
      <c r="L342" s="238"/>
      <c r="M342" s="238"/>
    </row>
    <row r="343" ht="12.75" customHeight="1">
      <c r="A343" s="238"/>
      <c r="B343" s="235"/>
      <c r="C343" s="235"/>
      <c r="D343" s="236"/>
      <c r="E343" s="235"/>
      <c r="F343" s="235"/>
      <c r="G343" s="237"/>
      <c r="H343" s="235"/>
      <c r="I343" s="235"/>
      <c r="J343" s="235"/>
      <c r="K343" s="66"/>
      <c r="L343" s="238"/>
      <c r="M343" s="238"/>
    </row>
    <row r="344" ht="12.75" customHeight="1">
      <c r="A344" s="238"/>
      <c r="B344" s="235"/>
      <c r="C344" s="235"/>
      <c r="D344" s="236"/>
      <c r="E344" s="235"/>
      <c r="F344" s="235"/>
      <c r="G344" s="237"/>
      <c r="H344" s="235"/>
      <c r="I344" s="235"/>
      <c r="J344" s="235"/>
      <c r="K344" s="66"/>
      <c r="L344" s="238"/>
      <c r="M344" s="238"/>
    </row>
    <row r="345" ht="12.75" customHeight="1">
      <c r="A345" s="238"/>
      <c r="B345" s="235"/>
      <c r="C345" s="235"/>
      <c r="D345" s="236"/>
      <c r="E345" s="235"/>
      <c r="F345" s="235"/>
      <c r="G345" s="237"/>
      <c r="H345" s="235"/>
      <c r="I345" s="235"/>
      <c r="J345" s="235"/>
      <c r="K345" s="66"/>
      <c r="L345" s="238"/>
      <c r="M345" s="238"/>
    </row>
    <row r="346" ht="12.75" customHeight="1">
      <c r="A346" s="238"/>
      <c r="B346" s="235"/>
      <c r="C346" s="235"/>
      <c r="D346" s="236"/>
      <c r="E346" s="235"/>
      <c r="F346" s="235"/>
      <c r="G346" s="237"/>
      <c r="H346" s="235"/>
      <c r="I346" s="235"/>
      <c r="J346" s="235"/>
      <c r="K346" s="66"/>
      <c r="L346" s="238"/>
      <c r="M346" s="238"/>
    </row>
    <row r="347" ht="12.75" customHeight="1">
      <c r="A347" s="238"/>
      <c r="B347" s="235"/>
      <c r="C347" s="235"/>
      <c r="D347" s="236"/>
      <c r="E347" s="235"/>
      <c r="F347" s="235"/>
      <c r="G347" s="237"/>
      <c r="H347" s="235"/>
      <c r="I347" s="235"/>
      <c r="J347" s="235"/>
      <c r="K347" s="66"/>
      <c r="L347" s="238"/>
      <c r="M347" s="238"/>
    </row>
    <row r="348" ht="12.75" customHeight="1">
      <c r="A348" s="238"/>
      <c r="B348" s="235"/>
      <c r="C348" s="235"/>
      <c r="D348" s="236"/>
      <c r="E348" s="235"/>
      <c r="F348" s="235"/>
      <c r="G348" s="237"/>
      <c r="H348" s="235"/>
      <c r="I348" s="235"/>
      <c r="J348" s="235"/>
      <c r="K348" s="66"/>
      <c r="L348" s="238"/>
      <c r="M348" s="238"/>
    </row>
    <row r="349" ht="12.75" customHeight="1">
      <c r="A349" s="238"/>
      <c r="B349" s="235"/>
      <c r="C349" s="235"/>
      <c r="D349" s="236"/>
      <c r="E349" s="235"/>
      <c r="F349" s="235"/>
      <c r="G349" s="237"/>
      <c r="H349" s="235"/>
      <c r="I349" s="235"/>
      <c r="J349" s="235"/>
      <c r="K349" s="66"/>
      <c r="L349" s="238"/>
      <c r="M349" s="238"/>
    </row>
    <row r="350" ht="12.75" customHeight="1">
      <c r="A350" s="238"/>
      <c r="B350" s="235"/>
      <c r="C350" s="235"/>
      <c r="D350" s="236"/>
      <c r="E350" s="235"/>
      <c r="F350" s="235"/>
      <c r="G350" s="237"/>
      <c r="H350" s="235"/>
      <c r="I350" s="235"/>
      <c r="J350" s="235"/>
      <c r="K350" s="66"/>
      <c r="L350" s="238"/>
      <c r="M350" s="238"/>
    </row>
    <row r="351" ht="12.75" customHeight="1">
      <c r="A351" s="238"/>
      <c r="B351" s="235"/>
      <c r="C351" s="235"/>
      <c r="D351" s="236"/>
      <c r="E351" s="235"/>
      <c r="F351" s="235"/>
      <c r="G351" s="237"/>
      <c r="H351" s="235"/>
      <c r="I351" s="235"/>
      <c r="J351" s="235"/>
      <c r="K351" s="66"/>
      <c r="L351" s="238"/>
      <c r="M351" s="238"/>
    </row>
    <row r="352" ht="12.75" customHeight="1">
      <c r="A352" s="238"/>
      <c r="B352" s="235"/>
      <c r="C352" s="235"/>
      <c r="D352" s="236"/>
      <c r="E352" s="235"/>
      <c r="F352" s="235"/>
      <c r="G352" s="237"/>
      <c r="H352" s="235"/>
      <c r="I352" s="235"/>
      <c r="J352" s="235"/>
      <c r="K352" s="66"/>
      <c r="L352" s="238"/>
      <c r="M352" s="238"/>
    </row>
    <row r="353" ht="12.75" customHeight="1">
      <c r="A353" s="238"/>
      <c r="B353" s="235"/>
      <c r="C353" s="235"/>
      <c r="D353" s="236"/>
      <c r="E353" s="235"/>
      <c r="F353" s="235"/>
      <c r="G353" s="237"/>
      <c r="H353" s="235"/>
      <c r="I353" s="235"/>
      <c r="J353" s="235"/>
      <c r="K353" s="66"/>
      <c r="L353" s="238"/>
      <c r="M353" s="238"/>
    </row>
    <row r="354" ht="12.75" customHeight="1">
      <c r="A354" s="238"/>
      <c r="B354" s="235"/>
      <c r="C354" s="235"/>
      <c r="D354" s="236"/>
      <c r="E354" s="235"/>
      <c r="F354" s="235"/>
      <c r="G354" s="237"/>
      <c r="H354" s="235"/>
      <c r="I354" s="235"/>
      <c r="J354" s="235"/>
      <c r="K354" s="66"/>
      <c r="L354" s="238"/>
      <c r="M354" s="238"/>
    </row>
    <row r="355" ht="12.75" customHeight="1">
      <c r="A355" s="238"/>
      <c r="B355" s="235"/>
      <c r="C355" s="235"/>
      <c r="D355" s="236"/>
      <c r="E355" s="235"/>
      <c r="F355" s="235"/>
      <c r="G355" s="237"/>
      <c r="H355" s="235"/>
      <c r="I355" s="235"/>
      <c r="J355" s="235"/>
      <c r="K355" s="66"/>
      <c r="L355" s="238"/>
      <c r="M355" s="238"/>
    </row>
    <row r="356" ht="12.75" customHeight="1">
      <c r="A356" s="238"/>
      <c r="B356" s="235"/>
      <c r="C356" s="235"/>
      <c r="D356" s="236"/>
      <c r="E356" s="235"/>
      <c r="F356" s="235"/>
      <c r="G356" s="237"/>
      <c r="H356" s="235"/>
      <c r="I356" s="235"/>
      <c r="J356" s="235"/>
      <c r="K356" s="66"/>
      <c r="L356" s="238"/>
      <c r="M356" s="238"/>
    </row>
    <row r="357" ht="12.75" customHeight="1">
      <c r="A357" s="238"/>
      <c r="B357" s="235"/>
      <c r="C357" s="235"/>
      <c r="D357" s="236"/>
      <c r="E357" s="235"/>
      <c r="F357" s="235"/>
      <c r="G357" s="237"/>
      <c r="H357" s="235"/>
      <c r="I357" s="235"/>
      <c r="J357" s="235"/>
      <c r="K357" s="66"/>
      <c r="L357" s="238"/>
      <c r="M357" s="238"/>
    </row>
    <row r="358" ht="12.75" customHeight="1">
      <c r="A358" s="238"/>
      <c r="B358" s="235"/>
      <c r="C358" s="235"/>
      <c r="D358" s="236"/>
      <c r="E358" s="235"/>
      <c r="F358" s="235"/>
      <c r="G358" s="237"/>
      <c r="H358" s="235"/>
      <c r="I358" s="235"/>
      <c r="J358" s="235"/>
      <c r="K358" s="66"/>
      <c r="L358" s="238"/>
      <c r="M358" s="238"/>
    </row>
    <row r="359" ht="12.75" customHeight="1">
      <c r="A359" s="238"/>
      <c r="B359" s="235"/>
      <c r="C359" s="235"/>
      <c r="D359" s="236"/>
      <c r="E359" s="235"/>
      <c r="F359" s="235"/>
      <c r="G359" s="237"/>
      <c r="H359" s="235"/>
      <c r="I359" s="235"/>
      <c r="J359" s="235"/>
      <c r="K359" s="66"/>
      <c r="L359" s="238"/>
      <c r="M359" s="238"/>
    </row>
    <row r="360" ht="12.75" customHeight="1">
      <c r="A360" s="238"/>
      <c r="B360" s="235"/>
      <c r="C360" s="235"/>
      <c r="D360" s="236"/>
      <c r="E360" s="235"/>
      <c r="F360" s="235"/>
      <c r="G360" s="237"/>
      <c r="H360" s="235"/>
      <c r="I360" s="235"/>
      <c r="J360" s="235"/>
      <c r="K360" s="66"/>
      <c r="L360" s="238"/>
      <c r="M360" s="238"/>
    </row>
    <row r="361" ht="12.75" customHeight="1">
      <c r="A361" s="238"/>
      <c r="B361" s="235"/>
      <c r="C361" s="235"/>
      <c r="D361" s="236"/>
      <c r="E361" s="235"/>
      <c r="F361" s="235"/>
      <c r="G361" s="237"/>
      <c r="H361" s="235"/>
      <c r="I361" s="235"/>
      <c r="J361" s="235"/>
      <c r="K361" s="66"/>
      <c r="L361" s="238"/>
      <c r="M361" s="238"/>
    </row>
    <row r="362" ht="12.75" customHeight="1">
      <c r="A362" s="238"/>
      <c r="B362" s="235"/>
      <c r="C362" s="235"/>
      <c r="D362" s="236"/>
      <c r="E362" s="235"/>
      <c r="F362" s="235"/>
      <c r="G362" s="237"/>
      <c r="H362" s="235"/>
      <c r="I362" s="235"/>
      <c r="J362" s="235"/>
      <c r="K362" s="66"/>
      <c r="L362" s="238"/>
      <c r="M362" s="238"/>
    </row>
    <row r="363" ht="12.75" customHeight="1">
      <c r="A363" s="238"/>
      <c r="B363" s="235"/>
      <c r="C363" s="235"/>
      <c r="D363" s="236"/>
      <c r="E363" s="235"/>
      <c r="F363" s="235"/>
      <c r="G363" s="237"/>
      <c r="H363" s="235"/>
      <c r="I363" s="235"/>
      <c r="J363" s="235"/>
      <c r="K363" s="66"/>
      <c r="L363" s="238"/>
      <c r="M363" s="238"/>
    </row>
    <row r="364" ht="12.75" customHeight="1">
      <c r="A364" s="238"/>
      <c r="B364" s="235"/>
      <c r="C364" s="235"/>
      <c r="D364" s="236"/>
      <c r="E364" s="235"/>
      <c r="F364" s="235"/>
      <c r="G364" s="237"/>
      <c r="H364" s="235"/>
      <c r="I364" s="235"/>
      <c r="J364" s="235"/>
      <c r="K364" s="66"/>
      <c r="L364" s="238"/>
      <c r="M364" s="238"/>
    </row>
    <row r="365" ht="12.75" customHeight="1">
      <c r="A365" s="238"/>
      <c r="B365" s="235"/>
      <c r="C365" s="235"/>
      <c r="D365" s="236"/>
      <c r="E365" s="235"/>
      <c r="F365" s="235"/>
      <c r="G365" s="237"/>
      <c r="H365" s="235"/>
      <c r="I365" s="235"/>
      <c r="J365" s="235"/>
      <c r="K365" s="66"/>
      <c r="L365" s="238"/>
      <c r="M365" s="238"/>
    </row>
    <row r="366" ht="12.75" customHeight="1">
      <c r="A366" s="238"/>
      <c r="B366" s="235"/>
      <c r="C366" s="235"/>
      <c r="D366" s="236"/>
      <c r="E366" s="235"/>
      <c r="F366" s="235"/>
      <c r="G366" s="237"/>
      <c r="H366" s="235"/>
      <c r="I366" s="235"/>
      <c r="J366" s="235"/>
      <c r="K366" s="66"/>
      <c r="L366" s="238"/>
      <c r="M366" s="238"/>
    </row>
    <row r="367" ht="12.75" customHeight="1">
      <c r="A367" s="238"/>
      <c r="B367" s="235"/>
      <c r="C367" s="235"/>
      <c r="D367" s="236"/>
      <c r="E367" s="235"/>
      <c r="F367" s="235"/>
      <c r="G367" s="237"/>
      <c r="H367" s="235"/>
      <c r="I367" s="235"/>
      <c r="J367" s="235"/>
      <c r="K367" s="66"/>
      <c r="L367" s="238"/>
      <c r="M367" s="238"/>
    </row>
    <row r="368" ht="12.75" customHeight="1">
      <c r="A368" s="238"/>
      <c r="B368" s="235"/>
      <c r="C368" s="235"/>
      <c r="D368" s="236"/>
      <c r="E368" s="235"/>
      <c r="F368" s="235"/>
      <c r="G368" s="237"/>
      <c r="H368" s="235"/>
      <c r="I368" s="235"/>
      <c r="J368" s="235"/>
      <c r="K368" s="66"/>
      <c r="L368" s="238"/>
      <c r="M368" s="238"/>
    </row>
    <row r="369" ht="12.75" customHeight="1">
      <c r="A369" s="238"/>
      <c r="B369" s="235"/>
      <c r="C369" s="235"/>
      <c r="D369" s="236"/>
      <c r="E369" s="235"/>
      <c r="F369" s="235"/>
      <c r="G369" s="237"/>
      <c r="H369" s="235"/>
      <c r="I369" s="235"/>
      <c r="J369" s="235"/>
      <c r="K369" s="66"/>
      <c r="L369" s="238"/>
      <c r="M369" s="238"/>
    </row>
    <row r="370" ht="12.75" customHeight="1">
      <c r="A370" s="238"/>
      <c r="B370" s="235"/>
      <c r="C370" s="235"/>
      <c r="D370" s="236"/>
      <c r="E370" s="235"/>
      <c r="F370" s="235"/>
      <c r="G370" s="237"/>
      <c r="H370" s="235"/>
      <c r="I370" s="235"/>
      <c r="J370" s="235"/>
      <c r="K370" s="66"/>
      <c r="L370" s="238"/>
      <c r="M370" s="238"/>
    </row>
    <row r="371" ht="12.75" customHeight="1">
      <c r="A371" s="238"/>
      <c r="B371" s="235"/>
      <c r="C371" s="235"/>
      <c r="D371" s="236"/>
      <c r="E371" s="235"/>
      <c r="F371" s="235"/>
      <c r="G371" s="237"/>
      <c r="H371" s="235"/>
      <c r="I371" s="235"/>
      <c r="J371" s="235"/>
      <c r="K371" s="66"/>
      <c r="L371" s="238"/>
      <c r="M371" s="238"/>
    </row>
    <row r="372" ht="12.75" customHeight="1">
      <c r="A372" s="238"/>
      <c r="B372" s="235"/>
      <c r="C372" s="235"/>
      <c r="D372" s="236"/>
      <c r="E372" s="235"/>
      <c r="F372" s="235"/>
      <c r="G372" s="237"/>
      <c r="H372" s="235"/>
      <c r="I372" s="235"/>
      <c r="J372" s="235"/>
      <c r="K372" s="66"/>
      <c r="L372" s="238"/>
      <c r="M372" s="238"/>
    </row>
    <row r="373" ht="12.75" customHeight="1">
      <c r="A373" s="238"/>
      <c r="B373" s="235"/>
      <c r="C373" s="235"/>
      <c r="D373" s="236"/>
      <c r="E373" s="235"/>
      <c r="F373" s="235"/>
      <c r="G373" s="237"/>
      <c r="H373" s="235"/>
      <c r="I373" s="235"/>
      <c r="J373" s="235"/>
      <c r="K373" s="66"/>
      <c r="L373" s="238"/>
      <c r="M373" s="238"/>
    </row>
    <row r="374" ht="12.75" customHeight="1">
      <c r="A374" s="238"/>
      <c r="B374" s="235"/>
      <c r="C374" s="235"/>
      <c r="D374" s="236"/>
      <c r="E374" s="235"/>
      <c r="F374" s="235"/>
      <c r="G374" s="237"/>
      <c r="H374" s="235"/>
      <c r="I374" s="235"/>
      <c r="J374" s="235"/>
      <c r="K374" s="66"/>
      <c r="L374" s="238"/>
      <c r="M374" s="238"/>
    </row>
    <row r="375" ht="12.75" customHeight="1">
      <c r="A375" s="238"/>
      <c r="B375" s="235"/>
      <c r="C375" s="235"/>
      <c r="D375" s="236"/>
      <c r="E375" s="235"/>
      <c r="F375" s="235"/>
      <c r="G375" s="237"/>
      <c r="H375" s="235"/>
      <c r="I375" s="235"/>
      <c r="J375" s="235"/>
      <c r="K375" s="66"/>
      <c r="L375" s="238"/>
      <c r="M375" s="238"/>
    </row>
    <row r="376" ht="12.75" customHeight="1">
      <c r="A376" s="238"/>
      <c r="B376" s="235"/>
      <c r="C376" s="235"/>
      <c r="D376" s="236"/>
      <c r="E376" s="235"/>
      <c r="F376" s="235"/>
      <c r="G376" s="237"/>
      <c r="H376" s="235"/>
      <c r="I376" s="235"/>
      <c r="J376" s="235"/>
      <c r="K376" s="66"/>
      <c r="L376" s="238"/>
      <c r="M376" s="238"/>
    </row>
    <row r="377" ht="12.75" customHeight="1">
      <c r="A377" s="238"/>
      <c r="B377" s="235"/>
      <c r="C377" s="235"/>
      <c r="D377" s="236"/>
      <c r="E377" s="235"/>
      <c r="F377" s="235"/>
      <c r="G377" s="237"/>
      <c r="H377" s="235"/>
      <c r="I377" s="235"/>
      <c r="J377" s="235"/>
      <c r="K377" s="66"/>
      <c r="L377" s="238"/>
      <c r="M377" s="238"/>
    </row>
    <row r="378" ht="12.75" customHeight="1">
      <c r="A378" s="238"/>
      <c r="B378" s="235"/>
      <c r="C378" s="235"/>
      <c r="D378" s="236"/>
      <c r="E378" s="235"/>
      <c r="F378" s="235"/>
      <c r="G378" s="237"/>
      <c r="H378" s="235"/>
      <c r="I378" s="235"/>
      <c r="J378" s="235"/>
      <c r="K378" s="66"/>
      <c r="L378" s="238"/>
      <c r="M378" s="238"/>
    </row>
    <row r="379" ht="12.75" customHeight="1">
      <c r="A379" s="238"/>
      <c r="B379" s="235"/>
      <c r="C379" s="235"/>
      <c r="D379" s="236"/>
      <c r="E379" s="235"/>
      <c r="F379" s="235"/>
      <c r="G379" s="237"/>
      <c r="H379" s="235"/>
      <c r="I379" s="235"/>
      <c r="J379" s="235"/>
      <c r="K379" s="66"/>
      <c r="L379" s="238"/>
      <c r="M379" s="238"/>
    </row>
    <row r="380" ht="12.75" customHeight="1">
      <c r="A380" s="238"/>
      <c r="B380" s="235"/>
      <c r="C380" s="235"/>
      <c r="D380" s="236"/>
      <c r="E380" s="235"/>
      <c r="F380" s="235"/>
      <c r="G380" s="237"/>
      <c r="H380" s="235"/>
      <c r="I380" s="235"/>
      <c r="J380" s="235"/>
      <c r="K380" s="66"/>
      <c r="L380" s="238"/>
      <c r="M380" s="238"/>
    </row>
    <row r="381" ht="12.75" customHeight="1">
      <c r="A381" s="238"/>
      <c r="B381" s="235"/>
      <c r="C381" s="235"/>
      <c r="D381" s="236"/>
      <c r="E381" s="235"/>
      <c r="F381" s="235"/>
      <c r="G381" s="237"/>
      <c r="H381" s="235"/>
      <c r="I381" s="235"/>
      <c r="J381" s="235"/>
      <c r="K381" s="66"/>
      <c r="L381" s="238"/>
      <c r="M381" s="238"/>
    </row>
    <row r="382" ht="12.75" customHeight="1">
      <c r="A382" s="238"/>
      <c r="B382" s="235"/>
      <c r="C382" s="235"/>
      <c r="D382" s="236"/>
      <c r="E382" s="235"/>
      <c r="F382" s="235"/>
      <c r="G382" s="237"/>
      <c r="H382" s="235"/>
      <c r="I382" s="235"/>
      <c r="J382" s="235"/>
      <c r="K382" s="66"/>
      <c r="L382" s="238"/>
      <c r="M382" s="238"/>
    </row>
    <row r="383" ht="12.75" customHeight="1">
      <c r="A383" s="238"/>
      <c r="B383" s="235"/>
      <c r="C383" s="235"/>
      <c r="D383" s="236"/>
      <c r="E383" s="235"/>
      <c r="F383" s="235"/>
      <c r="G383" s="237"/>
      <c r="H383" s="235"/>
      <c r="I383" s="235"/>
      <c r="J383" s="235"/>
      <c r="K383" s="66"/>
      <c r="L383" s="238"/>
      <c r="M383" s="238"/>
    </row>
    <row r="384" ht="12.75" customHeight="1">
      <c r="A384" s="238"/>
      <c r="B384" s="235"/>
      <c r="C384" s="235"/>
      <c r="D384" s="236"/>
      <c r="E384" s="235"/>
      <c r="F384" s="235"/>
      <c r="G384" s="237"/>
      <c r="H384" s="235"/>
      <c r="I384" s="235"/>
      <c r="J384" s="235"/>
      <c r="K384" s="66"/>
      <c r="L384" s="238"/>
      <c r="M384" s="238"/>
    </row>
    <row r="385" ht="12.75" customHeight="1">
      <c r="A385" s="238"/>
      <c r="B385" s="235"/>
      <c r="C385" s="235"/>
      <c r="D385" s="236"/>
      <c r="E385" s="235"/>
      <c r="F385" s="235"/>
      <c r="G385" s="237"/>
      <c r="H385" s="235"/>
      <c r="I385" s="235"/>
      <c r="J385" s="235"/>
      <c r="K385" s="66"/>
      <c r="L385" s="238"/>
      <c r="M385" s="238"/>
    </row>
    <row r="386" ht="12.75" customHeight="1">
      <c r="A386" s="238"/>
      <c r="B386" s="235"/>
      <c r="C386" s="235"/>
      <c r="D386" s="236"/>
      <c r="E386" s="235"/>
      <c r="F386" s="235"/>
      <c r="G386" s="237"/>
      <c r="H386" s="235"/>
      <c r="I386" s="235"/>
      <c r="J386" s="235"/>
      <c r="K386" s="66"/>
      <c r="L386" s="238"/>
      <c r="M386" s="238"/>
    </row>
    <row r="387" ht="12.75" customHeight="1">
      <c r="A387" s="238"/>
      <c r="B387" s="235"/>
      <c r="C387" s="235"/>
      <c r="D387" s="236"/>
      <c r="E387" s="235"/>
      <c r="F387" s="235"/>
      <c r="G387" s="237"/>
      <c r="H387" s="235"/>
      <c r="I387" s="235"/>
      <c r="J387" s="235"/>
      <c r="K387" s="66"/>
      <c r="L387" s="238"/>
      <c r="M387" s="238"/>
    </row>
    <row r="388" ht="12.75" customHeight="1">
      <c r="A388" s="238"/>
      <c r="B388" s="235"/>
      <c r="C388" s="235"/>
      <c r="D388" s="236"/>
      <c r="E388" s="235"/>
      <c r="F388" s="235"/>
      <c r="G388" s="237"/>
      <c r="H388" s="235"/>
      <c r="I388" s="235"/>
      <c r="J388" s="235"/>
      <c r="K388" s="66"/>
      <c r="L388" s="238"/>
      <c r="M388" s="238"/>
    </row>
    <row r="389" ht="12.75" customHeight="1">
      <c r="A389" s="238"/>
      <c r="B389" s="235"/>
      <c r="C389" s="235"/>
      <c r="D389" s="236"/>
      <c r="E389" s="235"/>
      <c r="F389" s="235"/>
      <c r="G389" s="237"/>
      <c r="H389" s="235"/>
      <c r="I389" s="235"/>
      <c r="J389" s="235"/>
      <c r="K389" s="66"/>
      <c r="L389" s="238"/>
      <c r="M389" s="238"/>
    </row>
    <row r="390" ht="12.75" customHeight="1">
      <c r="A390" s="238"/>
      <c r="B390" s="235"/>
      <c r="C390" s="235"/>
      <c r="D390" s="236"/>
      <c r="E390" s="235"/>
      <c r="F390" s="235"/>
      <c r="G390" s="237"/>
      <c r="H390" s="235"/>
      <c r="I390" s="235"/>
      <c r="J390" s="235"/>
      <c r="K390" s="66"/>
      <c r="L390" s="238"/>
      <c r="M390" s="238"/>
    </row>
    <row r="391" ht="12.75" customHeight="1">
      <c r="A391" s="238"/>
      <c r="B391" s="235"/>
      <c r="C391" s="235"/>
      <c r="D391" s="236"/>
      <c r="E391" s="235"/>
      <c r="F391" s="235"/>
      <c r="G391" s="237"/>
      <c r="H391" s="235"/>
      <c r="I391" s="235"/>
      <c r="J391" s="235"/>
      <c r="K391" s="66"/>
      <c r="L391" s="238"/>
      <c r="M391" s="238"/>
    </row>
    <row r="392" ht="12.75" customHeight="1">
      <c r="A392" s="238"/>
      <c r="B392" s="235"/>
      <c r="C392" s="235"/>
      <c r="D392" s="236"/>
      <c r="E392" s="235"/>
      <c r="F392" s="235"/>
      <c r="G392" s="237"/>
      <c r="H392" s="235"/>
      <c r="I392" s="235"/>
      <c r="J392" s="235"/>
      <c r="K392" s="66"/>
      <c r="L392" s="238"/>
      <c r="M392" s="238"/>
    </row>
    <row r="393" ht="12.75" customHeight="1">
      <c r="A393" s="238"/>
      <c r="B393" s="235"/>
      <c r="C393" s="235"/>
      <c r="D393" s="236"/>
      <c r="E393" s="235"/>
      <c r="F393" s="235"/>
      <c r="G393" s="237"/>
      <c r="H393" s="235"/>
      <c r="I393" s="235"/>
      <c r="J393" s="235"/>
      <c r="K393" s="66"/>
      <c r="L393" s="238"/>
      <c r="M393" s="238"/>
    </row>
    <row r="394" ht="12.75" customHeight="1">
      <c r="A394" s="238"/>
      <c r="B394" s="235"/>
      <c r="C394" s="235"/>
      <c r="D394" s="236"/>
      <c r="E394" s="235"/>
      <c r="F394" s="235"/>
      <c r="G394" s="237"/>
      <c r="H394" s="235"/>
      <c r="I394" s="235"/>
      <c r="J394" s="235"/>
      <c r="K394" s="66"/>
      <c r="L394" s="238"/>
      <c r="M394" s="238"/>
    </row>
    <row r="395" ht="12.75" customHeight="1">
      <c r="A395" s="238"/>
      <c r="B395" s="235"/>
      <c r="C395" s="235"/>
      <c r="D395" s="236"/>
      <c r="E395" s="235"/>
      <c r="F395" s="235"/>
      <c r="G395" s="237"/>
      <c r="H395" s="235"/>
      <c r="I395" s="235"/>
      <c r="J395" s="235"/>
      <c r="K395" s="66"/>
      <c r="L395" s="238"/>
      <c r="M395" s="238"/>
    </row>
    <row r="396" ht="12.75" customHeight="1">
      <c r="A396" s="238"/>
      <c r="B396" s="235"/>
      <c r="C396" s="235"/>
      <c r="D396" s="236"/>
      <c r="E396" s="235"/>
      <c r="F396" s="235"/>
      <c r="G396" s="237"/>
      <c r="H396" s="235"/>
      <c r="I396" s="235"/>
      <c r="J396" s="235"/>
      <c r="K396" s="66"/>
      <c r="L396" s="238"/>
      <c r="M396" s="238"/>
    </row>
    <row r="397" ht="12.75" customHeight="1">
      <c r="A397" s="238"/>
      <c r="B397" s="235"/>
      <c r="C397" s="235"/>
      <c r="D397" s="236"/>
      <c r="E397" s="235"/>
      <c r="F397" s="235"/>
      <c r="G397" s="237"/>
      <c r="H397" s="235"/>
      <c r="I397" s="235"/>
      <c r="J397" s="235"/>
      <c r="K397" s="66"/>
      <c r="L397" s="238"/>
      <c r="M397" s="238"/>
    </row>
    <row r="398" ht="12.75" customHeight="1">
      <c r="A398" s="238"/>
      <c r="B398" s="235"/>
      <c r="C398" s="235"/>
      <c r="D398" s="236"/>
      <c r="E398" s="235"/>
      <c r="F398" s="235"/>
      <c r="G398" s="237"/>
      <c r="H398" s="235"/>
      <c r="I398" s="235"/>
      <c r="J398" s="235"/>
      <c r="K398" s="66"/>
      <c r="L398" s="238"/>
      <c r="M398" s="238"/>
    </row>
    <row r="399" ht="12.75" customHeight="1">
      <c r="A399" s="238"/>
      <c r="B399" s="235"/>
      <c r="C399" s="235"/>
      <c r="D399" s="236"/>
      <c r="E399" s="235"/>
      <c r="F399" s="235"/>
      <c r="G399" s="237"/>
      <c r="H399" s="235"/>
      <c r="I399" s="235"/>
      <c r="J399" s="235"/>
      <c r="K399" s="66"/>
      <c r="L399" s="238"/>
      <c r="M399" s="238"/>
    </row>
    <row r="400" ht="12.75" customHeight="1">
      <c r="A400" s="238"/>
      <c r="B400" s="235"/>
      <c r="C400" s="235"/>
      <c r="D400" s="236"/>
      <c r="E400" s="235"/>
      <c r="F400" s="235"/>
      <c r="G400" s="237"/>
      <c r="H400" s="235"/>
      <c r="I400" s="235"/>
      <c r="J400" s="235"/>
      <c r="K400" s="66"/>
      <c r="L400" s="238"/>
      <c r="M400" s="238"/>
    </row>
    <row r="401" ht="12.75" customHeight="1">
      <c r="A401" s="238"/>
      <c r="B401" s="235"/>
      <c r="C401" s="235"/>
      <c r="D401" s="236"/>
      <c r="E401" s="235"/>
      <c r="F401" s="235"/>
      <c r="G401" s="237"/>
      <c r="H401" s="235"/>
      <c r="I401" s="235"/>
      <c r="J401" s="235"/>
      <c r="K401" s="66"/>
      <c r="L401" s="238"/>
      <c r="M401" s="238"/>
    </row>
    <row r="402" ht="12.75" customHeight="1">
      <c r="A402" s="238"/>
      <c r="B402" s="235"/>
      <c r="C402" s="235"/>
      <c r="D402" s="236"/>
      <c r="E402" s="235"/>
      <c r="F402" s="235"/>
      <c r="G402" s="237"/>
      <c r="H402" s="235"/>
      <c r="I402" s="235"/>
      <c r="J402" s="235"/>
      <c r="K402" s="66"/>
      <c r="L402" s="238"/>
      <c r="M402" s="238"/>
    </row>
    <row r="403" ht="12.75" customHeight="1">
      <c r="A403" s="238"/>
      <c r="B403" s="235"/>
      <c r="C403" s="235"/>
      <c r="D403" s="236"/>
      <c r="E403" s="235"/>
      <c r="F403" s="235"/>
      <c r="G403" s="237"/>
      <c r="H403" s="235"/>
      <c r="I403" s="235"/>
      <c r="J403" s="235"/>
      <c r="K403" s="66"/>
      <c r="L403" s="238"/>
      <c r="M403" s="238"/>
    </row>
    <row r="404" ht="12.75" customHeight="1">
      <c r="A404" s="238"/>
      <c r="B404" s="235"/>
      <c r="C404" s="235"/>
      <c r="D404" s="236"/>
      <c r="E404" s="235"/>
      <c r="F404" s="235"/>
      <c r="G404" s="237"/>
      <c r="H404" s="235"/>
      <c r="I404" s="235"/>
      <c r="J404" s="235"/>
      <c r="K404" s="66"/>
      <c r="L404" s="238"/>
      <c r="M404" s="238"/>
    </row>
    <row r="405" ht="12.75" customHeight="1">
      <c r="A405" s="238"/>
      <c r="B405" s="235"/>
      <c r="C405" s="235"/>
      <c r="D405" s="236"/>
      <c r="E405" s="235"/>
      <c r="F405" s="235"/>
      <c r="G405" s="237"/>
      <c r="H405" s="235"/>
      <c r="I405" s="235"/>
      <c r="J405" s="235"/>
      <c r="K405" s="66"/>
      <c r="L405" s="238"/>
      <c r="M405" s="238"/>
    </row>
    <row r="406" ht="12.75" customHeight="1">
      <c r="A406" s="238"/>
      <c r="B406" s="235"/>
      <c r="C406" s="235"/>
      <c r="D406" s="236"/>
      <c r="E406" s="235"/>
      <c r="F406" s="235"/>
      <c r="G406" s="237"/>
      <c r="H406" s="235"/>
      <c r="I406" s="235"/>
      <c r="J406" s="235"/>
      <c r="K406" s="66"/>
      <c r="L406" s="238"/>
      <c r="M406" s="238"/>
    </row>
    <row r="407" ht="12.75" customHeight="1">
      <c r="A407" s="238"/>
      <c r="B407" s="235"/>
      <c r="C407" s="235"/>
      <c r="D407" s="236"/>
      <c r="E407" s="235"/>
      <c r="F407" s="235"/>
      <c r="G407" s="237"/>
      <c r="H407" s="235"/>
      <c r="I407" s="235"/>
      <c r="J407" s="235"/>
      <c r="K407" s="66"/>
      <c r="L407" s="238"/>
      <c r="M407" s="238"/>
    </row>
    <row r="408" ht="12.75" customHeight="1">
      <c r="A408" s="238"/>
      <c r="B408" s="235"/>
      <c r="C408" s="235"/>
      <c r="D408" s="236"/>
      <c r="E408" s="235"/>
      <c r="F408" s="235"/>
      <c r="G408" s="237"/>
      <c r="H408" s="235"/>
      <c r="I408" s="235"/>
      <c r="J408" s="235"/>
      <c r="K408" s="66"/>
      <c r="L408" s="238"/>
      <c r="M408" s="238"/>
    </row>
    <row r="409" ht="12.75" customHeight="1">
      <c r="A409" s="238"/>
      <c r="B409" s="235"/>
      <c r="C409" s="235"/>
      <c r="D409" s="236"/>
      <c r="E409" s="235"/>
      <c r="F409" s="235"/>
      <c r="G409" s="237"/>
      <c r="H409" s="235"/>
      <c r="I409" s="235"/>
      <c r="J409" s="235"/>
      <c r="K409" s="66"/>
      <c r="L409" s="238"/>
      <c r="M409" s="238"/>
    </row>
    <row r="410" ht="12.75" customHeight="1">
      <c r="A410" s="238"/>
      <c r="B410" s="235"/>
      <c r="C410" s="235"/>
      <c r="D410" s="236"/>
      <c r="E410" s="235"/>
      <c r="F410" s="235"/>
      <c r="G410" s="237"/>
      <c r="H410" s="235"/>
      <c r="I410" s="235"/>
      <c r="J410" s="235"/>
      <c r="K410" s="66"/>
      <c r="L410" s="238"/>
      <c r="M410" s="238"/>
    </row>
    <row r="411" ht="12.75" customHeight="1">
      <c r="A411" s="238"/>
      <c r="B411" s="235"/>
      <c r="C411" s="235"/>
      <c r="D411" s="236"/>
      <c r="E411" s="235"/>
      <c r="F411" s="235"/>
      <c r="G411" s="237"/>
      <c r="H411" s="235"/>
      <c r="I411" s="235"/>
      <c r="J411" s="235"/>
      <c r="K411" s="66"/>
      <c r="L411" s="238"/>
      <c r="M411" s="238"/>
    </row>
    <row r="412" ht="12.75" customHeight="1">
      <c r="A412" s="238"/>
      <c r="B412" s="235"/>
      <c r="C412" s="235"/>
      <c r="D412" s="236"/>
      <c r="E412" s="235"/>
      <c r="F412" s="235"/>
      <c r="G412" s="237"/>
      <c r="H412" s="235"/>
      <c r="I412" s="235"/>
      <c r="J412" s="235"/>
      <c r="K412" s="66"/>
      <c r="L412" s="238"/>
      <c r="M412" s="238"/>
    </row>
    <row r="413" ht="12.75" customHeight="1">
      <c r="A413" s="238"/>
      <c r="B413" s="235"/>
      <c r="C413" s="235"/>
      <c r="D413" s="236"/>
      <c r="E413" s="235"/>
      <c r="F413" s="235"/>
      <c r="G413" s="237"/>
      <c r="H413" s="235"/>
      <c r="I413" s="235"/>
      <c r="J413" s="235"/>
      <c r="K413" s="66"/>
      <c r="L413" s="238"/>
      <c r="M413" s="238"/>
    </row>
    <row r="414" ht="12.75" customHeight="1">
      <c r="A414" s="238"/>
      <c r="B414" s="235"/>
      <c r="C414" s="235"/>
      <c r="D414" s="236"/>
      <c r="E414" s="235"/>
      <c r="F414" s="235"/>
      <c r="G414" s="237"/>
      <c r="H414" s="235"/>
      <c r="I414" s="235"/>
      <c r="J414" s="235"/>
      <c r="K414" s="66"/>
      <c r="L414" s="238"/>
      <c r="M414" s="238"/>
    </row>
    <row r="415" ht="12.75" customHeight="1">
      <c r="A415" s="238"/>
      <c r="B415" s="235"/>
      <c r="C415" s="235"/>
      <c r="D415" s="236"/>
      <c r="E415" s="235"/>
      <c r="F415" s="235"/>
      <c r="G415" s="237"/>
      <c r="H415" s="235"/>
      <c r="I415" s="235"/>
      <c r="J415" s="235"/>
      <c r="K415" s="66"/>
      <c r="L415" s="238"/>
      <c r="M415" s="238"/>
    </row>
    <row r="416" ht="12.75" customHeight="1">
      <c r="A416" s="238"/>
      <c r="B416" s="235"/>
      <c r="C416" s="235"/>
      <c r="D416" s="236"/>
      <c r="E416" s="235"/>
      <c r="F416" s="235"/>
      <c r="G416" s="237"/>
      <c r="H416" s="235"/>
      <c r="I416" s="235"/>
      <c r="J416" s="235"/>
      <c r="K416" s="66"/>
      <c r="L416" s="238"/>
      <c r="M416" s="238"/>
    </row>
    <row r="417" ht="12.75" customHeight="1">
      <c r="A417" s="238"/>
      <c r="B417" s="235"/>
      <c r="C417" s="235"/>
      <c r="D417" s="236"/>
      <c r="E417" s="235"/>
      <c r="F417" s="235"/>
      <c r="G417" s="237"/>
      <c r="H417" s="235"/>
      <c r="I417" s="235"/>
      <c r="J417" s="235"/>
      <c r="K417" s="66"/>
      <c r="L417" s="238"/>
      <c r="M417" s="238"/>
    </row>
    <row r="418" ht="12.75" customHeight="1">
      <c r="A418" s="238"/>
      <c r="B418" s="235"/>
      <c r="C418" s="235"/>
      <c r="D418" s="236"/>
      <c r="E418" s="235"/>
      <c r="F418" s="235"/>
      <c r="G418" s="237"/>
      <c r="H418" s="235"/>
      <c r="I418" s="235"/>
      <c r="J418" s="235"/>
      <c r="K418" s="66"/>
      <c r="L418" s="238"/>
      <c r="M418" s="238"/>
    </row>
    <row r="419" ht="12.75" customHeight="1">
      <c r="A419" s="238"/>
      <c r="B419" s="235"/>
      <c r="C419" s="235"/>
      <c r="D419" s="236"/>
      <c r="E419" s="235"/>
      <c r="F419" s="235"/>
      <c r="G419" s="237"/>
      <c r="H419" s="235"/>
      <c r="I419" s="235"/>
      <c r="J419" s="235"/>
      <c r="K419" s="66"/>
      <c r="L419" s="238"/>
      <c r="M419" s="238"/>
    </row>
    <row r="420" ht="12.75" customHeight="1">
      <c r="A420" s="238"/>
      <c r="B420" s="235"/>
      <c r="C420" s="235"/>
      <c r="D420" s="236"/>
      <c r="E420" s="235"/>
      <c r="F420" s="235"/>
      <c r="G420" s="237"/>
      <c r="H420" s="235"/>
      <c r="I420" s="235"/>
      <c r="J420" s="235"/>
      <c r="K420" s="66"/>
      <c r="L420" s="238"/>
      <c r="M420" s="238"/>
    </row>
    <row r="421" ht="12.75" customHeight="1">
      <c r="A421" s="238"/>
      <c r="B421" s="235"/>
      <c r="C421" s="235"/>
      <c r="D421" s="236"/>
      <c r="E421" s="235"/>
      <c r="F421" s="235"/>
      <c r="G421" s="237"/>
      <c r="H421" s="235"/>
      <c r="I421" s="235"/>
      <c r="J421" s="235"/>
      <c r="K421" s="66"/>
      <c r="L421" s="238"/>
      <c r="M421" s="238"/>
    </row>
    <row r="422" ht="12.75" customHeight="1">
      <c r="A422" s="238"/>
      <c r="B422" s="235"/>
      <c r="C422" s="235"/>
      <c r="D422" s="236"/>
      <c r="E422" s="235"/>
      <c r="F422" s="235"/>
      <c r="G422" s="237"/>
      <c r="H422" s="235"/>
      <c r="I422" s="235"/>
      <c r="J422" s="235"/>
      <c r="K422" s="66"/>
      <c r="L422" s="238"/>
      <c r="M422" s="238"/>
    </row>
    <row r="423" ht="12.75" customHeight="1">
      <c r="A423" s="238"/>
      <c r="B423" s="235"/>
      <c r="C423" s="235"/>
      <c r="D423" s="236"/>
      <c r="E423" s="235"/>
      <c r="F423" s="235"/>
      <c r="G423" s="237"/>
      <c r="H423" s="235"/>
      <c r="I423" s="235"/>
      <c r="J423" s="235"/>
      <c r="K423" s="66"/>
      <c r="L423" s="238"/>
      <c r="M423" s="238"/>
    </row>
    <row r="424" ht="12.75" customHeight="1">
      <c r="A424" s="238"/>
      <c r="B424" s="235"/>
      <c r="C424" s="235"/>
      <c r="D424" s="236"/>
      <c r="E424" s="235"/>
      <c r="F424" s="235"/>
      <c r="G424" s="237"/>
      <c r="H424" s="235"/>
      <c r="I424" s="235"/>
      <c r="J424" s="235"/>
      <c r="K424" s="66"/>
      <c r="L424" s="238"/>
      <c r="M424" s="238"/>
    </row>
    <row r="425" ht="12.75" customHeight="1">
      <c r="A425" s="238"/>
      <c r="B425" s="235"/>
      <c r="C425" s="235"/>
      <c r="D425" s="236"/>
      <c r="E425" s="235"/>
      <c r="F425" s="235"/>
      <c r="G425" s="237"/>
      <c r="H425" s="235"/>
      <c r="I425" s="235"/>
      <c r="J425" s="235"/>
      <c r="K425" s="66"/>
      <c r="L425" s="238"/>
      <c r="M425" s="238"/>
    </row>
    <row r="426" ht="12.75" customHeight="1">
      <c r="A426" s="238"/>
      <c r="B426" s="235"/>
      <c r="C426" s="235"/>
      <c r="D426" s="236"/>
      <c r="E426" s="235"/>
      <c r="F426" s="235"/>
      <c r="G426" s="237"/>
      <c r="H426" s="235"/>
      <c r="I426" s="235"/>
      <c r="J426" s="235"/>
      <c r="K426" s="66"/>
      <c r="L426" s="238"/>
      <c r="M426" s="238"/>
    </row>
    <row r="427" ht="12.75" customHeight="1">
      <c r="A427" s="238"/>
      <c r="B427" s="235"/>
      <c r="C427" s="235"/>
      <c r="D427" s="236"/>
      <c r="E427" s="235"/>
      <c r="F427" s="235"/>
      <c r="G427" s="237"/>
      <c r="H427" s="235"/>
      <c r="I427" s="235"/>
      <c r="J427" s="235"/>
      <c r="K427" s="66"/>
      <c r="L427" s="238"/>
      <c r="M427" s="238"/>
    </row>
    <row r="428" ht="12.75" customHeight="1">
      <c r="A428" s="238"/>
      <c r="B428" s="235"/>
      <c r="C428" s="235"/>
      <c r="D428" s="236"/>
      <c r="E428" s="235"/>
      <c r="F428" s="235"/>
      <c r="G428" s="237"/>
      <c r="H428" s="235"/>
      <c r="I428" s="235"/>
      <c r="J428" s="235"/>
      <c r="K428" s="66"/>
      <c r="L428" s="238"/>
      <c r="M428" s="238"/>
    </row>
    <row r="429" ht="12.75" customHeight="1">
      <c r="A429" s="238"/>
      <c r="B429" s="235"/>
      <c r="C429" s="235"/>
      <c r="D429" s="236"/>
      <c r="E429" s="235"/>
      <c r="F429" s="235"/>
      <c r="G429" s="237"/>
      <c r="H429" s="235"/>
      <c r="I429" s="235"/>
      <c r="J429" s="235"/>
      <c r="K429" s="66"/>
      <c r="L429" s="238"/>
      <c r="M429" s="238"/>
    </row>
    <row r="430" ht="12.75" customHeight="1">
      <c r="A430" s="238"/>
      <c r="B430" s="235"/>
      <c r="C430" s="235"/>
      <c r="D430" s="236"/>
      <c r="E430" s="235"/>
      <c r="F430" s="235"/>
      <c r="G430" s="237"/>
      <c r="H430" s="235"/>
      <c r="I430" s="235"/>
      <c r="J430" s="235"/>
      <c r="K430" s="66"/>
      <c r="L430" s="238"/>
      <c r="M430" s="238"/>
    </row>
    <row r="431" ht="12.75" customHeight="1">
      <c r="A431" s="238"/>
      <c r="B431" s="235"/>
      <c r="C431" s="235"/>
      <c r="D431" s="236"/>
      <c r="E431" s="235"/>
      <c r="F431" s="235"/>
      <c r="G431" s="237"/>
      <c r="H431" s="235"/>
      <c r="I431" s="235"/>
      <c r="J431" s="235"/>
      <c r="K431" s="66"/>
      <c r="L431" s="238"/>
      <c r="M431" s="238"/>
    </row>
    <row r="432" ht="12.75" customHeight="1">
      <c r="A432" s="238"/>
      <c r="B432" s="235"/>
      <c r="C432" s="235"/>
      <c r="D432" s="236"/>
      <c r="E432" s="235"/>
      <c r="F432" s="235"/>
      <c r="G432" s="237"/>
      <c r="H432" s="235"/>
      <c r="I432" s="235"/>
      <c r="J432" s="235"/>
      <c r="K432" s="66"/>
      <c r="L432" s="238"/>
      <c r="M432" s="238"/>
    </row>
    <row r="433" ht="12.75" customHeight="1">
      <c r="A433" s="238"/>
      <c r="B433" s="235"/>
      <c r="C433" s="235"/>
      <c r="D433" s="236"/>
      <c r="E433" s="235"/>
      <c r="F433" s="235"/>
      <c r="G433" s="237"/>
      <c r="H433" s="235"/>
      <c r="I433" s="235"/>
      <c r="J433" s="235"/>
      <c r="K433" s="66"/>
      <c r="L433" s="238"/>
      <c r="M433" s="238"/>
    </row>
    <row r="434" ht="12.75" customHeight="1">
      <c r="A434" s="238"/>
      <c r="B434" s="235"/>
      <c r="C434" s="235"/>
      <c r="D434" s="236"/>
      <c r="E434" s="235"/>
      <c r="F434" s="235"/>
      <c r="G434" s="237"/>
      <c r="H434" s="235"/>
      <c r="I434" s="235"/>
      <c r="J434" s="235"/>
      <c r="K434" s="66"/>
      <c r="L434" s="238"/>
      <c r="M434" s="238"/>
    </row>
    <row r="435" ht="12.75" customHeight="1">
      <c r="A435" s="238"/>
      <c r="B435" s="235"/>
      <c r="C435" s="235"/>
      <c r="D435" s="236"/>
      <c r="E435" s="235"/>
      <c r="F435" s="235"/>
      <c r="G435" s="237"/>
      <c r="H435" s="235"/>
      <c r="I435" s="235"/>
      <c r="J435" s="235"/>
      <c r="K435" s="66"/>
      <c r="L435" s="238"/>
      <c r="M435" s="238"/>
    </row>
    <row r="436" ht="12.75" customHeight="1">
      <c r="A436" s="238"/>
      <c r="B436" s="235"/>
      <c r="C436" s="235"/>
      <c r="D436" s="236"/>
      <c r="E436" s="235"/>
      <c r="F436" s="235"/>
      <c r="G436" s="237"/>
      <c r="H436" s="235"/>
      <c r="I436" s="235"/>
      <c r="J436" s="235"/>
      <c r="K436" s="66"/>
      <c r="L436" s="238"/>
      <c r="M436" s="238"/>
    </row>
    <row r="437" ht="12.75" customHeight="1">
      <c r="A437" s="238"/>
      <c r="B437" s="235"/>
      <c r="C437" s="235"/>
      <c r="D437" s="236"/>
      <c r="E437" s="235"/>
      <c r="F437" s="235"/>
      <c r="G437" s="237"/>
      <c r="H437" s="235"/>
      <c r="I437" s="235"/>
      <c r="J437" s="235"/>
      <c r="K437" s="66"/>
      <c r="L437" s="238"/>
      <c r="M437" s="238"/>
    </row>
    <row r="438" ht="12.75" customHeight="1">
      <c r="A438" s="238"/>
      <c r="B438" s="235"/>
      <c r="C438" s="235"/>
      <c r="D438" s="236"/>
      <c r="E438" s="235"/>
      <c r="F438" s="235"/>
      <c r="G438" s="237"/>
      <c r="H438" s="235"/>
      <c r="I438" s="235"/>
      <c r="J438" s="235"/>
      <c r="K438" s="66"/>
      <c r="L438" s="238"/>
      <c r="M438" s="238"/>
    </row>
    <row r="439" ht="12.75" customHeight="1">
      <c r="A439" s="238"/>
      <c r="B439" s="235"/>
      <c r="C439" s="235"/>
      <c r="D439" s="236"/>
      <c r="E439" s="235"/>
      <c r="F439" s="235"/>
      <c r="G439" s="237"/>
      <c r="H439" s="235"/>
      <c r="I439" s="235"/>
      <c r="J439" s="235"/>
      <c r="K439" s="66"/>
      <c r="L439" s="238"/>
      <c r="M439" s="238"/>
    </row>
    <row r="440" ht="12.75" customHeight="1">
      <c r="A440" s="238"/>
      <c r="B440" s="235"/>
      <c r="C440" s="235"/>
      <c r="D440" s="236"/>
      <c r="E440" s="235"/>
      <c r="F440" s="235"/>
      <c r="G440" s="237"/>
      <c r="H440" s="235"/>
      <c r="I440" s="235"/>
      <c r="J440" s="235"/>
      <c r="K440" s="66"/>
      <c r="L440" s="238"/>
      <c r="M440" s="238"/>
    </row>
    <row r="441" ht="12.75" customHeight="1">
      <c r="A441" s="238"/>
      <c r="B441" s="235"/>
      <c r="C441" s="235"/>
      <c r="D441" s="236"/>
      <c r="E441" s="235"/>
      <c r="F441" s="235"/>
      <c r="G441" s="237"/>
      <c r="H441" s="235"/>
      <c r="I441" s="235"/>
      <c r="J441" s="235"/>
      <c r="K441" s="66"/>
      <c r="L441" s="238"/>
      <c r="M441" s="238"/>
    </row>
    <row r="442" ht="12.75" customHeight="1">
      <c r="A442" s="238"/>
      <c r="B442" s="235"/>
      <c r="C442" s="235"/>
      <c r="D442" s="236"/>
      <c r="E442" s="235"/>
      <c r="F442" s="235"/>
      <c r="G442" s="237"/>
      <c r="H442" s="235"/>
      <c r="I442" s="235"/>
      <c r="J442" s="235"/>
      <c r="K442" s="66"/>
      <c r="L442" s="238"/>
      <c r="M442" s="238"/>
    </row>
    <row r="443" ht="12.75" customHeight="1">
      <c r="A443" s="238"/>
      <c r="B443" s="235"/>
      <c r="C443" s="235"/>
      <c r="D443" s="236"/>
      <c r="E443" s="235"/>
      <c r="F443" s="235"/>
      <c r="G443" s="237"/>
      <c r="H443" s="235"/>
      <c r="I443" s="235"/>
      <c r="J443" s="235"/>
      <c r="K443" s="66"/>
      <c r="L443" s="238"/>
      <c r="M443" s="238"/>
    </row>
    <row r="444" ht="12.75" customHeight="1">
      <c r="A444" s="238"/>
      <c r="B444" s="235"/>
      <c r="C444" s="235"/>
      <c r="D444" s="236"/>
      <c r="E444" s="235"/>
      <c r="F444" s="235"/>
      <c r="G444" s="237"/>
      <c r="H444" s="235"/>
      <c r="I444" s="235"/>
      <c r="J444" s="235"/>
      <c r="K444" s="66"/>
      <c r="L444" s="238"/>
      <c r="M444" s="238"/>
    </row>
    <row r="445" ht="12.75" customHeight="1">
      <c r="A445" s="238"/>
      <c r="B445" s="235"/>
      <c r="C445" s="235"/>
      <c r="D445" s="236"/>
      <c r="E445" s="235"/>
      <c r="F445" s="235"/>
      <c r="G445" s="237"/>
      <c r="H445" s="235"/>
      <c r="I445" s="235"/>
      <c r="J445" s="235"/>
      <c r="K445" s="66"/>
      <c r="L445" s="238"/>
      <c r="M445" s="238"/>
    </row>
    <row r="446" ht="12.75" customHeight="1">
      <c r="A446" s="238"/>
      <c r="B446" s="235"/>
      <c r="C446" s="235"/>
      <c r="D446" s="236"/>
      <c r="E446" s="235"/>
      <c r="F446" s="235"/>
      <c r="G446" s="237"/>
      <c r="H446" s="235"/>
      <c r="I446" s="235"/>
      <c r="J446" s="235"/>
      <c r="K446" s="66"/>
      <c r="L446" s="238"/>
      <c r="M446" s="238"/>
    </row>
    <row r="447" ht="12.75" customHeight="1">
      <c r="A447" s="238"/>
      <c r="B447" s="235"/>
      <c r="C447" s="235"/>
      <c r="D447" s="236"/>
      <c r="E447" s="235"/>
      <c r="F447" s="235"/>
      <c r="G447" s="237"/>
      <c r="H447" s="235"/>
      <c r="I447" s="235"/>
      <c r="J447" s="235"/>
      <c r="K447" s="66"/>
      <c r="L447" s="238"/>
      <c r="M447" s="238"/>
    </row>
    <row r="448" ht="12.75" customHeight="1">
      <c r="A448" s="238"/>
      <c r="B448" s="235"/>
      <c r="C448" s="235"/>
      <c r="D448" s="236"/>
      <c r="E448" s="235"/>
      <c r="F448" s="235"/>
      <c r="G448" s="237"/>
      <c r="H448" s="235"/>
      <c r="I448" s="235"/>
      <c r="J448" s="235"/>
      <c r="K448" s="66"/>
      <c r="L448" s="238"/>
      <c r="M448" s="238"/>
    </row>
    <row r="449" ht="12.75" customHeight="1">
      <c r="A449" s="238"/>
      <c r="B449" s="235"/>
      <c r="C449" s="235"/>
      <c r="D449" s="236"/>
      <c r="E449" s="235"/>
      <c r="F449" s="235"/>
      <c r="G449" s="237"/>
      <c r="H449" s="235"/>
      <c r="I449" s="235"/>
      <c r="J449" s="235"/>
      <c r="K449" s="66"/>
      <c r="L449" s="238"/>
      <c r="M449" s="238"/>
    </row>
    <row r="450" ht="12.75" customHeight="1">
      <c r="A450" s="238"/>
      <c r="B450" s="235"/>
      <c r="C450" s="235"/>
      <c r="D450" s="236"/>
      <c r="E450" s="235"/>
      <c r="F450" s="235"/>
      <c r="G450" s="237"/>
      <c r="H450" s="235"/>
      <c r="I450" s="235"/>
      <c r="J450" s="235"/>
      <c r="K450" s="66"/>
      <c r="L450" s="238"/>
      <c r="M450" s="238"/>
    </row>
    <row r="451" ht="12.75" customHeight="1">
      <c r="A451" s="238"/>
      <c r="B451" s="235"/>
      <c r="C451" s="235"/>
      <c r="D451" s="236"/>
      <c r="E451" s="235"/>
      <c r="F451" s="235"/>
      <c r="G451" s="237"/>
      <c r="H451" s="235"/>
      <c r="I451" s="235"/>
      <c r="J451" s="235"/>
      <c r="K451" s="66"/>
      <c r="L451" s="238"/>
      <c r="M451" s="238"/>
    </row>
    <row r="452" ht="12.75" customHeight="1">
      <c r="A452" s="238"/>
      <c r="B452" s="235"/>
      <c r="C452" s="235"/>
      <c r="D452" s="236"/>
      <c r="E452" s="235"/>
      <c r="F452" s="235"/>
      <c r="G452" s="237"/>
      <c r="H452" s="235"/>
      <c r="I452" s="235"/>
      <c r="J452" s="235"/>
      <c r="K452" s="66"/>
      <c r="L452" s="238"/>
      <c r="M452" s="238"/>
    </row>
    <row r="453" ht="12.75" customHeight="1">
      <c r="A453" s="238"/>
      <c r="B453" s="235"/>
      <c r="C453" s="235"/>
      <c r="D453" s="236"/>
      <c r="E453" s="235"/>
      <c r="F453" s="235"/>
      <c r="G453" s="237"/>
      <c r="H453" s="235"/>
      <c r="I453" s="235"/>
      <c r="J453" s="235"/>
      <c r="K453" s="66"/>
      <c r="L453" s="238"/>
      <c r="M453" s="238"/>
    </row>
    <row r="454" ht="12.75" customHeight="1">
      <c r="A454" s="238"/>
      <c r="B454" s="235"/>
      <c r="C454" s="235"/>
      <c r="D454" s="236"/>
      <c r="E454" s="235"/>
      <c r="F454" s="235"/>
      <c r="G454" s="237"/>
      <c r="H454" s="235"/>
      <c r="I454" s="235"/>
      <c r="J454" s="235"/>
      <c r="K454" s="66"/>
      <c r="L454" s="238"/>
      <c r="M454" s="238"/>
    </row>
    <row r="455" ht="12.75" customHeight="1">
      <c r="A455" s="238"/>
      <c r="B455" s="235"/>
      <c r="C455" s="235"/>
      <c r="D455" s="236"/>
      <c r="E455" s="235"/>
      <c r="F455" s="235"/>
      <c r="G455" s="237"/>
      <c r="H455" s="235"/>
      <c r="I455" s="235"/>
      <c r="J455" s="235"/>
      <c r="K455" s="66"/>
      <c r="L455" s="238"/>
      <c r="M455" s="238"/>
    </row>
    <row r="456" ht="12.75" customHeight="1">
      <c r="A456" s="238"/>
      <c r="B456" s="235"/>
      <c r="C456" s="235"/>
      <c r="D456" s="236"/>
      <c r="E456" s="235"/>
      <c r="F456" s="235"/>
      <c r="G456" s="237"/>
      <c r="H456" s="235"/>
      <c r="I456" s="235"/>
      <c r="J456" s="235"/>
      <c r="K456" s="66"/>
      <c r="L456" s="238"/>
      <c r="M456" s="238"/>
    </row>
    <row r="457" ht="12.75" customHeight="1">
      <c r="A457" s="238"/>
      <c r="B457" s="235"/>
      <c r="C457" s="235"/>
      <c r="D457" s="236"/>
      <c r="E457" s="235"/>
      <c r="F457" s="235"/>
      <c r="G457" s="237"/>
      <c r="H457" s="235"/>
      <c r="I457" s="235"/>
      <c r="J457" s="235"/>
      <c r="K457" s="66"/>
      <c r="L457" s="238"/>
      <c r="M457" s="238"/>
    </row>
    <row r="458" ht="12.75" customHeight="1">
      <c r="A458" s="238"/>
      <c r="B458" s="235"/>
      <c r="C458" s="235"/>
      <c r="D458" s="236"/>
      <c r="E458" s="235"/>
      <c r="F458" s="235"/>
      <c r="G458" s="237"/>
      <c r="H458" s="235"/>
      <c r="I458" s="235"/>
      <c r="J458" s="235"/>
      <c r="K458" s="66"/>
      <c r="L458" s="238"/>
      <c r="M458" s="238"/>
    </row>
    <row r="459" ht="12.75" customHeight="1">
      <c r="A459" s="238"/>
      <c r="B459" s="235"/>
      <c r="C459" s="235"/>
      <c r="D459" s="236"/>
      <c r="E459" s="235"/>
      <c r="F459" s="235"/>
      <c r="G459" s="237"/>
      <c r="H459" s="235"/>
      <c r="I459" s="235"/>
      <c r="J459" s="235"/>
      <c r="K459" s="66"/>
      <c r="L459" s="238"/>
      <c r="M459" s="238"/>
    </row>
    <row r="460" ht="12.75" customHeight="1">
      <c r="A460" s="238"/>
      <c r="B460" s="235"/>
      <c r="C460" s="235"/>
      <c r="D460" s="236"/>
      <c r="E460" s="235"/>
      <c r="F460" s="235"/>
      <c r="G460" s="237"/>
      <c r="H460" s="235"/>
      <c r="I460" s="235"/>
      <c r="J460" s="235"/>
      <c r="K460" s="66"/>
      <c r="L460" s="238"/>
      <c r="M460" s="238"/>
    </row>
    <row r="461" ht="12.75" customHeight="1">
      <c r="A461" s="238"/>
      <c r="B461" s="235"/>
      <c r="C461" s="235"/>
      <c r="D461" s="236"/>
      <c r="E461" s="235"/>
      <c r="F461" s="235"/>
      <c r="G461" s="237"/>
      <c r="H461" s="235"/>
      <c r="I461" s="235"/>
      <c r="J461" s="235"/>
      <c r="K461" s="66"/>
      <c r="L461" s="238"/>
      <c r="M461" s="238"/>
    </row>
    <row r="462" ht="12.75" customHeight="1">
      <c r="A462" s="238"/>
      <c r="B462" s="235"/>
      <c r="C462" s="235"/>
      <c r="D462" s="236"/>
      <c r="E462" s="235"/>
      <c r="F462" s="235"/>
      <c r="G462" s="237"/>
      <c r="H462" s="235"/>
      <c r="I462" s="235"/>
      <c r="J462" s="235"/>
      <c r="K462" s="66"/>
      <c r="L462" s="238"/>
      <c r="M462" s="238"/>
    </row>
    <row r="463" ht="12.75" customHeight="1">
      <c r="A463" s="238"/>
      <c r="B463" s="235"/>
      <c r="C463" s="235"/>
      <c r="D463" s="236"/>
      <c r="E463" s="235"/>
      <c r="F463" s="235"/>
      <c r="G463" s="237"/>
      <c r="H463" s="235"/>
      <c r="I463" s="235"/>
      <c r="J463" s="235"/>
      <c r="K463" s="66"/>
      <c r="L463" s="238"/>
      <c r="M463" s="238"/>
    </row>
    <row r="464" ht="12.75" customHeight="1">
      <c r="A464" s="238"/>
      <c r="B464" s="235"/>
      <c r="C464" s="235"/>
      <c r="D464" s="236"/>
      <c r="E464" s="235"/>
      <c r="F464" s="235"/>
      <c r="G464" s="237"/>
      <c r="H464" s="235"/>
      <c r="I464" s="235"/>
      <c r="J464" s="235"/>
      <c r="K464" s="66"/>
      <c r="L464" s="238"/>
      <c r="M464" s="238"/>
    </row>
    <row r="465" ht="12.75" customHeight="1">
      <c r="A465" s="238"/>
      <c r="B465" s="235"/>
      <c r="C465" s="235"/>
      <c r="D465" s="236"/>
      <c r="E465" s="235"/>
      <c r="F465" s="235"/>
      <c r="G465" s="237"/>
      <c r="H465" s="235"/>
      <c r="I465" s="235"/>
      <c r="J465" s="235"/>
      <c r="K465" s="66"/>
      <c r="L465" s="238"/>
      <c r="M465" s="238"/>
    </row>
    <row r="466" ht="12.75" customHeight="1">
      <c r="A466" s="238"/>
      <c r="B466" s="235"/>
      <c r="C466" s="235"/>
      <c r="D466" s="236"/>
      <c r="E466" s="235"/>
      <c r="F466" s="235"/>
      <c r="G466" s="237"/>
      <c r="H466" s="235"/>
      <c r="I466" s="235"/>
      <c r="J466" s="235"/>
      <c r="K466" s="66"/>
      <c r="L466" s="238"/>
      <c r="M466" s="238"/>
    </row>
    <row r="467" ht="12.75" customHeight="1">
      <c r="A467" s="238"/>
      <c r="B467" s="235"/>
      <c r="C467" s="235"/>
      <c r="D467" s="236"/>
      <c r="E467" s="235"/>
      <c r="F467" s="235"/>
      <c r="G467" s="237"/>
      <c r="H467" s="235"/>
      <c r="I467" s="235"/>
      <c r="J467" s="235"/>
      <c r="K467" s="66"/>
      <c r="L467" s="238"/>
      <c r="M467" s="238"/>
    </row>
    <row r="468" ht="12.75" customHeight="1">
      <c r="A468" s="238"/>
      <c r="B468" s="235"/>
      <c r="C468" s="235"/>
      <c r="D468" s="236"/>
      <c r="E468" s="235"/>
      <c r="F468" s="235"/>
      <c r="G468" s="237"/>
      <c r="H468" s="235"/>
      <c r="I468" s="235"/>
      <c r="J468" s="235"/>
      <c r="K468" s="66"/>
      <c r="L468" s="238"/>
      <c r="M468" s="238"/>
    </row>
    <row r="469" ht="12.75" customHeight="1">
      <c r="A469" s="238"/>
      <c r="B469" s="235"/>
      <c r="C469" s="235"/>
      <c r="D469" s="236"/>
      <c r="E469" s="235"/>
      <c r="F469" s="235"/>
      <c r="G469" s="237"/>
      <c r="H469" s="235"/>
      <c r="I469" s="235"/>
      <c r="J469" s="235"/>
      <c r="K469" s="66"/>
      <c r="L469" s="238"/>
      <c r="M469" s="238"/>
    </row>
    <row r="470" ht="12.75" customHeight="1">
      <c r="A470" s="238"/>
      <c r="B470" s="235"/>
      <c r="C470" s="235"/>
      <c r="D470" s="236"/>
      <c r="E470" s="235"/>
      <c r="F470" s="235"/>
      <c r="G470" s="237"/>
      <c r="H470" s="235"/>
      <c r="I470" s="235"/>
      <c r="J470" s="235"/>
      <c r="K470" s="66"/>
      <c r="L470" s="238"/>
      <c r="M470" s="238"/>
    </row>
    <row r="471" ht="12.75" customHeight="1">
      <c r="A471" s="238"/>
      <c r="B471" s="235"/>
      <c r="C471" s="235"/>
      <c r="D471" s="236"/>
      <c r="E471" s="235"/>
      <c r="F471" s="235"/>
      <c r="G471" s="237"/>
      <c r="H471" s="235"/>
      <c r="I471" s="235"/>
      <c r="J471" s="235"/>
      <c r="K471" s="66"/>
      <c r="L471" s="238"/>
      <c r="M471" s="238"/>
    </row>
    <row r="472" ht="12.75" customHeight="1">
      <c r="A472" s="238"/>
      <c r="B472" s="235"/>
      <c r="C472" s="235"/>
      <c r="D472" s="236"/>
      <c r="E472" s="235"/>
      <c r="F472" s="235"/>
      <c r="G472" s="237"/>
      <c r="H472" s="235"/>
      <c r="I472" s="235"/>
      <c r="J472" s="235"/>
      <c r="K472" s="66"/>
      <c r="L472" s="238"/>
      <c r="M472" s="238"/>
    </row>
    <row r="473" ht="12.75" customHeight="1">
      <c r="A473" s="238"/>
      <c r="B473" s="235"/>
      <c r="C473" s="235"/>
      <c r="D473" s="236"/>
      <c r="E473" s="235"/>
      <c r="F473" s="235"/>
      <c r="G473" s="237"/>
      <c r="H473" s="235"/>
      <c r="I473" s="235"/>
      <c r="J473" s="235"/>
      <c r="K473" s="66"/>
      <c r="L473" s="238"/>
      <c r="M473" s="238"/>
    </row>
    <row r="474" ht="12.75" customHeight="1">
      <c r="A474" s="238"/>
      <c r="B474" s="235"/>
      <c r="C474" s="235"/>
      <c r="D474" s="236"/>
      <c r="E474" s="235"/>
      <c r="F474" s="235"/>
      <c r="G474" s="237"/>
      <c r="H474" s="235"/>
      <c r="I474" s="235"/>
      <c r="J474" s="235"/>
      <c r="K474" s="66"/>
      <c r="L474" s="238"/>
      <c r="M474" s="238"/>
    </row>
    <row r="475" ht="12.75" customHeight="1">
      <c r="A475" s="238"/>
      <c r="B475" s="235"/>
      <c r="C475" s="235"/>
      <c r="D475" s="236"/>
      <c r="E475" s="235"/>
      <c r="F475" s="235"/>
      <c r="G475" s="237"/>
      <c r="H475" s="235"/>
      <c r="I475" s="235"/>
      <c r="J475" s="235"/>
      <c r="K475" s="66"/>
      <c r="L475" s="238"/>
      <c r="M475" s="238"/>
    </row>
    <row r="476" ht="12.75" customHeight="1">
      <c r="A476" s="238"/>
      <c r="B476" s="235"/>
      <c r="C476" s="235"/>
      <c r="D476" s="236"/>
      <c r="E476" s="235"/>
      <c r="F476" s="235"/>
      <c r="G476" s="237"/>
      <c r="H476" s="235"/>
      <c r="I476" s="235"/>
      <c r="J476" s="235"/>
      <c r="K476" s="66"/>
      <c r="L476" s="238"/>
      <c r="M476" s="238"/>
    </row>
    <row r="477" ht="12.75" customHeight="1">
      <c r="A477" s="238"/>
      <c r="B477" s="235"/>
      <c r="C477" s="235"/>
      <c r="D477" s="236"/>
      <c r="E477" s="235"/>
      <c r="F477" s="235"/>
      <c r="G477" s="237"/>
      <c r="H477" s="235"/>
      <c r="I477" s="235"/>
      <c r="J477" s="235"/>
      <c r="K477" s="66"/>
      <c r="L477" s="238"/>
      <c r="M477" s="238"/>
    </row>
    <row r="478" ht="12.75" customHeight="1">
      <c r="A478" s="238"/>
      <c r="B478" s="235"/>
      <c r="C478" s="235"/>
      <c r="D478" s="236"/>
      <c r="E478" s="235"/>
      <c r="F478" s="235"/>
      <c r="G478" s="237"/>
      <c r="H478" s="235"/>
      <c r="I478" s="235"/>
      <c r="J478" s="235"/>
      <c r="K478" s="66"/>
      <c r="L478" s="238"/>
      <c r="M478" s="238"/>
    </row>
    <row r="479" ht="12.75" customHeight="1">
      <c r="A479" s="238"/>
      <c r="B479" s="235"/>
      <c r="C479" s="235"/>
      <c r="D479" s="236"/>
      <c r="E479" s="235"/>
      <c r="F479" s="235"/>
      <c r="G479" s="237"/>
      <c r="H479" s="235"/>
      <c r="I479" s="235"/>
      <c r="J479" s="235"/>
      <c r="K479" s="66"/>
      <c r="L479" s="238"/>
      <c r="M479" s="238"/>
    </row>
    <row r="480" ht="12.75" customHeight="1">
      <c r="A480" s="238"/>
      <c r="B480" s="235"/>
      <c r="C480" s="235"/>
      <c r="D480" s="236"/>
      <c r="E480" s="235"/>
      <c r="F480" s="235"/>
      <c r="G480" s="237"/>
      <c r="H480" s="235"/>
      <c r="I480" s="235"/>
      <c r="J480" s="235"/>
      <c r="K480" s="66"/>
      <c r="L480" s="238"/>
      <c r="M480" s="238"/>
    </row>
    <row r="481" ht="12.75" customHeight="1">
      <c r="A481" s="238"/>
      <c r="B481" s="235"/>
      <c r="C481" s="235"/>
      <c r="D481" s="236"/>
      <c r="E481" s="235"/>
      <c r="F481" s="235"/>
      <c r="G481" s="237"/>
      <c r="H481" s="235"/>
      <c r="I481" s="235"/>
      <c r="J481" s="235"/>
      <c r="K481" s="66"/>
      <c r="L481" s="238"/>
      <c r="M481" s="238"/>
    </row>
    <row r="482" ht="12.75" customHeight="1">
      <c r="A482" s="238"/>
      <c r="B482" s="235"/>
      <c r="C482" s="235"/>
      <c r="D482" s="236"/>
      <c r="E482" s="235"/>
      <c r="F482" s="235"/>
      <c r="G482" s="237"/>
      <c r="H482" s="235"/>
      <c r="I482" s="235"/>
      <c r="J482" s="235"/>
      <c r="K482" s="66"/>
      <c r="L482" s="238"/>
      <c r="M482" s="238"/>
    </row>
    <row r="483" ht="12.75" customHeight="1">
      <c r="A483" s="238"/>
      <c r="B483" s="235"/>
      <c r="C483" s="235"/>
      <c r="D483" s="236"/>
      <c r="E483" s="235"/>
      <c r="F483" s="235"/>
      <c r="G483" s="237"/>
      <c r="H483" s="235"/>
      <c r="I483" s="235"/>
      <c r="J483" s="235"/>
      <c r="K483" s="66"/>
      <c r="L483" s="238"/>
      <c r="M483" s="238"/>
    </row>
    <row r="484" ht="12.75" customHeight="1">
      <c r="A484" s="238"/>
      <c r="B484" s="235"/>
      <c r="C484" s="235"/>
      <c r="D484" s="236"/>
      <c r="E484" s="235"/>
      <c r="F484" s="235"/>
      <c r="G484" s="237"/>
      <c r="H484" s="235"/>
      <c r="I484" s="235"/>
      <c r="J484" s="235"/>
      <c r="K484" s="66"/>
      <c r="L484" s="238"/>
      <c r="M484" s="238"/>
    </row>
    <row r="485" ht="12.75" customHeight="1">
      <c r="A485" s="238"/>
      <c r="B485" s="235"/>
      <c r="C485" s="235"/>
      <c r="D485" s="236"/>
      <c r="E485" s="235"/>
      <c r="F485" s="235"/>
      <c r="G485" s="237"/>
      <c r="H485" s="235"/>
      <c r="I485" s="235"/>
      <c r="J485" s="235"/>
      <c r="K485" s="66"/>
      <c r="L485" s="238"/>
      <c r="M485" s="238"/>
    </row>
    <row r="486" ht="12.75" customHeight="1">
      <c r="A486" s="238"/>
      <c r="B486" s="235"/>
      <c r="C486" s="235"/>
      <c r="D486" s="236"/>
      <c r="E486" s="235"/>
      <c r="F486" s="235"/>
      <c r="G486" s="237"/>
      <c r="H486" s="235"/>
      <c r="I486" s="235"/>
      <c r="J486" s="235"/>
      <c r="K486" s="66"/>
      <c r="L486" s="238"/>
      <c r="M486" s="238"/>
    </row>
    <row r="487" ht="12.75" customHeight="1">
      <c r="A487" s="238"/>
      <c r="B487" s="235"/>
      <c r="C487" s="235"/>
      <c r="D487" s="236"/>
      <c r="E487" s="235"/>
      <c r="F487" s="235"/>
      <c r="G487" s="237"/>
      <c r="H487" s="235"/>
      <c r="I487" s="235"/>
      <c r="J487" s="235"/>
      <c r="K487" s="66"/>
      <c r="L487" s="238"/>
      <c r="M487" s="238"/>
    </row>
    <row r="488" ht="12.75" customHeight="1">
      <c r="A488" s="238"/>
      <c r="B488" s="235"/>
      <c r="C488" s="235"/>
      <c r="D488" s="236"/>
      <c r="E488" s="235"/>
      <c r="F488" s="235"/>
      <c r="G488" s="237"/>
      <c r="H488" s="235"/>
      <c r="I488" s="235"/>
      <c r="J488" s="235"/>
      <c r="K488" s="66"/>
      <c r="L488" s="238"/>
      <c r="M488" s="238"/>
    </row>
    <row r="489" ht="12.75" customHeight="1">
      <c r="A489" s="238"/>
      <c r="B489" s="235"/>
      <c r="C489" s="235"/>
      <c r="D489" s="236"/>
      <c r="E489" s="235"/>
      <c r="F489" s="235"/>
      <c r="G489" s="237"/>
      <c r="H489" s="235"/>
      <c r="I489" s="235"/>
      <c r="J489" s="235"/>
      <c r="K489" s="66"/>
      <c r="L489" s="238"/>
      <c r="M489" s="238"/>
    </row>
    <row r="490" ht="12.75" customHeight="1">
      <c r="A490" s="238"/>
      <c r="B490" s="235"/>
      <c r="C490" s="235"/>
      <c r="D490" s="236"/>
      <c r="E490" s="235"/>
      <c r="F490" s="235"/>
      <c r="G490" s="237"/>
      <c r="H490" s="235"/>
      <c r="I490" s="235"/>
      <c r="J490" s="235"/>
      <c r="K490" s="66"/>
      <c r="L490" s="238"/>
      <c r="M490" s="238"/>
    </row>
    <row r="491" ht="12.75" customHeight="1">
      <c r="A491" s="238"/>
      <c r="B491" s="235"/>
      <c r="C491" s="235"/>
      <c r="D491" s="236"/>
      <c r="E491" s="235"/>
      <c r="F491" s="235"/>
      <c r="G491" s="237"/>
      <c r="H491" s="235"/>
      <c r="I491" s="235"/>
      <c r="J491" s="235"/>
      <c r="K491" s="66"/>
      <c r="L491" s="238"/>
      <c r="M491" s="238"/>
    </row>
    <row r="492" ht="12.75" customHeight="1">
      <c r="A492" s="238"/>
      <c r="B492" s="235"/>
      <c r="C492" s="235"/>
      <c r="D492" s="236"/>
      <c r="E492" s="235"/>
      <c r="F492" s="235"/>
      <c r="G492" s="237"/>
      <c r="H492" s="235"/>
      <c r="I492" s="235"/>
      <c r="J492" s="235"/>
      <c r="K492" s="66"/>
      <c r="L492" s="238"/>
      <c r="M492" s="238"/>
    </row>
    <row r="493" ht="12.75" customHeight="1">
      <c r="A493" s="238"/>
      <c r="B493" s="235"/>
      <c r="C493" s="235"/>
      <c r="D493" s="236"/>
      <c r="E493" s="235"/>
      <c r="F493" s="235"/>
      <c r="G493" s="237"/>
      <c r="H493" s="235"/>
      <c r="I493" s="235"/>
      <c r="J493" s="235"/>
      <c r="K493" s="66"/>
      <c r="L493" s="238"/>
      <c r="M493" s="238"/>
    </row>
    <row r="494" ht="12.75" customHeight="1">
      <c r="A494" s="238"/>
      <c r="B494" s="235"/>
      <c r="C494" s="235"/>
      <c r="D494" s="236"/>
      <c r="E494" s="235"/>
      <c r="F494" s="235"/>
      <c r="G494" s="237"/>
      <c r="H494" s="235"/>
      <c r="I494" s="235"/>
      <c r="J494" s="235"/>
      <c r="K494" s="66"/>
      <c r="L494" s="238"/>
      <c r="M494" s="238"/>
    </row>
    <row r="495" ht="12.75" customHeight="1">
      <c r="A495" s="238"/>
      <c r="B495" s="235"/>
      <c r="C495" s="235"/>
      <c r="D495" s="236"/>
      <c r="E495" s="235"/>
      <c r="F495" s="235"/>
      <c r="G495" s="237"/>
      <c r="H495" s="235"/>
      <c r="I495" s="235"/>
      <c r="J495" s="235"/>
      <c r="K495" s="66"/>
      <c r="L495" s="238"/>
      <c r="M495" s="238"/>
    </row>
    <row r="496" ht="12.75" customHeight="1">
      <c r="A496" s="238"/>
      <c r="B496" s="235"/>
      <c r="C496" s="235"/>
      <c r="D496" s="236"/>
      <c r="E496" s="235"/>
      <c r="F496" s="235"/>
      <c r="G496" s="237"/>
      <c r="H496" s="235"/>
      <c r="I496" s="235"/>
      <c r="J496" s="235"/>
      <c r="K496" s="66"/>
      <c r="L496" s="238"/>
      <c r="M496" s="238"/>
    </row>
    <row r="497" ht="12.75" customHeight="1">
      <c r="A497" s="238"/>
      <c r="B497" s="235"/>
      <c r="C497" s="235"/>
      <c r="D497" s="236"/>
      <c r="E497" s="235"/>
      <c r="F497" s="235"/>
      <c r="G497" s="237"/>
      <c r="H497" s="235"/>
      <c r="I497" s="235"/>
      <c r="J497" s="235"/>
      <c r="K497" s="66"/>
      <c r="L497" s="238"/>
      <c r="M497" s="238"/>
    </row>
    <row r="498" ht="12.75" customHeight="1">
      <c r="A498" s="238"/>
      <c r="B498" s="235"/>
      <c r="C498" s="235"/>
      <c r="D498" s="236"/>
      <c r="E498" s="235"/>
      <c r="F498" s="235"/>
      <c r="G498" s="237"/>
      <c r="H498" s="235"/>
      <c r="I498" s="235"/>
      <c r="J498" s="235"/>
      <c r="K498" s="66"/>
      <c r="L498" s="238"/>
      <c r="M498" s="238"/>
    </row>
    <row r="499" ht="12.75" customHeight="1">
      <c r="A499" s="238"/>
      <c r="B499" s="235"/>
      <c r="C499" s="235"/>
      <c r="D499" s="236"/>
      <c r="E499" s="235"/>
      <c r="F499" s="235"/>
      <c r="G499" s="237"/>
      <c r="H499" s="235"/>
      <c r="I499" s="235"/>
      <c r="J499" s="235"/>
      <c r="K499" s="66"/>
      <c r="L499" s="238"/>
      <c r="M499" s="238"/>
    </row>
    <row r="500" ht="12.75" customHeight="1">
      <c r="A500" s="238"/>
      <c r="B500" s="235"/>
      <c r="C500" s="235"/>
      <c r="D500" s="236"/>
      <c r="E500" s="235"/>
      <c r="F500" s="235"/>
      <c r="G500" s="237"/>
      <c r="H500" s="235"/>
      <c r="I500" s="235"/>
      <c r="J500" s="235"/>
      <c r="K500" s="66"/>
      <c r="L500" s="238"/>
      <c r="M500" s="238"/>
    </row>
    <row r="501" ht="12.75" customHeight="1">
      <c r="A501" s="238"/>
      <c r="B501" s="235"/>
      <c r="C501" s="235"/>
      <c r="D501" s="236"/>
      <c r="E501" s="235"/>
      <c r="F501" s="235"/>
      <c r="G501" s="237"/>
      <c r="H501" s="235"/>
      <c r="I501" s="235"/>
      <c r="J501" s="235"/>
      <c r="K501" s="66"/>
      <c r="L501" s="238"/>
      <c r="M501" s="238"/>
    </row>
    <row r="502" ht="12.75" customHeight="1">
      <c r="A502" s="238"/>
      <c r="B502" s="235"/>
      <c r="C502" s="235"/>
      <c r="D502" s="236"/>
      <c r="E502" s="235"/>
      <c r="F502" s="235"/>
      <c r="G502" s="237"/>
      <c r="H502" s="235"/>
      <c r="I502" s="235"/>
      <c r="J502" s="235"/>
      <c r="K502" s="66"/>
      <c r="L502" s="238"/>
      <c r="M502" s="238"/>
    </row>
    <row r="503" ht="12.75" customHeight="1">
      <c r="A503" s="238"/>
      <c r="B503" s="235"/>
      <c r="C503" s="235"/>
      <c r="D503" s="236"/>
      <c r="E503" s="235"/>
      <c r="F503" s="235"/>
      <c r="G503" s="237"/>
      <c r="H503" s="235"/>
      <c r="I503" s="235"/>
      <c r="J503" s="235"/>
      <c r="K503" s="66"/>
      <c r="L503" s="238"/>
      <c r="M503" s="238"/>
    </row>
    <row r="504" ht="12.75" customHeight="1">
      <c r="A504" s="238"/>
      <c r="B504" s="235"/>
      <c r="C504" s="235"/>
      <c r="D504" s="236"/>
      <c r="E504" s="235"/>
      <c r="F504" s="235"/>
      <c r="G504" s="237"/>
      <c r="H504" s="235"/>
      <c r="I504" s="235"/>
      <c r="J504" s="235"/>
      <c r="K504" s="66"/>
      <c r="L504" s="238"/>
      <c r="M504" s="238"/>
    </row>
    <row r="505" ht="12.75" customHeight="1">
      <c r="A505" s="238"/>
      <c r="B505" s="235"/>
      <c r="C505" s="235"/>
      <c r="D505" s="236"/>
      <c r="E505" s="235"/>
      <c r="F505" s="235"/>
      <c r="G505" s="237"/>
      <c r="H505" s="235"/>
      <c r="I505" s="235"/>
      <c r="J505" s="235"/>
      <c r="K505" s="66"/>
      <c r="L505" s="238"/>
      <c r="M505" s="238"/>
    </row>
    <row r="506" ht="12.75" customHeight="1">
      <c r="A506" s="238"/>
      <c r="B506" s="235"/>
      <c r="C506" s="235"/>
      <c r="D506" s="236"/>
      <c r="E506" s="235"/>
      <c r="F506" s="235"/>
      <c r="G506" s="237"/>
      <c r="H506" s="235"/>
      <c r="I506" s="235"/>
      <c r="J506" s="235"/>
      <c r="K506" s="66"/>
      <c r="L506" s="238"/>
      <c r="M506" s="238"/>
    </row>
    <row r="507" ht="12.75" customHeight="1">
      <c r="A507" s="238"/>
      <c r="B507" s="235"/>
      <c r="C507" s="235"/>
      <c r="D507" s="236"/>
      <c r="E507" s="235"/>
      <c r="F507" s="235"/>
      <c r="G507" s="237"/>
      <c r="H507" s="235"/>
      <c r="I507" s="235"/>
      <c r="J507" s="235"/>
      <c r="K507" s="66"/>
      <c r="L507" s="238"/>
      <c r="M507" s="238"/>
    </row>
    <row r="508" ht="12.75" customHeight="1">
      <c r="A508" s="238"/>
      <c r="B508" s="235"/>
      <c r="C508" s="235"/>
      <c r="D508" s="236"/>
      <c r="E508" s="235"/>
      <c r="F508" s="235"/>
      <c r="G508" s="237"/>
      <c r="H508" s="235"/>
      <c r="I508" s="235"/>
      <c r="J508" s="235"/>
      <c r="K508" s="66"/>
      <c r="L508" s="238"/>
      <c r="M508" s="238"/>
    </row>
    <row r="509" ht="12.75" customHeight="1">
      <c r="A509" s="238"/>
      <c r="B509" s="235"/>
      <c r="C509" s="235"/>
      <c r="D509" s="236"/>
      <c r="E509" s="235"/>
      <c r="F509" s="235"/>
      <c r="G509" s="237"/>
      <c r="H509" s="235"/>
      <c r="I509" s="235"/>
      <c r="J509" s="235"/>
      <c r="K509" s="66"/>
      <c r="L509" s="238"/>
      <c r="M509" s="238"/>
    </row>
    <row r="510" ht="12.75" customHeight="1">
      <c r="A510" s="238"/>
      <c r="B510" s="235"/>
      <c r="C510" s="235"/>
      <c r="D510" s="236"/>
      <c r="E510" s="235"/>
      <c r="F510" s="235"/>
      <c r="G510" s="237"/>
      <c r="H510" s="235"/>
      <c r="I510" s="235"/>
      <c r="J510" s="235"/>
      <c r="K510" s="66"/>
      <c r="L510" s="238"/>
      <c r="M510" s="238"/>
    </row>
    <row r="511" ht="12.75" customHeight="1">
      <c r="A511" s="238"/>
      <c r="B511" s="235"/>
      <c r="C511" s="235"/>
      <c r="D511" s="236"/>
      <c r="E511" s="235"/>
      <c r="F511" s="235"/>
      <c r="G511" s="237"/>
      <c r="H511" s="235"/>
      <c r="I511" s="235"/>
      <c r="J511" s="235"/>
      <c r="K511" s="66"/>
      <c r="L511" s="238"/>
      <c r="M511" s="238"/>
    </row>
    <row r="512" ht="12.75" customHeight="1">
      <c r="A512" s="238"/>
      <c r="B512" s="235"/>
      <c r="C512" s="235"/>
      <c r="D512" s="236"/>
      <c r="E512" s="235"/>
      <c r="F512" s="235"/>
      <c r="G512" s="237"/>
      <c r="H512" s="235"/>
      <c r="I512" s="235"/>
      <c r="J512" s="235"/>
      <c r="K512" s="66"/>
      <c r="L512" s="238"/>
      <c r="M512" s="238"/>
    </row>
    <row r="513" ht="12.75" customHeight="1">
      <c r="A513" s="238"/>
      <c r="B513" s="235"/>
      <c r="C513" s="235"/>
      <c r="D513" s="236"/>
      <c r="E513" s="235"/>
      <c r="F513" s="235"/>
      <c r="G513" s="237"/>
      <c r="H513" s="235"/>
      <c r="I513" s="235"/>
      <c r="J513" s="235"/>
      <c r="K513" s="66"/>
      <c r="L513" s="238"/>
      <c r="M513" s="238"/>
    </row>
    <row r="514" ht="12.75" customHeight="1">
      <c r="A514" s="238"/>
      <c r="B514" s="235"/>
      <c r="C514" s="235"/>
      <c r="D514" s="236"/>
      <c r="E514" s="235"/>
      <c r="F514" s="235"/>
      <c r="G514" s="237"/>
      <c r="H514" s="235"/>
      <c r="I514" s="235"/>
      <c r="J514" s="235"/>
      <c r="K514" s="66"/>
      <c r="L514" s="238"/>
      <c r="M514" s="238"/>
    </row>
    <row r="515" ht="12.75" customHeight="1">
      <c r="A515" s="238"/>
      <c r="B515" s="235"/>
      <c r="C515" s="235"/>
      <c r="D515" s="236"/>
      <c r="E515" s="235"/>
      <c r="F515" s="235"/>
      <c r="G515" s="237"/>
      <c r="H515" s="235"/>
      <c r="I515" s="235"/>
      <c r="J515" s="235"/>
      <c r="K515" s="66"/>
      <c r="L515" s="238"/>
      <c r="M515" s="238"/>
    </row>
    <row r="516" ht="12.75" customHeight="1">
      <c r="A516" s="238"/>
      <c r="B516" s="235"/>
      <c r="C516" s="235"/>
      <c r="D516" s="236"/>
      <c r="E516" s="235"/>
      <c r="F516" s="235"/>
      <c r="G516" s="237"/>
      <c r="H516" s="235"/>
      <c r="I516" s="235"/>
      <c r="J516" s="235"/>
      <c r="K516" s="66"/>
      <c r="L516" s="238"/>
      <c r="M516" s="238"/>
    </row>
    <row r="517" ht="12.75" customHeight="1">
      <c r="A517" s="238"/>
      <c r="B517" s="235"/>
      <c r="C517" s="235"/>
      <c r="D517" s="236"/>
      <c r="E517" s="235"/>
      <c r="F517" s="235"/>
      <c r="G517" s="237"/>
      <c r="H517" s="235"/>
      <c r="I517" s="235"/>
      <c r="J517" s="235"/>
      <c r="K517" s="66"/>
      <c r="L517" s="238"/>
      <c r="M517" s="238"/>
    </row>
    <row r="518" ht="12.75" customHeight="1">
      <c r="A518" s="238"/>
      <c r="B518" s="235"/>
      <c r="C518" s="235"/>
      <c r="D518" s="236"/>
      <c r="E518" s="235"/>
      <c r="F518" s="235"/>
      <c r="G518" s="237"/>
      <c r="H518" s="235"/>
      <c r="I518" s="235"/>
      <c r="J518" s="235"/>
      <c r="K518" s="66"/>
      <c r="L518" s="238"/>
      <c r="M518" s="238"/>
    </row>
    <row r="519" ht="12.75" customHeight="1">
      <c r="A519" s="238"/>
      <c r="B519" s="235"/>
      <c r="C519" s="235"/>
      <c r="D519" s="236"/>
      <c r="E519" s="235"/>
      <c r="F519" s="235"/>
      <c r="G519" s="237"/>
      <c r="H519" s="235"/>
      <c r="I519" s="235"/>
      <c r="J519" s="235"/>
      <c r="K519" s="66"/>
      <c r="L519" s="238"/>
      <c r="M519" s="238"/>
    </row>
    <row r="520" ht="12.75" customHeight="1">
      <c r="A520" s="238"/>
      <c r="B520" s="235"/>
      <c r="C520" s="235"/>
      <c r="D520" s="236"/>
      <c r="E520" s="235"/>
      <c r="F520" s="235"/>
      <c r="G520" s="237"/>
      <c r="H520" s="235"/>
      <c r="I520" s="235"/>
      <c r="J520" s="235"/>
      <c r="K520" s="66"/>
      <c r="L520" s="238"/>
      <c r="M520" s="238"/>
    </row>
    <row r="521" ht="12.75" customHeight="1">
      <c r="A521" s="238"/>
      <c r="B521" s="235"/>
      <c r="C521" s="235"/>
      <c r="D521" s="236"/>
      <c r="E521" s="235"/>
      <c r="F521" s="235"/>
      <c r="G521" s="237"/>
      <c r="H521" s="235"/>
      <c r="I521" s="235"/>
      <c r="J521" s="235"/>
      <c r="K521" s="66"/>
      <c r="L521" s="238"/>
      <c r="M521" s="238"/>
    </row>
    <row r="522" ht="12.75" customHeight="1">
      <c r="A522" s="238"/>
      <c r="B522" s="235"/>
      <c r="C522" s="235"/>
      <c r="D522" s="236"/>
      <c r="E522" s="235"/>
      <c r="F522" s="235"/>
      <c r="G522" s="237"/>
      <c r="H522" s="235"/>
      <c r="I522" s="235"/>
      <c r="J522" s="235"/>
      <c r="K522" s="66"/>
      <c r="L522" s="238"/>
      <c r="M522" s="238"/>
    </row>
    <row r="523" ht="12.75" customHeight="1">
      <c r="A523" s="238"/>
      <c r="B523" s="235"/>
      <c r="C523" s="235"/>
      <c r="D523" s="236"/>
      <c r="E523" s="235"/>
      <c r="F523" s="235"/>
      <c r="G523" s="237"/>
      <c r="H523" s="235"/>
      <c r="I523" s="235"/>
      <c r="J523" s="235"/>
      <c r="K523" s="66"/>
      <c r="L523" s="238"/>
      <c r="M523" s="238"/>
    </row>
    <row r="524" ht="12.75" customHeight="1">
      <c r="A524" s="238"/>
      <c r="B524" s="235"/>
      <c r="C524" s="235"/>
      <c r="D524" s="236"/>
      <c r="E524" s="235"/>
      <c r="F524" s="235"/>
      <c r="G524" s="237"/>
      <c r="H524" s="235"/>
      <c r="I524" s="235"/>
      <c r="J524" s="235"/>
      <c r="K524" s="66"/>
      <c r="L524" s="238"/>
      <c r="M524" s="238"/>
    </row>
    <row r="525" ht="12.75" customHeight="1">
      <c r="A525" s="238"/>
      <c r="B525" s="235"/>
      <c r="C525" s="235"/>
      <c r="D525" s="236"/>
      <c r="E525" s="235"/>
      <c r="F525" s="235"/>
      <c r="G525" s="237"/>
      <c r="H525" s="235"/>
      <c r="I525" s="235"/>
      <c r="J525" s="235"/>
      <c r="K525" s="66"/>
      <c r="L525" s="238"/>
      <c r="M525" s="238"/>
    </row>
    <row r="526" ht="12.75" customHeight="1">
      <c r="A526" s="238"/>
      <c r="B526" s="235"/>
      <c r="C526" s="235"/>
      <c r="D526" s="236"/>
      <c r="E526" s="235"/>
      <c r="F526" s="235"/>
      <c r="G526" s="237"/>
      <c r="H526" s="235"/>
      <c r="I526" s="235"/>
      <c r="J526" s="235"/>
      <c r="K526" s="66"/>
      <c r="L526" s="238"/>
      <c r="M526" s="238"/>
    </row>
    <row r="527" ht="12.75" customHeight="1">
      <c r="A527" s="238"/>
      <c r="B527" s="235"/>
      <c r="C527" s="235"/>
      <c r="D527" s="236"/>
      <c r="E527" s="235"/>
      <c r="F527" s="235"/>
      <c r="G527" s="237"/>
      <c r="H527" s="235"/>
      <c r="I527" s="235"/>
      <c r="J527" s="235"/>
      <c r="K527" s="66"/>
      <c r="L527" s="238"/>
      <c r="M527" s="238"/>
    </row>
    <row r="528" ht="12.75" customHeight="1">
      <c r="A528" s="238"/>
      <c r="B528" s="235"/>
      <c r="C528" s="235"/>
      <c r="D528" s="236"/>
      <c r="E528" s="235"/>
      <c r="F528" s="235"/>
      <c r="G528" s="237"/>
      <c r="H528" s="235"/>
      <c r="I528" s="235"/>
      <c r="J528" s="235"/>
      <c r="K528" s="66"/>
      <c r="L528" s="238"/>
      <c r="M528" s="238"/>
    </row>
    <row r="529" ht="12.75" customHeight="1">
      <c r="A529" s="238"/>
      <c r="B529" s="235"/>
      <c r="C529" s="235"/>
      <c r="D529" s="236"/>
      <c r="E529" s="235"/>
      <c r="F529" s="235"/>
      <c r="G529" s="237"/>
      <c r="H529" s="235"/>
      <c r="I529" s="235"/>
      <c r="J529" s="235"/>
      <c r="K529" s="66"/>
      <c r="L529" s="238"/>
      <c r="M529" s="238"/>
    </row>
    <row r="530" ht="12.75" customHeight="1">
      <c r="A530" s="238"/>
      <c r="B530" s="235"/>
      <c r="C530" s="235"/>
      <c r="D530" s="236"/>
      <c r="E530" s="235"/>
      <c r="F530" s="235"/>
      <c r="G530" s="237"/>
      <c r="H530" s="235"/>
      <c r="I530" s="235"/>
      <c r="J530" s="235"/>
      <c r="K530" s="66"/>
      <c r="L530" s="238"/>
      <c r="M530" s="238"/>
    </row>
    <row r="531" ht="12.75" customHeight="1">
      <c r="A531" s="238"/>
      <c r="B531" s="235"/>
      <c r="C531" s="235"/>
      <c r="D531" s="236"/>
      <c r="E531" s="235"/>
      <c r="F531" s="235"/>
      <c r="G531" s="237"/>
      <c r="H531" s="235"/>
      <c r="I531" s="235"/>
      <c r="J531" s="235"/>
      <c r="K531" s="66"/>
      <c r="L531" s="238"/>
      <c r="M531" s="238"/>
    </row>
    <row r="532" ht="12.75" customHeight="1">
      <c r="A532" s="238"/>
      <c r="B532" s="235"/>
      <c r="C532" s="235"/>
      <c r="D532" s="236"/>
      <c r="E532" s="235"/>
      <c r="F532" s="235"/>
      <c r="G532" s="237"/>
      <c r="H532" s="235"/>
      <c r="I532" s="235"/>
      <c r="J532" s="235"/>
      <c r="K532" s="66"/>
      <c r="L532" s="238"/>
      <c r="M532" s="238"/>
    </row>
    <row r="533" ht="12.75" customHeight="1">
      <c r="A533" s="238"/>
      <c r="B533" s="235"/>
      <c r="C533" s="235"/>
      <c r="D533" s="236"/>
      <c r="E533" s="235"/>
      <c r="F533" s="235"/>
      <c r="G533" s="237"/>
      <c r="H533" s="235"/>
      <c r="I533" s="235"/>
      <c r="J533" s="235"/>
      <c r="K533" s="66"/>
      <c r="L533" s="238"/>
      <c r="M533" s="238"/>
    </row>
    <row r="534" ht="12.75" customHeight="1">
      <c r="A534" s="238"/>
      <c r="B534" s="235"/>
      <c r="C534" s="235"/>
      <c r="D534" s="236"/>
      <c r="E534" s="235"/>
      <c r="F534" s="235"/>
      <c r="G534" s="237"/>
      <c r="H534" s="235"/>
      <c r="I534" s="235"/>
      <c r="J534" s="235"/>
      <c r="K534" s="66"/>
      <c r="L534" s="238"/>
      <c r="M534" s="238"/>
    </row>
    <row r="535" ht="12.75" customHeight="1">
      <c r="A535" s="238"/>
      <c r="B535" s="235"/>
      <c r="C535" s="235"/>
      <c r="D535" s="236"/>
      <c r="E535" s="235"/>
      <c r="F535" s="235"/>
      <c r="G535" s="237"/>
      <c r="H535" s="235"/>
      <c r="I535" s="235"/>
      <c r="J535" s="235"/>
      <c r="K535" s="66"/>
      <c r="L535" s="238"/>
      <c r="M535" s="238"/>
    </row>
    <row r="536" ht="12.75" customHeight="1">
      <c r="A536" s="238"/>
      <c r="B536" s="235"/>
      <c r="C536" s="235"/>
      <c r="D536" s="236"/>
      <c r="E536" s="235"/>
      <c r="F536" s="235"/>
      <c r="G536" s="237"/>
      <c r="H536" s="235"/>
      <c r="I536" s="235"/>
      <c r="J536" s="235"/>
      <c r="K536" s="66"/>
      <c r="L536" s="238"/>
      <c r="M536" s="238"/>
    </row>
    <row r="537" ht="12.75" customHeight="1">
      <c r="A537" s="238"/>
      <c r="B537" s="235"/>
      <c r="C537" s="235"/>
      <c r="D537" s="236"/>
      <c r="E537" s="235"/>
      <c r="F537" s="235"/>
      <c r="G537" s="237"/>
      <c r="H537" s="235"/>
      <c r="I537" s="235"/>
      <c r="J537" s="235"/>
      <c r="K537" s="66"/>
      <c r="L537" s="238"/>
      <c r="M537" s="238"/>
    </row>
    <row r="538" ht="12.75" customHeight="1">
      <c r="A538" s="238"/>
      <c r="B538" s="235"/>
      <c r="C538" s="235"/>
      <c r="D538" s="236"/>
      <c r="E538" s="235"/>
      <c r="F538" s="235"/>
      <c r="G538" s="237"/>
      <c r="H538" s="235"/>
      <c r="I538" s="235"/>
      <c r="J538" s="235"/>
      <c r="K538" s="66"/>
      <c r="L538" s="238"/>
      <c r="M538" s="238"/>
    </row>
    <row r="539" ht="12.75" customHeight="1">
      <c r="A539" s="238"/>
      <c r="B539" s="235"/>
      <c r="C539" s="235"/>
      <c r="D539" s="236"/>
      <c r="E539" s="235"/>
      <c r="F539" s="235"/>
      <c r="G539" s="237"/>
      <c r="H539" s="235"/>
      <c r="I539" s="235"/>
      <c r="J539" s="235"/>
      <c r="K539" s="66"/>
      <c r="L539" s="238"/>
      <c r="M539" s="238"/>
    </row>
    <row r="540" ht="12.75" customHeight="1">
      <c r="A540" s="238"/>
      <c r="B540" s="235"/>
      <c r="C540" s="235"/>
      <c r="D540" s="236"/>
      <c r="E540" s="235"/>
      <c r="F540" s="235"/>
      <c r="G540" s="237"/>
      <c r="H540" s="235"/>
      <c r="I540" s="235"/>
      <c r="J540" s="235"/>
      <c r="K540" s="66"/>
      <c r="L540" s="238"/>
      <c r="M540" s="238"/>
    </row>
    <row r="541" ht="12.75" customHeight="1">
      <c r="A541" s="238"/>
      <c r="B541" s="235"/>
      <c r="C541" s="235"/>
      <c r="D541" s="236"/>
      <c r="E541" s="235"/>
      <c r="F541" s="235"/>
      <c r="G541" s="237"/>
      <c r="H541" s="235"/>
      <c r="I541" s="235"/>
      <c r="J541" s="235"/>
      <c r="K541" s="66"/>
      <c r="L541" s="238"/>
      <c r="M541" s="238"/>
    </row>
    <row r="542" ht="12.75" customHeight="1">
      <c r="A542" s="238"/>
      <c r="B542" s="235"/>
      <c r="C542" s="235"/>
      <c r="D542" s="236"/>
      <c r="E542" s="235"/>
      <c r="F542" s="235"/>
      <c r="G542" s="237"/>
      <c r="H542" s="235"/>
      <c r="I542" s="235"/>
      <c r="J542" s="235"/>
      <c r="K542" s="66"/>
      <c r="L542" s="238"/>
      <c r="M542" s="238"/>
    </row>
    <row r="543" ht="12.75" customHeight="1">
      <c r="A543" s="238"/>
      <c r="B543" s="235"/>
      <c r="C543" s="235"/>
      <c r="D543" s="236"/>
      <c r="E543" s="235"/>
      <c r="F543" s="235"/>
      <c r="G543" s="237"/>
      <c r="H543" s="235"/>
      <c r="I543" s="235"/>
      <c r="J543" s="235"/>
      <c r="K543" s="66"/>
      <c r="L543" s="238"/>
      <c r="M543" s="238"/>
    </row>
    <row r="544" ht="12.75" customHeight="1">
      <c r="A544" s="238"/>
      <c r="B544" s="235"/>
      <c r="C544" s="235"/>
      <c r="D544" s="236"/>
      <c r="E544" s="235"/>
      <c r="F544" s="235"/>
      <c r="G544" s="237"/>
      <c r="H544" s="235"/>
      <c r="I544" s="235"/>
      <c r="J544" s="235"/>
      <c r="K544" s="66"/>
      <c r="L544" s="238"/>
      <c r="M544" s="238"/>
    </row>
    <row r="545" ht="12.75" customHeight="1">
      <c r="A545" s="238"/>
      <c r="B545" s="235"/>
      <c r="C545" s="235"/>
      <c r="D545" s="236"/>
      <c r="E545" s="235"/>
      <c r="F545" s="235"/>
      <c r="G545" s="237"/>
      <c r="H545" s="235"/>
      <c r="I545" s="235"/>
      <c r="J545" s="235"/>
      <c r="K545" s="66"/>
      <c r="L545" s="238"/>
      <c r="M545" s="238"/>
    </row>
    <row r="546" ht="12.75" customHeight="1">
      <c r="A546" s="238"/>
      <c r="B546" s="235"/>
      <c r="C546" s="235"/>
      <c r="D546" s="236"/>
      <c r="E546" s="235"/>
      <c r="F546" s="235"/>
      <c r="G546" s="237"/>
      <c r="H546" s="235"/>
      <c r="I546" s="235"/>
      <c r="J546" s="235"/>
      <c r="K546" s="66"/>
      <c r="L546" s="238"/>
      <c r="M546" s="238"/>
    </row>
    <row r="547" ht="12.75" customHeight="1">
      <c r="A547" s="238"/>
      <c r="B547" s="235"/>
      <c r="C547" s="235"/>
      <c r="D547" s="236"/>
      <c r="E547" s="235"/>
      <c r="F547" s="235"/>
      <c r="G547" s="237"/>
      <c r="H547" s="235"/>
      <c r="I547" s="235"/>
      <c r="J547" s="235"/>
      <c r="K547" s="66"/>
      <c r="L547" s="238"/>
      <c r="M547" s="238"/>
    </row>
    <row r="548" ht="12.75" customHeight="1">
      <c r="A548" s="238"/>
      <c r="B548" s="235"/>
      <c r="C548" s="235"/>
      <c r="D548" s="236"/>
      <c r="E548" s="235"/>
      <c r="F548" s="235"/>
      <c r="G548" s="237"/>
      <c r="H548" s="235"/>
      <c r="I548" s="235"/>
      <c r="J548" s="235"/>
      <c r="K548" s="66"/>
      <c r="L548" s="238"/>
      <c r="M548" s="238"/>
    </row>
    <row r="549" ht="12.75" customHeight="1">
      <c r="A549" s="238"/>
      <c r="B549" s="235"/>
      <c r="C549" s="235"/>
      <c r="D549" s="236"/>
      <c r="E549" s="235"/>
      <c r="F549" s="235"/>
      <c r="G549" s="237"/>
      <c r="H549" s="235"/>
      <c r="I549" s="235"/>
      <c r="J549" s="235"/>
      <c r="K549" s="66"/>
      <c r="L549" s="238"/>
      <c r="M549" s="238"/>
    </row>
    <row r="550" ht="12.75" customHeight="1">
      <c r="A550" s="238"/>
      <c r="B550" s="235"/>
      <c r="C550" s="235"/>
      <c r="D550" s="236"/>
      <c r="E550" s="235"/>
      <c r="F550" s="235"/>
      <c r="G550" s="237"/>
      <c r="H550" s="235"/>
      <c r="I550" s="235"/>
      <c r="J550" s="235"/>
      <c r="K550" s="66"/>
      <c r="L550" s="238"/>
      <c r="M550" s="238"/>
    </row>
    <row r="551" ht="12.75" customHeight="1">
      <c r="A551" s="238"/>
      <c r="B551" s="235"/>
      <c r="C551" s="235"/>
      <c r="D551" s="236"/>
      <c r="E551" s="235"/>
      <c r="F551" s="235"/>
      <c r="G551" s="237"/>
      <c r="H551" s="235"/>
      <c r="I551" s="235"/>
      <c r="J551" s="235"/>
      <c r="K551" s="66"/>
      <c r="L551" s="238"/>
      <c r="M551" s="238"/>
    </row>
    <row r="552" ht="12.75" customHeight="1">
      <c r="A552" s="238"/>
      <c r="B552" s="235"/>
      <c r="C552" s="235"/>
      <c r="D552" s="236"/>
      <c r="E552" s="235"/>
      <c r="F552" s="235"/>
      <c r="G552" s="237"/>
      <c r="H552" s="235"/>
      <c r="I552" s="235"/>
      <c r="J552" s="235"/>
      <c r="K552" s="66"/>
      <c r="L552" s="238"/>
      <c r="M552" s="238"/>
    </row>
    <row r="553" ht="12.75" customHeight="1">
      <c r="A553" s="238"/>
      <c r="B553" s="235"/>
      <c r="C553" s="235"/>
      <c r="D553" s="236"/>
      <c r="E553" s="235"/>
      <c r="F553" s="235"/>
      <c r="G553" s="237"/>
      <c r="H553" s="235"/>
      <c r="I553" s="235"/>
      <c r="J553" s="235"/>
      <c r="K553" s="66"/>
      <c r="L553" s="238"/>
      <c r="M553" s="238"/>
    </row>
    <row r="554" ht="12.75" customHeight="1">
      <c r="A554" s="238"/>
      <c r="B554" s="235"/>
      <c r="C554" s="235"/>
      <c r="D554" s="236"/>
      <c r="E554" s="235"/>
      <c r="F554" s="235"/>
      <c r="G554" s="237"/>
      <c r="H554" s="235"/>
      <c r="I554" s="235"/>
      <c r="J554" s="235"/>
      <c r="K554" s="66"/>
      <c r="L554" s="238"/>
      <c r="M554" s="238"/>
    </row>
    <row r="555" ht="12.75" customHeight="1">
      <c r="A555" s="238"/>
      <c r="B555" s="235"/>
      <c r="C555" s="235"/>
      <c r="D555" s="236"/>
      <c r="E555" s="235"/>
      <c r="F555" s="235"/>
      <c r="G555" s="237"/>
      <c r="H555" s="235"/>
      <c r="I555" s="235"/>
      <c r="J555" s="235"/>
      <c r="K555" s="66"/>
      <c r="L555" s="238"/>
      <c r="M555" s="238"/>
    </row>
    <row r="556" ht="12.75" customHeight="1">
      <c r="A556" s="238"/>
      <c r="B556" s="235"/>
      <c r="C556" s="235"/>
      <c r="D556" s="236"/>
      <c r="E556" s="235"/>
      <c r="F556" s="235"/>
      <c r="G556" s="237"/>
      <c r="H556" s="235"/>
      <c r="I556" s="235"/>
      <c r="J556" s="235"/>
      <c r="K556" s="66"/>
      <c r="L556" s="238"/>
      <c r="M556" s="238"/>
    </row>
    <row r="557" ht="12.75" customHeight="1">
      <c r="A557" s="238"/>
      <c r="B557" s="235"/>
      <c r="C557" s="235"/>
      <c r="D557" s="236"/>
      <c r="E557" s="235"/>
      <c r="F557" s="235"/>
      <c r="G557" s="237"/>
      <c r="H557" s="235"/>
      <c r="I557" s="235"/>
      <c r="J557" s="235"/>
      <c r="K557" s="66"/>
      <c r="L557" s="238"/>
      <c r="M557" s="238"/>
    </row>
    <row r="558" ht="12.75" customHeight="1">
      <c r="A558" s="238"/>
      <c r="B558" s="235"/>
      <c r="C558" s="235"/>
      <c r="D558" s="236"/>
      <c r="E558" s="235"/>
      <c r="F558" s="235"/>
      <c r="G558" s="237"/>
      <c r="H558" s="235"/>
      <c r="I558" s="235"/>
      <c r="J558" s="235"/>
      <c r="K558" s="66"/>
      <c r="L558" s="238"/>
      <c r="M558" s="238"/>
    </row>
    <row r="559" ht="12.75" customHeight="1">
      <c r="A559" s="238"/>
      <c r="B559" s="235"/>
      <c r="C559" s="235"/>
      <c r="D559" s="236"/>
      <c r="E559" s="235"/>
      <c r="F559" s="235"/>
      <c r="G559" s="237"/>
      <c r="H559" s="235"/>
      <c r="I559" s="235"/>
      <c r="J559" s="235"/>
      <c r="K559" s="66"/>
      <c r="L559" s="238"/>
      <c r="M559" s="238"/>
    </row>
    <row r="560" ht="12.75" customHeight="1">
      <c r="A560" s="238"/>
      <c r="B560" s="235"/>
      <c r="C560" s="235"/>
      <c r="D560" s="236"/>
      <c r="E560" s="235"/>
      <c r="F560" s="235"/>
      <c r="G560" s="237"/>
      <c r="H560" s="235"/>
      <c r="I560" s="235"/>
      <c r="J560" s="235"/>
      <c r="K560" s="66"/>
      <c r="L560" s="238"/>
      <c r="M560" s="238"/>
    </row>
    <row r="561" ht="12.75" customHeight="1">
      <c r="A561" s="238"/>
      <c r="B561" s="235"/>
      <c r="C561" s="235"/>
      <c r="D561" s="236"/>
      <c r="E561" s="235"/>
      <c r="F561" s="235"/>
      <c r="G561" s="237"/>
      <c r="H561" s="235"/>
      <c r="I561" s="235"/>
      <c r="J561" s="235"/>
      <c r="K561" s="66"/>
      <c r="L561" s="238"/>
      <c r="M561" s="238"/>
    </row>
    <row r="562" ht="12.75" customHeight="1">
      <c r="A562" s="238"/>
      <c r="B562" s="235"/>
      <c r="C562" s="235"/>
      <c r="D562" s="236"/>
      <c r="E562" s="235"/>
      <c r="F562" s="235"/>
      <c r="G562" s="237"/>
      <c r="H562" s="235"/>
      <c r="I562" s="235"/>
      <c r="J562" s="235"/>
      <c r="K562" s="66"/>
      <c r="L562" s="238"/>
      <c r="M562" s="238"/>
    </row>
    <row r="563" ht="12.75" customHeight="1">
      <c r="A563" s="238"/>
      <c r="B563" s="235"/>
      <c r="C563" s="235"/>
      <c r="D563" s="236"/>
      <c r="E563" s="235"/>
      <c r="F563" s="235"/>
      <c r="G563" s="237"/>
      <c r="H563" s="235"/>
      <c r="I563" s="235"/>
      <c r="J563" s="235"/>
      <c r="K563" s="66"/>
      <c r="L563" s="238"/>
      <c r="M563" s="238"/>
    </row>
    <row r="564" ht="12.75" customHeight="1">
      <c r="A564" s="238"/>
      <c r="B564" s="235"/>
      <c r="C564" s="235"/>
      <c r="D564" s="236"/>
      <c r="E564" s="235"/>
      <c r="F564" s="235"/>
      <c r="G564" s="237"/>
      <c r="H564" s="235"/>
      <c r="I564" s="235"/>
      <c r="J564" s="235"/>
      <c r="K564" s="66"/>
      <c r="L564" s="238"/>
      <c r="M564" s="238"/>
    </row>
    <row r="565" ht="12.75" customHeight="1">
      <c r="A565" s="238"/>
      <c r="B565" s="235"/>
      <c r="C565" s="235"/>
      <c r="D565" s="236"/>
      <c r="E565" s="235"/>
      <c r="F565" s="235"/>
      <c r="G565" s="237"/>
      <c r="H565" s="235"/>
      <c r="I565" s="235"/>
      <c r="J565" s="235"/>
      <c r="K565" s="66"/>
      <c r="L565" s="238"/>
      <c r="M565" s="238"/>
    </row>
    <row r="566" ht="12.75" customHeight="1">
      <c r="A566" s="238"/>
      <c r="B566" s="235"/>
      <c r="C566" s="235"/>
      <c r="D566" s="236"/>
      <c r="E566" s="235"/>
      <c r="F566" s="235"/>
      <c r="G566" s="237"/>
      <c r="H566" s="235"/>
      <c r="I566" s="235"/>
      <c r="J566" s="235"/>
      <c r="K566" s="66"/>
      <c r="L566" s="238"/>
      <c r="M566" s="238"/>
    </row>
    <row r="567" ht="12.75" customHeight="1">
      <c r="A567" s="238"/>
      <c r="B567" s="235"/>
      <c r="C567" s="235"/>
      <c r="D567" s="236"/>
      <c r="E567" s="235"/>
      <c r="F567" s="235"/>
      <c r="G567" s="237"/>
      <c r="H567" s="235"/>
      <c r="I567" s="235"/>
      <c r="J567" s="235"/>
      <c r="K567" s="66"/>
      <c r="L567" s="238"/>
      <c r="M567" s="238"/>
    </row>
    <row r="568" ht="12.75" customHeight="1">
      <c r="A568" s="238"/>
      <c r="B568" s="235"/>
      <c r="C568" s="235"/>
      <c r="D568" s="236"/>
      <c r="E568" s="235"/>
      <c r="F568" s="235"/>
      <c r="G568" s="237"/>
      <c r="H568" s="235"/>
      <c r="I568" s="235"/>
      <c r="J568" s="235"/>
      <c r="K568" s="66"/>
      <c r="L568" s="238"/>
      <c r="M568" s="238"/>
    </row>
    <row r="569" ht="12.75" customHeight="1">
      <c r="A569" s="238"/>
      <c r="B569" s="235"/>
      <c r="C569" s="235"/>
      <c r="D569" s="236"/>
      <c r="E569" s="235"/>
      <c r="F569" s="235"/>
      <c r="G569" s="237"/>
      <c r="H569" s="235"/>
      <c r="I569" s="235"/>
      <c r="J569" s="235"/>
      <c r="K569" s="66"/>
      <c r="L569" s="238"/>
      <c r="M569" s="238"/>
    </row>
    <row r="570" ht="12.75" customHeight="1">
      <c r="A570" s="238"/>
      <c r="B570" s="235"/>
      <c r="C570" s="235"/>
      <c r="D570" s="236"/>
      <c r="E570" s="235"/>
      <c r="F570" s="235"/>
      <c r="G570" s="237"/>
      <c r="H570" s="235"/>
      <c r="I570" s="235"/>
      <c r="J570" s="235"/>
      <c r="K570" s="66"/>
      <c r="L570" s="238"/>
      <c r="M570" s="238"/>
    </row>
    <row r="571" ht="12.75" customHeight="1">
      <c r="A571" s="238"/>
      <c r="B571" s="235"/>
      <c r="C571" s="235"/>
      <c r="D571" s="236"/>
      <c r="E571" s="235"/>
      <c r="F571" s="235"/>
      <c r="G571" s="237"/>
      <c r="H571" s="235"/>
      <c r="I571" s="235"/>
      <c r="J571" s="235"/>
      <c r="K571" s="66"/>
      <c r="L571" s="238"/>
      <c r="M571" s="238"/>
    </row>
    <row r="572" ht="12.75" customHeight="1">
      <c r="A572" s="238"/>
      <c r="B572" s="235"/>
      <c r="C572" s="235"/>
      <c r="D572" s="236"/>
      <c r="E572" s="235"/>
      <c r="F572" s="235"/>
      <c r="G572" s="237"/>
      <c r="H572" s="235"/>
      <c r="I572" s="235"/>
      <c r="J572" s="235"/>
      <c r="K572" s="66"/>
      <c r="L572" s="238"/>
      <c r="M572" s="238"/>
    </row>
    <row r="573" ht="12.75" customHeight="1">
      <c r="A573" s="238"/>
      <c r="B573" s="235"/>
      <c r="C573" s="235"/>
      <c r="D573" s="236"/>
      <c r="E573" s="235"/>
      <c r="F573" s="235"/>
      <c r="G573" s="237"/>
      <c r="H573" s="235"/>
      <c r="I573" s="235"/>
      <c r="J573" s="235"/>
      <c r="K573" s="66"/>
      <c r="L573" s="238"/>
      <c r="M573" s="238"/>
    </row>
    <row r="574" ht="12.75" customHeight="1">
      <c r="A574" s="238"/>
      <c r="B574" s="235"/>
      <c r="C574" s="235"/>
      <c r="D574" s="236"/>
      <c r="E574" s="235"/>
      <c r="F574" s="235"/>
      <c r="G574" s="237"/>
      <c r="H574" s="235"/>
      <c r="I574" s="235"/>
      <c r="J574" s="235"/>
      <c r="K574" s="66"/>
      <c r="L574" s="238"/>
      <c r="M574" s="238"/>
    </row>
    <row r="575" ht="12.75" customHeight="1">
      <c r="A575" s="238"/>
      <c r="B575" s="235"/>
      <c r="C575" s="235"/>
      <c r="D575" s="236"/>
      <c r="E575" s="235"/>
      <c r="F575" s="235"/>
      <c r="G575" s="237"/>
      <c r="H575" s="235"/>
      <c r="I575" s="235"/>
      <c r="J575" s="235"/>
      <c r="K575" s="66"/>
      <c r="L575" s="238"/>
      <c r="M575" s="238"/>
    </row>
    <row r="576" ht="12.75" customHeight="1">
      <c r="A576" s="238"/>
      <c r="B576" s="235"/>
      <c r="C576" s="235"/>
      <c r="D576" s="236"/>
      <c r="E576" s="235"/>
      <c r="F576" s="235"/>
      <c r="G576" s="237"/>
      <c r="H576" s="235"/>
      <c r="I576" s="235"/>
      <c r="J576" s="235"/>
      <c r="K576" s="66"/>
      <c r="L576" s="238"/>
      <c r="M576" s="238"/>
    </row>
    <row r="577" ht="12.75" customHeight="1">
      <c r="A577" s="238"/>
      <c r="B577" s="235"/>
      <c r="C577" s="235"/>
      <c r="D577" s="236"/>
      <c r="E577" s="235"/>
      <c r="F577" s="235"/>
      <c r="G577" s="237"/>
      <c r="H577" s="235"/>
      <c r="I577" s="235"/>
      <c r="J577" s="235"/>
      <c r="K577" s="66"/>
      <c r="L577" s="238"/>
      <c r="M577" s="238"/>
    </row>
    <row r="578" ht="12.75" customHeight="1">
      <c r="A578" s="238"/>
      <c r="B578" s="235"/>
      <c r="C578" s="235"/>
      <c r="D578" s="236"/>
      <c r="E578" s="235"/>
      <c r="F578" s="235"/>
      <c r="G578" s="237"/>
      <c r="H578" s="235"/>
      <c r="I578" s="235"/>
      <c r="J578" s="235"/>
      <c r="K578" s="66"/>
      <c r="L578" s="238"/>
      <c r="M578" s="238"/>
    </row>
    <row r="579" ht="12.75" customHeight="1">
      <c r="A579" s="238"/>
      <c r="B579" s="235"/>
      <c r="C579" s="235"/>
      <c r="D579" s="236"/>
      <c r="E579" s="235"/>
      <c r="F579" s="235"/>
      <c r="G579" s="237"/>
      <c r="H579" s="235"/>
      <c r="I579" s="235"/>
      <c r="J579" s="235"/>
      <c r="K579" s="66"/>
      <c r="L579" s="238"/>
      <c r="M579" s="238"/>
    </row>
    <row r="580" ht="12.75" customHeight="1">
      <c r="A580" s="238"/>
      <c r="B580" s="235"/>
      <c r="C580" s="235"/>
      <c r="D580" s="236"/>
      <c r="E580" s="235"/>
      <c r="F580" s="235"/>
      <c r="G580" s="237"/>
      <c r="H580" s="235"/>
      <c r="I580" s="235"/>
      <c r="J580" s="235"/>
      <c r="K580" s="66"/>
      <c r="L580" s="238"/>
      <c r="M580" s="238"/>
    </row>
    <row r="581" ht="12.75" customHeight="1">
      <c r="A581" s="238"/>
      <c r="B581" s="235"/>
      <c r="C581" s="235"/>
      <c r="D581" s="236"/>
      <c r="E581" s="235"/>
      <c r="F581" s="235"/>
      <c r="G581" s="237"/>
      <c r="H581" s="235"/>
      <c r="I581" s="235"/>
      <c r="J581" s="235"/>
      <c r="K581" s="66"/>
      <c r="L581" s="238"/>
      <c r="M581" s="238"/>
    </row>
    <row r="582" ht="12.75" customHeight="1">
      <c r="A582" s="238"/>
      <c r="B582" s="235"/>
      <c r="C582" s="235"/>
      <c r="D582" s="236"/>
      <c r="E582" s="235"/>
      <c r="F582" s="235"/>
      <c r="G582" s="237"/>
      <c r="H582" s="235"/>
      <c r="I582" s="235"/>
      <c r="J582" s="235"/>
      <c r="K582" s="66"/>
      <c r="L582" s="238"/>
      <c r="M582" s="238"/>
    </row>
    <row r="583" ht="12.75" customHeight="1">
      <c r="A583" s="238"/>
      <c r="B583" s="235"/>
      <c r="C583" s="235"/>
      <c r="D583" s="236"/>
      <c r="E583" s="235"/>
      <c r="F583" s="235"/>
      <c r="G583" s="237"/>
      <c r="H583" s="235"/>
      <c r="I583" s="235"/>
      <c r="J583" s="235"/>
      <c r="K583" s="66"/>
      <c r="L583" s="238"/>
      <c r="M583" s="238"/>
    </row>
    <row r="584" ht="12.75" customHeight="1">
      <c r="A584" s="238"/>
      <c r="B584" s="235"/>
      <c r="C584" s="235"/>
      <c r="D584" s="236"/>
      <c r="E584" s="235"/>
      <c r="F584" s="235"/>
      <c r="G584" s="237"/>
      <c r="H584" s="235"/>
      <c r="I584" s="235"/>
      <c r="J584" s="235"/>
      <c r="K584" s="66"/>
      <c r="L584" s="238"/>
      <c r="M584" s="238"/>
    </row>
    <row r="585" ht="12.75" customHeight="1">
      <c r="A585" s="238"/>
      <c r="B585" s="235"/>
      <c r="C585" s="235"/>
      <c r="D585" s="236"/>
      <c r="E585" s="235"/>
      <c r="F585" s="235"/>
      <c r="G585" s="237"/>
      <c r="H585" s="235"/>
      <c r="I585" s="235"/>
      <c r="J585" s="235"/>
      <c r="K585" s="66"/>
      <c r="L585" s="238"/>
      <c r="M585" s="238"/>
    </row>
    <row r="586" ht="12.75" customHeight="1">
      <c r="A586" s="238"/>
      <c r="B586" s="235"/>
      <c r="C586" s="235"/>
      <c r="D586" s="236"/>
      <c r="E586" s="235"/>
      <c r="F586" s="235"/>
      <c r="G586" s="237"/>
      <c r="H586" s="235"/>
      <c r="I586" s="235"/>
      <c r="J586" s="235"/>
      <c r="K586" s="66"/>
      <c r="L586" s="238"/>
      <c r="M586" s="238"/>
    </row>
    <row r="587" ht="12.75" customHeight="1">
      <c r="A587" s="238"/>
      <c r="B587" s="235"/>
      <c r="C587" s="235"/>
      <c r="D587" s="236"/>
      <c r="E587" s="235"/>
      <c r="F587" s="235"/>
      <c r="G587" s="237"/>
      <c r="H587" s="235"/>
      <c r="I587" s="235"/>
      <c r="J587" s="235"/>
      <c r="K587" s="66"/>
      <c r="L587" s="238"/>
      <c r="M587" s="238"/>
    </row>
    <row r="588" ht="12.75" customHeight="1">
      <c r="A588" s="238"/>
      <c r="B588" s="235"/>
      <c r="C588" s="235"/>
      <c r="D588" s="236"/>
      <c r="E588" s="235"/>
      <c r="F588" s="235"/>
      <c r="G588" s="237"/>
      <c r="H588" s="235"/>
      <c r="I588" s="235"/>
      <c r="J588" s="235"/>
      <c r="K588" s="66"/>
      <c r="L588" s="238"/>
      <c r="M588" s="238"/>
    </row>
    <row r="589" ht="12.75" customHeight="1">
      <c r="A589" s="238"/>
      <c r="B589" s="235"/>
      <c r="C589" s="235"/>
      <c r="D589" s="236"/>
      <c r="E589" s="235"/>
      <c r="F589" s="235"/>
      <c r="G589" s="237"/>
      <c r="H589" s="235"/>
      <c r="I589" s="235"/>
      <c r="J589" s="235"/>
      <c r="K589" s="66"/>
      <c r="L589" s="238"/>
      <c r="M589" s="238"/>
    </row>
    <row r="590" ht="12.75" customHeight="1">
      <c r="A590" s="238"/>
      <c r="B590" s="235"/>
      <c r="C590" s="235"/>
      <c r="D590" s="236"/>
      <c r="E590" s="235"/>
      <c r="F590" s="235"/>
      <c r="G590" s="237"/>
      <c r="H590" s="235"/>
      <c r="I590" s="235"/>
      <c r="J590" s="235"/>
      <c r="K590" s="66"/>
      <c r="L590" s="238"/>
      <c r="M590" s="238"/>
    </row>
    <row r="591" ht="12.75" customHeight="1">
      <c r="A591" s="238"/>
      <c r="B591" s="235"/>
      <c r="C591" s="235"/>
      <c r="D591" s="236"/>
      <c r="E591" s="235"/>
      <c r="F591" s="235"/>
      <c r="G591" s="237"/>
      <c r="H591" s="235"/>
      <c r="I591" s="235"/>
      <c r="J591" s="235"/>
      <c r="K591" s="66"/>
      <c r="L591" s="238"/>
      <c r="M591" s="238"/>
    </row>
    <row r="592" ht="12.75" customHeight="1">
      <c r="A592" s="238"/>
      <c r="B592" s="235"/>
      <c r="C592" s="235"/>
      <c r="D592" s="236"/>
      <c r="E592" s="235"/>
      <c r="F592" s="235"/>
      <c r="G592" s="237"/>
      <c r="H592" s="235"/>
      <c r="I592" s="235"/>
      <c r="J592" s="235"/>
      <c r="K592" s="66"/>
      <c r="L592" s="238"/>
      <c r="M592" s="238"/>
    </row>
    <row r="593" ht="12.75" customHeight="1">
      <c r="A593" s="238"/>
      <c r="B593" s="235"/>
      <c r="C593" s="235"/>
      <c r="D593" s="236"/>
      <c r="E593" s="235"/>
      <c r="F593" s="235"/>
      <c r="G593" s="237"/>
      <c r="H593" s="235"/>
      <c r="I593" s="235"/>
      <c r="J593" s="235"/>
      <c r="K593" s="66"/>
      <c r="L593" s="238"/>
      <c r="M593" s="238"/>
    </row>
    <row r="594" ht="12.75" customHeight="1">
      <c r="A594" s="238"/>
      <c r="B594" s="235"/>
      <c r="C594" s="235"/>
      <c r="D594" s="236"/>
      <c r="E594" s="235"/>
      <c r="F594" s="235"/>
      <c r="G594" s="237"/>
      <c r="H594" s="235"/>
      <c r="I594" s="235"/>
      <c r="J594" s="235"/>
      <c r="K594" s="66"/>
      <c r="L594" s="238"/>
      <c r="M594" s="238"/>
    </row>
    <row r="595" ht="12.75" customHeight="1">
      <c r="A595" s="238"/>
      <c r="B595" s="235"/>
      <c r="C595" s="235"/>
      <c r="D595" s="236"/>
      <c r="E595" s="235"/>
      <c r="F595" s="235"/>
      <c r="G595" s="237"/>
      <c r="H595" s="235"/>
      <c r="I595" s="235"/>
      <c r="J595" s="235"/>
      <c r="K595" s="66"/>
      <c r="L595" s="238"/>
      <c r="M595" s="238"/>
    </row>
    <row r="596" ht="12.75" customHeight="1">
      <c r="A596" s="238"/>
      <c r="B596" s="235"/>
      <c r="C596" s="235"/>
      <c r="D596" s="236"/>
      <c r="E596" s="235"/>
      <c r="F596" s="235"/>
      <c r="G596" s="237"/>
      <c r="H596" s="235"/>
      <c r="I596" s="235"/>
      <c r="J596" s="235"/>
      <c r="K596" s="66"/>
      <c r="L596" s="238"/>
      <c r="M596" s="238"/>
    </row>
    <row r="597" ht="12.75" customHeight="1">
      <c r="A597" s="238"/>
      <c r="B597" s="235"/>
      <c r="C597" s="235"/>
      <c r="D597" s="236"/>
      <c r="E597" s="235"/>
      <c r="F597" s="235"/>
      <c r="G597" s="237"/>
      <c r="H597" s="235"/>
      <c r="I597" s="235"/>
      <c r="J597" s="235"/>
      <c r="K597" s="66"/>
      <c r="L597" s="238"/>
      <c r="M597" s="238"/>
    </row>
    <row r="598" ht="12.75" customHeight="1">
      <c r="A598" s="238"/>
      <c r="B598" s="235"/>
      <c r="C598" s="235"/>
      <c r="D598" s="236"/>
      <c r="E598" s="235"/>
      <c r="F598" s="235"/>
      <c r="G598" s="237"/>
      <c r="H598" s="235"/>
      <c r="I598" s="235"/>
      <c r="J598" s="235"/>
      <c r="K598" s="66"/>
      <c r="L598" s="238"/>
      <c r="M598" s="238"/>
    </row>
    <row r="599" ht="12.75" customHeight="1">
      <c r="A599" s="238"/>
      <c r="B599" s="235"/>
      <c r="C599" s="235"/>
      <c r="D599" s="236"/>
      <c r="E599" s="235"/>
      <c r="F599" s="235"/>
      <c r="G599" s="237"/>
      <c r="H599" s="235"/>
      <c r="I599" s="235"/>
      <c r="J599" s="235"/>
      <c r="K599" s="66"/>
      <c r="L599" s="238"/>
      <c r="M599" s="238"/>
    </row>
    <row r="600" ht="12.75" customHeight="1">
      <c r="A600" s="238"/>
      <c r="B600" s="235"/>
      <c r="C600" s="235"/>
      <c r="D600" s="236"/>
      <c r="E600" s="235"/>
      <c r="F600" s="235"/>
      <c r="G600" s="237"/>
      <c r="H600" s="235"/>
      <c r="I600" s="235"/>
      <c r="J600" s="235"/>
      <c r="K600" s="66"/>
      <c r="L600" s="238"/>
      <c r="M600" s="238"/>
    </row>
    <row r="601" ht="12.75" customHeight="1">
      <c r="A601" s="238"/>
      <c r="B601" s="235"/>
      <c r="C601" s="235"/>
      <c r="D601" s="236"/>
      <c r="E601" s="235"/>
      <c r="F601" s="235"/>
      <c r="G601" s="237"/>
      <c r="H601" s="235"/>
      <c r="I601" s="235"/>
      <c r="J601" s="235"/>
      <c r="K601" s="66"/>
      <c r="L601" s="238"/>
      <c r="M601" s="238"/>
    </row>
    <row r="602" ht="12.75" customHeight="1">
      <c r="A602" s="238"/>
      <c r="B602" s="235"/>
      <c r="C602" s="235"/>
      <c r="D602" s="236"/>
      <c r="E602" s="235"/>
      <c r="F602" s="235"/>
      <c r="G602" s="237"/>
      <c r="H602" s="235"/>
      <c r="I602" s="235"/>
      <c r="J602" s="235"/>
      <c r="K602" s="66"/>
      <c r="L602" s="238"/>
      <c r="M602" s="238"/>
    </row>
    <row r="603" ht="12.75" customHeight="1">
      <c r="A603" s="238"/>
      <c r="B603" s="235"/>
      <c r="C603" s="235"/>
      <c r="D603" s="236"/>
      <c r="E603" s="235"/>
      <c r="F603" s="235"/>
      <c r="G603" s="237"/>
      <c r="H603" s="235"/>
      <c r="I603" s="235"/>
      <c r="J603" s="235"/>
      <c r="K603" s="66"/>
      <c r="L603" s="238"/>
      <c r="M603" s="238"/>
    </row>
    <row r="604" ht="12.75" customHeight="1">
      <c r="A604" s="238"/>
      <c r="B604" s="235"/>
      <c r="C604" s="235"/>
      <c r="D604" s="236"/>
      <c r="E604" s="235"/>
      <c r="F604" s="235"/>
      <c r="G604" s="237"/>
      <c r="H604" s="235"/>
      <c r="I604" s="235"/>
      <c r="J604" s="235"/>
      <c r="K604" s="66"/>
      <c r="L604" s="238"/>
      <c r="M604" s="238"/>
    </row>
    <row r="605" ht="12.75" customHeight="1">
      <c r="A605" s="238"/>
      <c r="B605" s="235"/>
      <c r="C605" s="235"/>
      <c r="D605" s="236"/>
      <c r="E605" s="235"/>
      <c r="F605" s="235"/>
      <c r="G605" s="237"/>
      <c r="H605" s="235"/>
      <c r="I605" s="235"/>
      <c r="J605" s="235"/>
      <c r="K605" s="66"/>
      <c r="L605" s="238"/>
      <c r="M605" s="238"/>
    </row>
    <row r="606" ht="12.75" customHeight="1">
      <c r="A606" s="238"/>
      <c r="B606" s="235"/>
      <c r="C606" s="235"/>
      <c r="D606" s="236"/>
      <c r="E606" s="235"/>
      <c r="F606" s="235"/>
      <c r="G606" s="237"/>
      <c r="H606" s="235"/>
      <c r="I606" s="235"/>
      <c r="J606" s="235"/>
      <c r="K606" s="66"/>
      <c r="L606" s="238"/>
      <c r="M606" s="238"/>
    </row>
    <row r="607" ht="12.75" customHeight="1">
      <c r="A607" s="238"/>
      <c r="B607" s="235"/>
      <c r="C607" s="235"/>
      <c r="D607" s="236"/>
      <c r="E607" s="235"/>
      <c r="F607" s="235"/>
      <c r="G607" s="237"/>
      <c r="H607" s="235"/>
      <c r="I607" s="235"/>
      <c r="J607" s="235"/>
      <c r="K607" s="66"/>
      <c r="L607" s="238"/>
      <c r="M607" s="238"/>
    </row>
    <row r="608" ht="12.75" customHeight="1">
      <c r="A608" s="238"/>
      <c r="B608" s="235"/>
      <c r="C608" s="235"/>
      <c r="D608" s="236"/>
      <c r="E608" s="235"/>
      <c r="F608" s="235"/>
      <c r="G608" s="237"/>
      <c r="H608" s="235"/>
      <c r="I608" s="235"/>
      <c r="J608" s="235"/>
      <c r="K608" s="66"/>
      <c r="L608" s="238"/>
      <c r="M608" s="238"/>
    </row>
    <row r="609" ht="12.75" customHeight="1">
      <c r="A609" s="238"/>
      <c r="B609" s="235"/>
      <c r="C609" s="235"/>
      <c r="D609" s="236"/>
      <c r="E609" s="235"/>
      <c r="F609" s="235"/>
      <c r="G609" s="237"/>
      <c r="H609" s="235"/>
      <c r="I609" s="235"/>
      <c r="J609" s="235"/>
      <c r="K609" s="66"/>
      <c r="L609" s="238"/>
      <c r="M609" s="238"/>
    </row>
    <row r="610" ht="12.75" customHeight="1">
      <c r="A610" s="238"/>
      <c r="B610" s="235"/>
      <c r="C610" s="235"/>
      <c r="D610" s="236"/>
      <c r="E610" s="235"/>
      <c r="F610" s="235"/>
      <c r="G610" s="237"/>
      <c r="H610" s="235"/>
      <c r="I610" s="235"/>
      <c r="J610" s="235"/>
      <c r="K610" s="66"/>
      <c r="L610" s="238"/>
      <c r="M610" s="238"/>
    </row>
    <row r="611" ht="12.75" customHeight="1">
      <c r="A611" s="238"/>
      <c r="B611" s="235"/>
      <c r="C611" s="235"/>
      <c r="D611" s="236"/>
      <c r="E611" s="235"/>
      <c r="F611" s="235"/>
      <c r="G611" s="237"/>
      <c r="H611" s="235"/>
      <c r="I611" s="235"/>
      <c r="J611" s="235"/>
      <c r="K611" s="66"/>
      <c r="L611" s="238"/>
      <c r="M611" s="238"/>
    </row>
    <row r="612" ht="12.75" customHeight="1">
      <c r="A612" s="238"/>
      <c r="B612" s="235"/>
      <c r="C612" s="235"/>
      <c r="D612" s="236"/>
      <c r="E612" s="235"/>
      <c r="F612" s="235"/>
      <c r="G612" s="237"/>
      <c r="H612" s="235"/>
      <c r="I612" s="235"/>
      <c r="J612" s="235"/>
      <c r="K612" s="66"/>
      <c r="L612" s="238"/>
      <c r="M612" s="238"/>
    </row>
    <row r="613" ht="12.75" customHeight="1">
      <c r="A613" s="238"/>
      <c r="B613" s="235"/>
      <c r="C613" s="235"/>
      <c r="D613" s="236"/>
      <c r="E613" s="235"/>
      <c r="F613" s="235"/>
      <c r="G613" s="237"/>
      <c r="H613" s="235"/>
      <c r="I613" s="235"/>
      <c r="J613" s="235"/>
      <c r="K613" s="66"/>
      <c r="L613" s="238"/>
      <c r="M613" s="238"/>
    </row>
    <row r="614" ht="12.75" customHeight="1">
      <c r="A614" s="238"/>
      <c r="B614" s="235"/>
      <c r="C614" s="235"/>
      <c r="D614" s="236"/>
      <c r="E614" s="235"/>
      <c r="F614" s="235"/>
      <c r="G614" s="237"/>
      <c r="H614" s="235"/>
      <c r="I614" s="235"/>
      <c r="J614" s="235"/>
      <c r="K614" s="66"/>
      <c r="L614" s="238"/>
      <c r="M614" s="238"/>
    </row>
    <row r="615" ht="12.75" customHeight="1">
      <c r="A615" s="238"/>
      <c r="B615" s="235"/>
      <c r="C615" s="235"/>
      <c r="D615" s="236"/>
      <c r="E615" s="235"/>
      <c r="F615" s="235"/>
      <c r="G615" s="237"/>
      <c r="H615" s="235"/>
      <c r="I615" s="235"/>
      <c r="J615" s="235"/>
      <c r="K615" s="66"/>
      <c r="L615" s="238"/>
      <c r="M615" s="238"/>
    </row>
    <row r="616" ht="12.75" customHeight="1">
      <c r="A616" s="238"/>
      <c r="B616" s="235"/>
      <c r="C616" s="235"/>
      <c r="D616" s="236"/>
      <c r="E616" s="235"/>
      <c r="F616" s="235"/>
      <c r="G616" s="237"/>
      <c r="H616" s="235"/>
      <c r="I616" s="235"/>
      <c r="J616" s="235"/>
      <c r="K616" s="66"/>
      <c r="L616" s="238"/>
      <c r="M616" s="238"/>
    </row>
    <row r="617" ht="12.75" customHeight="1">
      <c r="A617" s="238"/>
      <c r="B617" s="235"/>
      <c r="C617" s="235"/>
      <c r="D617" s="236"/>
      <c r="E617" s="235"/>
      <c r="F617" s="235"/>
      <c r="G617" s="237"/>
      <c r="H617" s="235"/>
      <c r="I617" s="235"/>
      <c r="J617" s="235"/>
      <c r="K617" s="66"/>
      <c r="L617" s="238"/>
      <c r="M617" s="238"/>
    </row>
    <row r="618" ht="12.75" customHeight="1">
      <c r="A618" s="238"/>
      <c r="B618" s="235"/>
      <c r="C618" s="235"/>
      <c r="D618" s="236"/>
      <c r="E618" s="235"/>
      <c r="F618" s="235"/>
      <c r="G618" s="237"/>
      <c r="H618" s="235"/>
      <c r="I618" s="235"/>
      <c r="J618" s="235"/>
      <c r="K618" s="66"/>
      <c r="L618" s="238"/>
      <c r="M618" s="238"/>
    </row>
    <row r="619" ht="12.75" customHeight="1">
      <c r="A619" s="238"/>
      <c r="B619" s="235"/>
      <c r="C619" s="235"/>
      <c r="D619" s="236"/>
      <c r="E619" s="235"/>
      <c r="F619" s="235"/>
      <c r="G619" s="237"/>
      <c r="H619" s="235"/>
      <c r="I619" s="235"/>
      <c r="J619" s="235"/>
      <c r="K619" s="66"/>
      <c r="L619" s="238"/>
      <c r="M619" s="238"/>
    </row>
    <row r="620" ht="12.75" customHeight="1">
      <c r="A620" s="238"/>
      <c r="B620" s="235"/>
      <c r="C620" s="235"/>
      <c r="D620" s="236"/>
      <c r="E620" s="235"/>
      <c r="F620" s="235"/>
      <c r="G620" s="237"/>
      <c r="H620" s="235"/>
      <c r="I620" s="235"/>
      <c r="J620" s="235"/>
      <c r="K620" s="66"/>
      <c r="L620" s="238"/>
      <c r="M620" s="238"/>
    </row>
    <row r="621" ht="12.75" customHeight="1">
      <c r="A621" s="238"/>
      <c r="B621" s="235"/>
      <c r="C621" s="235"/>
      <c r="D621" s="236"/>
      <c r="E621" s="235"/>
      <c r="F621" s="235"/>
      <c r="G621" s="237"/>
      <c r="H621" s="235"/>
      <c r="I621" s="235"/>
      <c r="J621" s="235"/>
      <c r="K621" s="66"/>
      <c r="L621" s="238"/>
      <c r="M621" s="238"/>
    </row>
    <row r="622" ht="12.75" customHeight="1">
      <c r="A622" s="238"/>
      <c r="B622" s="235"/>
      <c r="C622" s="235"/>
      <c r="D622" s="236"/>
      <c r="E622" s="235"/>
      <c r="F622" s="235"/>
      <c r="G622" s="237"/>
      <c r="H622" s="235"/>
      <c r="I622" s="235"/>
      <c r="J622" s="235"/>
      <c r="K622" s="66"/>
      <c r="L622" s="238"/>
      <c r="M622" s="238"/>
    </row>
    <row r="623" ht="12.75" customHeight="1">
      <c r="A623" s="238"/>
      <c r="B623" s="235"/>
      <c r="C623" s="235"/>
      <c r="D623" s="236"/>
      <c r="E623" s="235"/>
      <c r="F623" s="235"/>
      <c r="G623" s="237"/>
      <c r="H623" s="235"/>
      <c r="I623" s="235"/>
      <c r="J623" s="235"/>
      <c r="K623" s="66"/>
      <c r="L623" s="238"/>
      <c r="M623" s="238"/>
    </row>
    <row r="624" ht="12.75" customHeight="1">
      <c r="A624" s="238"/>
      <c r="B624" s="235"/>
      <c r="C624" s="235"/>
      <c r="D624" s="236"/>
      <c r="E624" s="235"/>
      <c r="F624" s="235"/>
      <c r="G624" s="237"/>
      <c r="H624" s="235"/>
      <c r="I624" s="235"/>
      <c r="J624" s="235"/>
      <c r="K624" s="66"/>
      <c r="L624" s="238"/>
      <c r="M624" s="238"/>
    </row>
    <row r="625" ht="12.75" customHeight="1">
      <c r="A625" s="238"/>
      <c r="B625" s="235"/>
      <c r="C625" s="235"/>
      <c r="D625" s="236"/>
      <c r="E625" s="235"/>
      <c r="F625" s="235"/>
      <c r="G625" s="237"/>
      <c r="H625" s="235"/>
      <c r="I625" s="235"/>
      <c r="J625" s="235"/>
      <c r="K625" s="66"/>
      <c r="L625" s="238"/>
      <c r="M625" s="238"/>
    </row>
    <row r="626" ht="12.75" customHeight="1">
      <c r="A626" s="238"/>
      <c r="B626" s="235"/>
      <c r="C626" s="235"/>
      <c r="D626" s="236"/>
      <c r="E626" s="235"/>
      <c r="F626" s="235"/>
      <c r="G626" s="237"/>
      <c r="H626" s="235"/>
      <c r="I626" s="235"/>
      <c r="J626" s="235"/>
      <c r="K626" s="66"/>
      <c r="L626" s="238"/>
      <c r="M626" s="238"/>
    </row>
    <row r="627" ht="12.75" customHeight="1">
      <c r="A627" s="238"/>
      <c r="B627" s="235"/>
      <c r="C627" s="235"/>
      <c r="D627" s="236"/>
      <c r="E627" s="235"/>
      <c r="F627" s="235"/>
      <c r="G627" s="237"/>
      <c r="H627" s="235"/>
      <c r="I627" s="235"/>
      <c r="J627" s="235"/>
      <c r="K627" s="66"/>
      <c r="L627" s="238"/>
      <c r="M627" s="238"/>
    </row>
    <row r="628" ht="12.75" customHeight="1">
      <c r="A628" s="238"/>
      <c r="B628" s="235"/>
      <c r="C628" s="235"/>
      <c r="D628" s="236"/>
      <c r="E628" s="235"/>
      <c r="F628" s="235"/>
      <c r="G628" s="237"/>
      <c r="H628" s="235"/>
      <c r="I628" s="235"/>
      <c r="J628" s="235"/>
      <c r="K628" s="66"/>
      <c r="L628" s="238"/>
      <c r="M628" s="238"/>
    </row>
    <row r="629" ht="12.75" customHeight="1">
      <c r="A629" s="238"/>
      <c r="B629" s="235"/>
      <c r="C629" s="235"/>
      <c r="D629" s="236"/>
      <c r="E629" s="235"/>
      <c r="F629" s="235"/>
      <c r="G629" s="237"/>
      <c r="H629" s="235"/>
      <c r="I629" s="235"/>
      <c r="J629" s="235"/>
      <c r="K629" s="66"/>
      <c r="L629" s="238"/>
      <c r="M629" s="238"/>
    </row>
    <row r="630" ht="12.75" customHeight="1">
      <c r="A630" s="238"/>
      <c r="B630" s="235"/>
      <c r="C630" s="235"/>
      <c r="D630" s="236"/>
      <c r="E630" s="235"/>
      <c r="F630" s="235"/>
      <c r="G630" s="237"/>
      <c r="H630" s="235"/>
      <c r="I630" s="235"/>
      <c r="J630" s="235"/>
      <c r="K630" s="66"/>
      <c r="L630" s="238"/>
      <c r="M630" s="238"/>
    </row>
    <row r="631" ht="12.75" customHeight="1">
      <c r="A631" s="238"/>
      <c r="B631" s="235"/>
      <c r="C631" s="235"/>
      <c r="D631" s="236"/>
      <c r="E631" s="235"/>
      <c r="F631" s="235"/>
      <c r="G631" s="237"/>
      <c r="H631" s="235"/>
      <c r="I631" s="235"/>
      <c r="J631" s="235"/>
      <c r="K631" s="66"/>
      <c r="L631" s="238"/>
      <c r="M631" s="238"/>
    </row>
    <row r="632" ht="12.75" customHeight="1">
      <c r="A632" s="238"/>
      <c r="B632" s="235"/>
      <c r="C632" s="235"/>
      <c r="D632" s="236"/>
      <c r="E632" s="235"/>
      <c r="F632" s="235"/>
      <c r="G632" s="237"/>
      <c r="H632" s="235"/>
      <c r="I632" s="235"/>
      <c r="J632" s="235"/>
      <c r="K632" s="66"/>
      <c r="L632" s="238"/>
      <c r="M632" s="238"/>
    </row>
    <row r="633" ht="12.75" customHeight="1">
      <c r="A633" s="238"/>
      <c r="B633" s="235"/>
      <c r="C633" s="235"/>
      <c r="D633" s="236"/>
      <c r="E633" s="235"/>
      <c r="F633" s="235"/>
      <c r="G633" s="237"/>
      <c r="H633" s="235"/>
      <c r="I633" s="235"/>
      <c r="J633" s="235"/>
      <c r="K633" s="66"/>
      <c r="L633" s="238"/>
      <c r="M633" s="238"/>
    </row>
    <row r="634" ht="12.75" customHeight="1">
      <c r="A634" s="238"/>
      <c r="B634" s="235"/>
      <c r="C634" s="235"/>
      <c r="D634" s="236"/>
      <c r="E634" s="235"/>
      <c r="F634" s="235"/>
      <c r="G634" s="237"/>
      <c r="H634" s="235"/>
      <c r="I634" s="235"/>
      <c r="J634" s="235"/>
      <c r="K634" s="66"/>
      <c r="L634" s="238"/>
      <c r="M634" s="238"/>
    </row>
    <row r="635" ht="12.75" customHeight="1">
      <c r="A635" s="238"/>
      <c r="B635" s="235"/>
      <c r="C635" s="235"/>
      <c r="D635" s="236"/>
      <c r="E635" s="235"/>
      <c r="F635" s="235"/>
      <c r="G635" s="237"/>
      <c r="H635" s="235"/>
      <c r="I635" s="235"/>
      <c r="J635" s="235"/>
      <c r="K635" s="66"/>
      <c r="L635" s="238"/>
      <c r="M635" s="238"/>
    </row>
    <row r="636" ht="12.75" customHeight="1">
      <c r="A636" s="238"/>
      <c r="B636" s="235"/>
      <c r="C636" s="235"/>
      <c r="D636" s="236"/>
      <c r="E636" s="235"/>
      <c r="F636" s="235"/>
      <c r="G636" s="237"/>
      <c r="H636" s="235"/>
      <c r="I636" s="235"/>
      <c r="J636" s="235"/>
      <c r="K636" s="66"/>
      <c r="L636" s="238"/>
      <c r="M636" s="238"/>
    </row>
    <row r="637" ht="12.75" customHeight="1">
      <c r="A637" s="238"/>
      <c r="B637" s="235"/>
      <c r="C637" s="235"/>
      <c r="D637" s="236"/>
      <c r="E637" s="235"/>
      <c r="F637" s="235"/>
      <c r="G637" s="237"/>
      <c r="H637" s="235"/>
      <c r="I637" s="235"/>
      <c r="J637" s="235"/>
      <c r="K637" s="66"/>
      <c r="L637" s="238"/>
      <c r="M637" s="238"/>
    </row>
    <row r="638" ht="12.75" customHeight="1">
      <c r="A638" s="238"/>
      <c r="B638" s="235"/>
      <c r="C638" s="235"/>
      <c r="D638" s="236"/>
      <c r="E638" s="235"/>
      <c r="F638" s="235"/>
      <c r="G638" s="237"/>
      <c r="H638" s="235"/>
      <c r="I638" s="235"/>
      <c r="J638" s="235"/>
      <c r="K638" s="66"/>
      <c r="L638" s="238"/>
      <c r="M638" s="238"/>
    </row>
    <row r="639" ht="12.75" customHeight="1">
      <c r="A639" s="238"/>
      <c r="B639" s="235"/>
      <c r="C639" s="235"/>
      <c r="D639" s="236"/>
      <c r="E639" s="235"/>
      <c r="F639" s="235"/>
      <c r="G639" s="237"/>
      <c r="H639" s="235"/>
      <c r="I639" s="235"/>
      <c r="J639" s="235"/>
      <c r="K639" s="66"/>
      <c r="L639" s="238"/>
      <c r="M639" s="238"/>
    </row>
    <row r="640" ht="12.75" customHeight="1">
      <c r="A640" s="238"/>
      <c r="B640" s="235"/>
      <c r="C640" s="235"/>
      <c r="D640" s="236"/>
      <c r="E640" s="235"/>
      <c r="F640" s="235"/>
      <c r="G640" s="237"/>
      <c r="H640" s="235"/>
      <c r="I640" s="235"/>
      <c r="J640" s="235"/>
      <c r="K640" s="66"/>
      <c r="L640" s="238"/>
      <c r="M640" s="238"/>
    </row>
    <row r="641" ht="12.75" customHeight="1">
      <c r="A641" s="238"/>
      <c r="B641" s="235"/>
      <c r="C641" s="235"/>
      <c r="D641" s="236"/>
      <c r="E641" s="235"/>
      <c r="F641" s="235"/>
      <c r="G641" s="237"/>
      <c r="H641" s="235"/>
      <c r="I641" s="235"/>
      <c r="J641" s="235"/>
      <c r="K641" s="66"/>
      <c r="L641" s="238"/>
      <c r="M641" s="238"/>
    </row>
    <row r="642" ht="12.75" customHeight="1">
      <c r="A642" s="238"/>
      <c r="B642" s="235"/>
      <c r="C642" s="235"/>
      <c r="D642" s="236"/>
      <c r="E642" s="235"/>
      <c r="F642" s="235"/>
      <c r="G642" s="237"/>
      <c r="H642" s="235"/>
      <c r="I642" s="235"/>
      <c r="J642" s="235"/>
      <c r="K642" s="66"/>
      <c r="L642" s="238"/>
      <c r="M642" s="238"/>
    </row>
    <row r="643" ht="12.75" customHeight="1">
      <c r="A643" s="238"/>
      <c r="B643" s="235"/>
      <c r="C643" s="235"/>
      <c r="D643" s="236"/>
      <c r="E643" s="235"/>
      <c r="F643" s="235"/>
      <c r="G643" s="237"/>
      <c r="H643" s="235"/>
      <c r="I643" s="235"/>
      <c r="J643" s="235"/>
      <c r="K643" s="66"/>
      <c r="L643" s="238"/>
      <c r="M643" s="238"/>
    </row>
    <row r="644" ht="12.75" customHeight="1">
      <c r="A644" s="238"/>
      <c r="B644" s="235"/>
      <c r="C644" s="235"/>
      <c r="D644" s="236"/>
      <c r="E644" s="235"/>
      <c r="F644" s="235"/>
      <c r="G644" s="237"/>
      <c r="H644" s="235"/>
      <c r="I644" s="235"/>
      <c r="J644" s="235"/>
      <c r="K644" s="66"/>
      <c r="L644" s="238"/>
      <c r="M644" s="238"/>
    </row>
    <row r="645" ht="12.75" customHeight="1">
      <c r="A645" s="238"/>
      <c r="B645" s="235"/>
      <c r="C645" s="235"/>
      <c r="D645" s="236"/>
      <c r="E645" s="235"/>
      <c r="F645" s="235"/>
      <c r="G645" s="237"/>
      <c r="H645" s="235"/>
      <c r="I645" s="235"/>
      <c r="J645" s="235"/>
      <c r="K645" s="66"/>
      <c r="L645" s="238"/>
      <c r="M645" s="238"/>
    </row>
    <row r="646" ht="12.75" customHeight="1">
      <c r="A646" s="238"/>
      <c r="B646" s="235"/>
      <c r="C646" s="235"/>
      <c r="D646" s="236"/>
      <c r="E646" s="235"/>
      <c r="F646" s="235"/>
      <c r="G646" s="237"/>
      <c r="H646" s="235"/>
      <c r="I646" s="235"/>
      <c r="J646" s="235"/>
      <c r="K646" s="66"/>
      <c r="L646" s="238"/>
      <c r="M646" s="238"/>
    </row>
    <row r="647" ht="12.75" customHeight="1">
      <c r="A647" s="238"/>
      <c r="B647" s="235"/>
      <c r="C647" s="235"/>
      <c r="D647" s="236"/>
      <c r="E647" s="235"/>
      <c r="F647" s="235"/>
      <c r="G647" s="237"/>
      <c r="H647" s="235"/>
      <c r="I647" s="235"/>
      <c r="J647" s="235"/>
      <c r="K647" s="66"/>
      <c r="L647" s="238"/>
      <c r="M647" s="238"/>
    </row>
    <row r="648" ht="12.75" customHeight="1">
      <c r="A648" s="238"/>
      <c r="B648" s="235"/>
      <c r="C648" s="235"/>
      <c r="D648" s="236"/>
      <c r="E648" s="235"/>
      <c r="F648" s="235"/>
      <c r="G648" s="237"/>
      <c r="H648" s="235"/>
      <c r="I648" s="235"/>
      <c r="J648" s="235"/>
      <c r="K648" s="66"/>
      <c r="L648" s="238"/>
      <c r="M648" s="238"/>
    </row>
    <row r="649" ht="12.75" customHeight="1">
      <c r="A649" s="238"/>
      <c r="B649" s="235"/>
      <c r="C649" s="235"/>
      <c r="D649" s="236"/>
      <c r="E649" s="235"/>
      <c r="F649" s="235"/>
      <c r="G649" s="237"/>
      <c r="H649" s="235"/>
      <c r="I649" s="235"/>
      <c r="J649" s="235"/>
      <c r="K649" s="66"/>
      <c r="L649" s="238"/>
      <c r="M649" s="238"/>
    </row>
    <row r="650" ht="12.75" customHeight="1">
      <c r="A650" s="238"/>
      <c r="B650" s="235"/>
      <c r="C650" s="235"/>
      <c r="D650" s="236"/>
      <c r="E650" s="235"/>
      <c r="F650" s="235"/>
      <c r="G650" s="237"/>
      <c r="H650" s="235"/>
      <c r="I650" s="235"/>
      <c r="J650" s="235"/>
      <c r="K650" s="66"/>
      <c r="L650" s="238"/>
      <c r="M650" s="238"/>
    </row>
    <row r="651" ht="12.75" customHeight="1">
      <c r="A651" s="238"/>
      <c r="B651" s="235"/>
      <c r="C651" s="235"/>
      <c r="D651" s="236"/>
      <c r="E651" s="235"/>
      <c r="F651" s="235"/>
      <c r="G651" s="237"/>
      <c r="H651" s="235"/>
      <c r="I651" s="235"/>
      <c r="J651" s="235"/>
      <c r="K651" s="66"/>
      <c r="L651" s="238"/>
      <c r="M651" s="238"/>
    </row>
    <row r="652" ht="12.75" customHeight="1">
      <c r="A652" s="238"/>
      <c r="B652" s="235"/>
      <c r="C652" s="235"/>
      <c r="D652" s="236"/>
      <c r="E652" s="235"/>
      <c r="F652" s="235"/>
      <c r="G652" s="237"/>
      <c r="H652" s="235"/>
      <c r="I652" s="235"/>
      <c r="J652" s="235"/>
      <c r="K652" s="66"/>
      <c r="L652" s="238"/>
      <c r="M652" s="238"/>
    </row>
    <row r="653" ht="12.75" customHeight="1">
      <c r="A653" s="238"/>
      <c r="B653" s="235"/>
      <c r="C653" s="235"/>
      <c r="D653" s="236"/>
      <c r="E653" s="235"/>
      <c r="F653" s="235"/>
      <c r="G653" s="237"/>
      <c r="H653" s="235"/>
      <c r="I653" s="235"/>
      <c r="J653" s="235"/>
      <c r="K653" s="66"/>
      <c r="L653" s="238"/>
      <c r="M653" s="238"/>
    </row>
    <row r="654" ht="12.75" customHeight="1">
      <c r="A654" s="238"/>
      <c r="B654" s="235"/>
      <c r="C654" s="235"/>
      <c r="D654" s="236"/>
      <c r="E654" s="235"/>
      <c r="F654" s="235"/>
      <c r="G654" s="237"/>
      <c r="H654" s="235"/>
      <c r="I654" s="235"/>
      <c r="J654" s="235"/>
      <c r="K654" s="66"/>
      <c r="L654" s="238"/>
      <c r="M654" s="238"/>
    </row>
    <row r="655" ht="12.75" customHeight="1">
      <c r="A655" s="238"/>
      <c r="B655" s="235"/>
      <c r="C655" s="235"/>
      <c r="D655" s="236"/>
      <c r="E655" s="235"/>
      <c r="F655" s="235"/>
      <c r="G655" s="237"/>
      <c r="H655" s="235"/>
      <c r="I655" s="235"/>
      <c r="J655" s="235"/>
      <c r="K655" s="66"/>
      <c r="L655" s="238"/>
      <c r="M655" s="238"/>
    </row>
    <row r="656" ht="12.75" customHeight="1">
      <c r="A656" s="238"/>
      <c r="B656" s="235"/>
      <c r="C656" s="235"/>
      <c r="D656" s="236"/>
      <c r="E656" s="235"/>
      <c r="F656" s="235"/>
      <c r="G656" s="237"/>
      <c r="H656" s="235"/>
      <c r="I656" s="235"/>
      <c r="J656" s="235"/>
      <c r="K656" s="66"/>
      <c r="L656" s="238"/>
      <c r="M656" s="238"/>
    </row>
    <row r="657" ht="12.75" customHeight="1">
      <c r="A657" s="238"/>
      <c r="B657" s="235"/>
      <c r="C657" s="235"/>
      <c r="D657" s="236"/>
      <c r="E657" s="235"/>
      <c r="F657" s="235"/>
      <c r="G657" s="237"/>
      <c r="H657" s="235"/>
      <c r="I657" s="235"/>
      <c r="J657" s="235"/>
      <c r="K657" s="66"/>
      <c r="L657" s="238"/>
      <c r="M657" s="238"/>
    </row>
    <row r="658" ht="12.75" customHeight="1">
      <c r="A658" s="238"/>
      <c r="B658" s="235"/>
      <c r="C658" s="235"/>
      <c r="D658" s="236"/>
      <c r="E658" s="235"/>
      <c r="F658" s="235"/>
      <c r="G658" s="237"/>
      <c r="H658" s="235"/>
      <c r="I658" s="235"/>
      <c r="J658" s="235"/>
      <c r="K658" s="66"/>
      <c r="L658" s="238"/>
      <c r="M658" s="238"/>
    </row>
    <row r="659" ht="12.75" customHeight="1">
      <c r="A659" s="238"/>
      <c r="B659" s="235"/>
      <c r="C659" s="235"/>
      <c r="D659" s="236"/>
      <c r="E659" s="235"/>
      <c r="F659" s="235"/>
      <c r="G659" s="237"/>
      <c r="H659" s="235"/>
      <c r="I659" s="235"/>
      <c r="J659" s="235"/>
      <c r="K659" s="66"/>
      <c r="L659" s="238"/>
      <c r="M659" s="238"/>
    </row>
    <row r="660" ht="12.75" customHeight="1">
      <c r="A660" s="238"/>
      <c r="B660" s="235"/>
      <c r="C660" s="235"/>
      <c r="D660" s="236"/>
      <c r="E660" s="235"/>
      <c r="F660" s="235"/>
      <c r="G660" s="237"/>
      <c r="H660" s="235"/>
      <c r="I660" s="235"/>
      <c r="J660" s="235"/>
      <c r="K660" s="66"/>
      <c r="L660" s="238"/>
      <c r="M660" s="238"/>
    </row>
    <row r="661" ht="12.75" customHeight="1">
      <c r="A661" s="238"/>
      <c r="B661" s="235"/>
      <c r="C661" s="235"/>
      <c r="D661" s="236"/>
      <c r="E661" s="235"/>
      <c r="F661" s="235"/>
      <c r="G661" s="237"/>
      <c r="H661" s="235"/>
      <c r="I661" s="235"/>
      <c r="J661" s="235"/>
      <c r="K661" s="66"/>
      <c r="L661" s="238"/>
      <c r="M661" s="238"/>
    </row>
    <row r="662" ht="12.75" customHeight="1">
      <c r="A662" s="238"/>
      <c r="B662" s="235"/>
      <c r="C662" s="235"/>
      <c r="D662" s="236"/>
      <c r="E662" s="235"/>
      <c r="F662" s="235"/>
      <c r="G662" s="237"/>
      <c r="H662" s="235"/>
      <c r="I662" s="235"/>
      <c r="J662" s="235"/>
      <c r="K662" s="66"/>
      <c r="L662" s="238"/>
      <c r="M662" s="238"/>
    </row>
    <row r="663" ht="12.75" customHeight="1">
      <c r="A663" s="238"/>
      <c r="B663" s="235"/>
      <c r="C663" s="235"/>
      <c r="D663" s="236"/>
      <c r="E663" s="235"/>
      <c r="F663" s="235"/>
      <c r="G663" s="237"/>
      <c r="H663" s="235"/>
      <c r="I663" s="235"/>
      <c r="J663" s="235"/>
      <c r="K663" s="66"/>
      <c r="L663" s="238"/>
      <c r="M663" s="238"/>
    </row>
    <row r="664" ht="12.75" customHeight="1">
      <c r="A664" s="238"/>
      <c r="B664" s="235"/>
      <c r="C664" s="235"/>
      <c r="D664" s="236"/>
      <c r="E664" s="235"/>
      <c r="F664" s="235"/>
      <c r="G664" s="237"/>
      <c r="H664" s="235"/>
      <c r="I664" s="235"/>
      <c r="J664" s="235"/>
      <c r="K664" s="66"/>
      <c r="L664" s="238"/>
      <c r="M664" s="238"/>
    </row>
    <row r="665" ht="12.75" customHeight="1">
      <c r="A665" s="238"/>
      <c r="B665" s="235"/>
      <c r="C665" s="235"/>
      <c r="D665" s="236"/>
      <c r="E665" s="235"/>
      <c r="F665" s="235"/>
      <c r="G665" s="237"/>
      <c r="H665" s="235"/>
      <c r="I665" s="235"/>
      <c r="J665" s="235"/>
      <c r="K665" s="66"/>
      <c r="L665" s="238"/>
      <c r="M665" s="238"/>
    </row>
    <row r="666" ht="12.75" customHeight="1">
      <c r="A666" s="238"/>
      <c r="B666" s="235"/>
      <c r="C666" s="235"/>
      <c r="D666" s="236"/>
      <c r="E666" s="235"/>
      <c r="F666" s="235"/>
      <c r="G666" s="237"/>
      <c r="H666" s="235"/>
      <c r="I666" s="235"/>
      <c r="J666" s="235"/>
      <c r="K666" s="66"/>
      <c r="L666" s="238"/>
      <c r="M666" s="238"/>
    </row>
    <row r="667" ht="12.75" customHeight="1">
      <c r="A667" s="238"/>
      <c r="B667" s="235"/>
      <c r="C667" s="235"/>
      <c r="D667" s="236"/>
      <c r="E667" s="235"/>
      <c r="F667" s="235"/>
      <c r="G667" s="237"/>
      <c r="H667" s="235"/>
      <c r="I667" s="235"/>
      <c r="J667" s="235"/>
      <c r="K667" s="66"/>
      <c r="L667" s="238"/>
      <c r="M667" s="238"/>
    </row>
    <row r="668" ht="12.75" customHeight="1">
      <c r="A668" s="238"/>
      <c r="B668" s="235"/>
      <c r="C668" s="235"/>
      <c r="D668" s="236"/>
      <c r="E668" s="235"/>
      <c r="F668" s="235"/>
      <c r="G668" s="237"/>
      <c r="H668" s="235"/>
      <c r="I668" s="235"/>
      <c r="J668" s="235"/>
      <c r="K668" s="66"/>
      <c r="L668" s="238"/>
      <c r="M668" s="238"/>
    </row>
    <row r="669" ht="12.75" customHeight="1">
      <c r="A669" s="238"/>
      <c r="B669" s="235"/>
      <c r="C669" s="235"/>
      <c r="D669" s="236"/>
      <c r="E669" s="235"/>
      <c r="F669" s="235"/>
      <c r="G669" s="237"/>
      <c r="H669" s="235"/>
      <c r="I669" s="235"/>
      <c r="J669" s="235"/>
      <c r="K669" s="66"/>
      <c r="L669" s="238"/>
      <c r="M669" s="238"/>
    </row>
    <row r="670" ht="12.75" customHeight="1">
      <c r="A670" s="238"/>
      <c r="B670" s="235"/>
      <c r="C670" s="235"/>
      <c r="D670" s="236"/>
      <c r="E670" s="235"/>
      <c r="F670" s="235"/>
      <c r="G670" s="237"/>
      <c r="H670" s="235"/>
      <c r="I670" s="235"/>
      <c r="J670" s="235"/>
      <c r="K670" s="66"/>
      <c r="L670" s="238"/>
      <c r="M670" s="238"/>
    </row>
    <row r="671" ht="12.75" customHeight="1">
      <c r="A671" s="238"/>
      <c r="B671" s="235"/>
      <c r="C671" s="235"/>
      <c r="D671" s="236"/>
      <c r="E671" s="235"/>
      <c r="F671" s="235"/>
      <c r="G671" s="237"/>
      <c r="H671" s="235"/>
      <c r="I671" s="235"/>
      <c r="J671" s="235"/>
      <c r="K671" s="66"/>
      <c r="L671" s="238"/>
      <c r="M671" s="238"/>
    </row>
    <row r="672" ht="12.75" customHeight="1">
      <c r="A672" s="238"/>
      <c r="B672" s="235"/>
      <c r="C672" s="235"/>
      <c r="D672" s="236"/>
      <c r="E672" s="235"/>
      <c r="F672" s="235"/>
      <c r="G672" s="237"/>
      <c r="H672" s="235"/>
      <c r="I672" s="235"/>
      <c r="J672" s="235"/>
      <c r="K672" s="66"/>
      <c r="L672" s="238"/>
      <c r="M672" s="238"/>
    </row>
    <row r="673" ht="12.75" customHeight="1">
      <c r="A673" s="238"/>
      <c r="B673" s="235"/>
      <c r="C673" s="235"/>
      <c r="D673" s="236"/>
      <c r="E673" s="235"/>
      <c r="F673" s="235"/>
      <c r="G673" s="237"/>
      <c r="H673" s="235"/>
      <c r="I673" s="235"/>
      <c r="J673" s="235"/>
      <c r="K673" s="66"/>
      <c r="L673" s="238"/>
      <c r="M673" s="238"/>
    </row>
    <row r="674" ht="12.75" customHeight="1">
      <c r="A674" s="238"/>
      <c r="B674" s="235"/>
      <c r="C674" s="235"/>
      <c r="D674" s="236"/>
      <c r="E674" s="235"/>
      <c r="F674" s="235"/>
      <c r="G674" s="237"/>
      <c r="H674" s="235"/>
      <c r="I674" s="235"/>
      <c r="J674" s="235"/>
      <c r="K674" s="66"/>
      <c r="L674" s="238"/>
      <c r="M674" s="238"/>
    </row>
    <row r="675" ht="12.75" customHeight="1">
      <c r="A675" s="238"/>
      <c r="B675" s="235"/>
      <c r="C675" s="235"/>
      <c r="D675" s="236"/>
      <c r="E675" s="235"/>
      <c r="F675" s="235"/>
      <c r="G675" s="237"/>
      <c r="H675" s="235"/>
      <c r="I675" s="235"/>
      <c r="J675" s="235"/>
      <c r="K675" s="66"/>
      <c r="L675" s="238"/>
      <c r="M675" s="238"/>
    </row>
    <row r="676" ht="12.75" customHeight="1">
      <c r="A676" s="238"/>
      <c r="B676" s="235"/>
      <c r="C676" s="235"/>
      <c r="D676" s="236"/>
      <c r="E676" s="235"/>
      <c r="F676" s="235"/>
      <c r="G676" s="237"/>
      <c r="H676" s="235"/>
      <c r="I676" s="235"/>
      <c r="J676" s="235"/>
      <c r="K676" s="66"/>
      <c r="L676" s="238"/>
      <c r="M676" s="238"/>
    </row>
    <row r="677" ht="12.75" customHeight="1">
      <c r="A677" s="238"/>
      <c r="B677" s="235"/>
      <c r="C677" s="235"/>
      <c r="D677" s="236"/>
      <c r="E677" s="235"/>
      <c r="F677" s="235"/>
      <c r="G677" s="237"/>
      <c r="H677" s="235"/>
      <c r="I677" s="235"/>
      <c r="J677" s="235"/>
      <c r="K677" s="66"/>
      <c r="L677" s="238"/>
      <c r="M677" s="238"/>
    </row>
    <row r="678" ht="12.75" customHeight="1">
      <c r="A678" s="238"/>
      <c r="B678" s="235"/>
      <c r="C678" s="235"/>
      <c r="D678" s="236"/>
      <c r="E678" s="235"/>
      <c r="F678" s="235"/>
      <c r="G678" s="237"/>
      <c r="H678" s="235"/>
      <c r="I678" s="235"/>
      <c r="J678" s="235"/>
      <c r="K678" s="66"/>
      <c r="L678" s="238"/>
      <c r="M678" s="238"/>
    </row>
    <row r="679" ht="12.75" customHeight="1">
      <c r="A679" s="238"/>
      <c r="B679" s="235"/>
      <c r="C679" s="235"/>
      <c r="D679" s="236"/>
      <c r="E679" s="235"/>
      <c r="F679" s="235"/>
      <c r="G679" s="237"/>
      <c r="H679" s="235"/>
      <c r="I679" s="235"/>
      <c r="J679" s="235"/>
      <c r="K679" s="66"/>
      <c r="L679" s="238"/>
      <c r="M679" s="238"/>
    </row>
    <row r="680" ht="12.75" customHeight="1">
      <c r="A680" s="238"/>
      <c r="B680" s="235"/>
      <c r="C680" s="235"/>
      <c r="D680" s="236"/>
      <c r="E680" s="235"/>
      <c r="F680" s="235"/>
      <c r="G680" s="237"/>
      <c r="H680" s="235"/>
      <c r="I680" s="235"/>
      <c r="J680" s="235"/>
      <c r="K680" s="66"/>
      <c r="L680" s="238"/>
      <c r="M680" s="238"/>
    </row>
    <row r="681" ht="12.75" customHeight="1">
      <c r="A681" s="238"/>
      <c r="B681" s="235"/>
      <c r="C681" s="235"/>
      <c r="D681" s="236"/>
      <c r="E681" s="235"/>
      <c r="F681" s="235"/>
      <c r="G681" s="237"/>
      <c r="H681" s="235"/>
      <c r="I681" s="235"/>
      <c r="J681" s="235"/>
      <c r="K681" s="66"/>
      <c r="L681" s="238"/>
      <c r="M681" s="238"/>
    </row>
    <row r="682" ht="12.75" customHeight="1">
      <c r="A682" s="238"/>
      <c r="B682" s="235"/>
      <c r="C682" s="235"/>
      <c r="D682" s="236"/>
      <c r="E682" s="235"/>
      <c r="F682" s="235"/>
      <c r="G682" s="237"/>
      <c r="H682" s="235"/>
      <c r="I682" s="235"/>
      <c r="J682" s="235"/>
      <c r="K682" s="66"/>
      <c r="L682" s="238"/>
      <c r="M682" s="238"/>
    </row>
    <row r="683" ht="12.75" customHeight="1">
      <c r="A683" s="238"/>
      <c r="B683" s="235"/>
      <c r="C683" s="235"/>
      <c r="D683" s="236"/>
      <c r="E683" s="235"/>
      <c r="F683" s="235"/>
      <c r="G683" s="237"/>
      <c r="H683" s="235"/>
      <c r="I683" s="235"/>
      <c r="J683" s="235"/>
      <c r="K683" s="66"/>
      <c r="L683" s="238"/>
      <c r="M683" s="238"/>
    </row>
    <row r="684" ht="12.75" customHeight="1">
      <c r="A684" s="238"/>
      <c r="B684" s="235"/>
      <c r="C684" s="235"/>
      <c r="D684" s="236"/>
      <c r="E684" s="235"/>
      <c r="F684" s="235"/>
      <c r="G684" s="237"/>
      <c r="H684" s="235"/>
      <c r="I684" s="235"/>
      <c r="J684" s="235"/>
      <c r="K684" s="66"/>
      <c r="L684" s="238"/>
      <c r="M684" s="238"/>
    </row>
    <row r="685" ht="12.75" customHeight="1">
      <c r="A685" s="238"/>
      <c r="B685" s="235"/>
      <c r="C685" s="235"/>
      <c r="D685" s="236"/>
      <c r="E685" s="235"/>
      <c r="F685" s="235"/>
      <c r="G685" s="237"/>
      <c r="H685" s="235"/>
      <c r="I685" s="235"/>
      <c r="J685" s="235"/>
      <c r="K685" s="66"/>
      <c r="L685" s="238"/>
      <c r="M685" s="238"/>
    </row>
    <row r="686" ht="12.75" customHeight="1">
      <c r="A686" s="238"/>
      <c r="B686" s="235"/>
      <c r="C686" s="235"/>
      <c r="D686" s="236"/>
      <c r="E686" s="235"/>
      <c r="F686" s="235"/>
      <c r="G686" s="237"/>
      <c r="H686" s="235"/>
      <c r="I686" s="235"/>
      <c r="J686" s="235"/>
      <c r="K686" s="66"/>
      <c r="L686" s="238"/>
      <c r="M686" s="238"/>
    </row>
    <row r="687" ht="12.75" customHeight="1">
      <c r="A687" s="238"/>
      <c r="B687" s="235"/>
      <c r="C687" s="235"/>
      <c r="D687" s="236"/>
      <c r="E687" s="235"/>
      <c r="F687" s="235"/>
      <c r="G687" s="237"/>
      <c r="H687" s="235"/>
      <c r="I687" s="235"/>
      <c r="J687" s="235"/>
      <c r="K687" s="66"/>
      <c r="L687" s="238"/>
      <c r="M687" s="238"/>
    </row>
    <row r="688" ht="12.75" customHeight="1">
      <c r="A688" s="238"/>
      <c r="B688" s="235"/>
      <c r="C688" s="235"/>
      <c r="D688" s="236"/>
      <c r="E688" s="235"/>
      <c r="F688" s="235"/>
      <c r="G688" s="237"/>
      <c r="H688" s="235"/>
      <c r="I688" s="235"/>
      <c r="J688" s="235"/>
      <c r="K688" s="66"/>
      <c r="L688" s="238"/>
      <c r="M688" s="238"/>
    </row>
    <row r="689" ht="12.75" customHeight="1">
      <c r="A689" s="238"/>
      <c r="B689" s="235"/>
      <c r="C689" s="235"/>
      <c r="D689" s="236"/>
      <c r="E689" s="235"/>
      <c r="F689" s="235"/>
      <c r="G689" s="237"/>
      <c r="H689" s="235"/>
      <c r="I689" s="235"/>
      <c r="J689" s="235"/>
      <c r="K689" s="66"/>
      <c r="L689" s="238"/>
      <c r="M689" s="238"/>
    </row>
    <row r="690" ht="12.75" customHeight="1">
      <c r="A690" s="238"/>
      <c r="B690" s="235"/>
      <c r="C690" s="235"/>
      <c r="D690" s="236"/>
      <c r="E690" s="235"/>
      <c r="F690" s="235"/>
      <c r="G690" s="237"/>
      <c r="H690" s="235"/>
      <c r="I690" s="235"/>
      <c r="J690" s="235"/>
      <c r="K690" s="66"/>
      <c r="L690" s="238"/>
      <c r="M690" s="238"/>
    </row>
    <row r="691" ht="12.75" customHeight="1">
      <c r="A691" s="238"/>
      <c r="B691" s="235"/>
      <c r="C691" s="235"/>
      <c r="D691" s="236"/>
      <c r="E691" s="235"/>
      <c r="F691" s="235"/>
      <c r="G691" s="237"/>
      <c r="H691" s="235"/>
      <c r="I691" s="235"/>
      <c r="J691" s="235"/>
      <c r="K691" s="66"/>
      <c r="L691" s="238"/>
      <c r="M691" s="238"/>
    </row>
    <row r="692" ht="12.75" customHeight="1">
      <c r="A692" s="238"/>
      <c r="B692" s="235"/>
      <c r="C692" s="235"/>
      <c r="D692" s="236"/>
      <c r="E692" s="235"/>
      <c r="F692" s="235"/>
      <c r="G692" s="237"/>
      <c r="H692" s="235"/>
      <c r="I692" s="235"/>
      <c r="J692" s="235"/>
      <c r="K692" s="66"/>
      <c r="L692" s="238"/>
      <c r="M692" s="238"/>
    </row>
    <row r="693" ht="12.75" customHeight="1">
      <c r="A693" s="238"/>
      <c r="B693" s="235"/>
      <c r="C693" s="235"/>
      <c r="D693" s="236"/>
      <c r="E693" s="235"/>
      <c r="F693" s="235"/>
      <c r="G693" s="237"/>
      <c r="H693" s="235"/>
      <c r="I693" s="235"/>
      <c r="J693" s="235"/>
      <c r="K693" s="66"/>
      <c r="L693" s="238"/>
      <c r="M693" s="238"/>
    </row>
    <row r="694" ht="12.75" customHeight="1">
      <c r="A694" s="238"/>
      <c r="B694" s="235"/>
      <c r="C694" s="235"/>
      <c r="D694" s="236"/>
      <c r="E694" s="235"/>
      <c r="F694" s="235"/>
      <c r="G694" s="237"/>
      <c r="H694" s="235"/>
      <c r="I694" s="235"/>
      <c r="J694" s="235"/>
      <c r="K694" s="66"/>
      <c r="L694" s="238"/>
      <c r="M694" s="238"/>
    </row>
    <row r="695" ht="12.75" customHeight="1">
      <c r="A695" s="238"/>
      <c r="B695" s="235"/>
      <c r="C695" s="235"/>
      <c r="D695" s="236"/>
      <c r="E695" s="235"/>
      <c r="F695" s="235"/>
      <c r="G695" s="237"/>
      <c r="H695" s="235"/>
      <c r="I695" s="235"/>
      <c r="J695" s="235"/>
      <c r="K695" s="66"/>
      <c r="L695" s="238"/>
      <c r="M695" s="238"/>
    </row>
    <row r="696" ht="12.75" customHeight="1">
      <c r="A696" s="238"/>
      <c r="B696" s="235"/>
      <c r="C696" s="235"/>
      <c r="D696" s="236"/>
      <c r="E696" s="235"/>
      <c r="F696" s="235"/>
      <c r="G696" s="237"/>
      <c r="H696" s="235"/>
      <c r="I696" s="235"/>
      <c r="J696" s="235"/>
      <c r="K696" s="66"/>
      <c r="L696" s="238"/>
      <c r="M696" s="238"/>
    </row>
    <row r="697" ht="12.75" customHeight="1">
      <c r="A697" s="238"/>
      <c r="B697" s="235"/>
      <c r="C697" s="235"/>
      <c r="D697" s="236"/>
      <c r="E697" s="235"/>
      <c r="F697" s="235"/>
      <c r="G697" s="237"/>
      <c r="H697" s="235"/>
      <c r="I697" s="235"/>
      <c r="J697" s="235"/>
      <c r="K697" s="66"/>
      <c r="L697" s="238"/>
      <c r="M697" s="238"/>
    </row>
    <row r="698" ht="12.75" customHeight="1">
      <c r="A698" s="238"/>
      <c r="B698" s="235"/>
      <c r="C698" s="235"/>
      <c r="D698" s="236"/>
      <c r="E698" s="235"/>
      <c r="F698" s="235"/>
      <c r="G698" s="237"/>
      <c r="H698" s="235"/>
      <c r="I698" s="235"/>
      <c r="J698" s="235"/>
      <c r="K698" s="66"/>
      <c r="L698" s="238"/>
      <c r="M698" s="238"/>
    </row>
    <row r="699" ht="12.75" customHeight="1">
      <c r="A699" s="238"/>
      <c r="B699" s="235"/>
      <c r="C699" s="235"/>
      <c r="D699" s="236"/>
      <c r="E699" s="235"/>
      <c r="F699" s="235"/>
      <c r="G699" s="237"/>
      <c r="H699" s="235"/>
      <c r="I699" s="235"/>
      <c r="J699" s="235"/>
      <c r="K699" s="66"/>
      <c r="L699" s="238"/>
      <c r="M699" s="238"/>
    </row>
    <row r="700" ht="12.75" customHeight="1">
      <c r="A700" s="238"/>
      <c r="B700" s="235"/>
      <c r="C700" s="235"/>
      <c r="D700" s="236"/>
      <c r="E700" s="235"/>
      <c r="F700" s="235"/>
      <c r="G700" s="237"/>
      <c r="H700" s="235"/>
      <c r="I700" s="235"/>
      <c r="J700" s="235"/>
      <c r="K700" s="66"/>
      <c r="L700" s="238"/>
      <c r="M700" s="238"/>
    </row>
    <row r="701" ht="12.75" customHeight="1">
      <c r="A701" s="238"/>
      <c r="B701" s="235"/>
      <c r="C701" s="235"/>
      <c r="D701" s="236"/>
      <c r="E701" s="235"/>
      <c r="F701" s="235"/>
      <c r="G701" s="237"/>
      <c r="H701" s="235"/>
      <c r="I701" s="235"/>
      <c r="J701" s="235"/>
      <c r="K701" s="66"/>
      <c r="L701" s="238"/>
      <c r="M701" s="238"/>
    </row>
    <row r="702" ht="12.75" customHeight="1">
      <c r="A702" s="238"/>
      <c r="B702" s="235"/>
      <c r="C702" s="235"/>
      <c r="D702" s="236"/>
      <c r="E702" s="235"/>
      <c r="F702" s="235"/>
      <c r="G702" s="237"/>
      <c r="H702" s="235"/>
      <c r="I702" s="235"/>
      <c r="J702" s="235"/>
      <c r="K702" s="66"/>
      <c r="L702" s="238"/>
      <c r="M702" s="238"/>
    </row>
    <row r="703" ht="12.75" customHeight="1">
      <c r="A703" s="238"/>
      <c r="B703" s="235"/>
      <c r="C703" s="235"/>
      <c r="D703" s="236"/>
      <c r="E703" s="235"/>
      <c r="F703" s="235"/>
      <c r="G703" s="237"/>
      <c r="H703" s="235"/>
      <c r="I703" s="235"/>
      <c r="J703" s="235"/>
      <c r="K703" s="66"/>
      <c r="L703" s="238"/>
      <c r="M703" s="238"/>
    </row>
    <row r="704" ht="12.75" customHeight="1">
      <c r="A704" s="238"/>
      <c r="B704" s="235"/>
      <c r="C704" s="235"/>
      <c r="D704" s="236"/>
      <c r="E704" s="235"/>
      <c r="F704" s="235"/>
      <c r="G704" s="237"/>
      <c r="H704" s="235"/>
      <c r="I704" s="235"/>
      <c r="J704" s="235"/>
      <c r="K704" s="66"/>
      <c r="L704" s="238"/>
      <c r="M704" s="238"/>
    </row>
    <row r="705" ht="12.75" customHeight="1">
      <c r="A705" s="238"/>
      <c r="B705" s="235"/>
      <c r="C705" s="235"/>
      <c r="D705" s="236"/>
      <c r="E705" s="235"/>
      <c r="F705" s="235"/>
      <c r="G705" s="237"/>
      <c r="H705" s="235"/>
      <c r="I705" s="235"/>
      <c r="J705" s="235"/>
      <c r="K705" s="66"/>
      <c r="L705" s="238"/>
      <c r="M705" s="238"/>
    </row>
    <row r="706" ht="12.75" customHeight="1">
      <c r="A706" s="238"/>
      <c r="B706" s="235"/>
      <c r="C706" s="235"/>
      <c r="D706" s="236"/>
      <c r="E706" s="235"/>
      <c r="F706" s="235"/>
      <c r="G706" s="237"/>
      <c r="H706" s="235"/>
      <c r="I706" s="235"/>
      <c r="J706" s="235"/>
      <c r="K706" s="66"/>
      <c r="L706" s="238"/>
      <c r="M706" s="238"/>
    </row>
    <row r="707" ht="12.75" customHeight="1">
      <c r="A707" s="238"/>
      <c r="B707" s="235"/>
      <c r="C707" s="235"/>
      <c r="D707" s="236"/>
      <c r="E707" s="235"/>
      <c r="F707" s="235"/>
      <c r="G707" s="237"/>
      <c r="H707" s="235"/>
      <c r="I707" s="235"/>
      <c r="J707" s="235"/>
      <c r="K707" s="66"/>
      <c r="L707" s="238"/>
      <c r="M707" s="238"/>
    </row>
    <row r="708" ht="12.75" customHeight="1">
      <c r="A708" s="238"/>
      <c r="B708" s="235"/>
      <c r="C708" s="235"/>
      <c r="D708" s="236"/>
      <c r="E708" s="235"/>
      <c r="F708" s="235"/>
      <c r="G708" s="237"/>
      <c r="H708" s="235"/>
      <c r="I708" s="235"/>
      <c r="J708" s="235"/>
      <c r="K708" s="66"/>
      <c r="L708" s="238"/>
      <c r="M708" s="238"/>
    </row>
    <row r="709" ht="12.75" customHeight="1">
      <c r="A709" s="238"/>
      <c r="B709" s="235"/>
      <c r="C709" s="235"/>
      <c r="D709" s="236"/>
      <c r="E709" s="235"/>
      <c r="F709" s="235"/>
      <c r="G709" s="237"/>
      <c r="H709" s="235"/>
      <c r="I709" s="235"/>
      <c r="J709" s="235"/>
      <c r="K709" s="66"/>
      <c r="L709" s="238"/>
      <c r="M709" s="238"/>
    </row>
    <row r="710" ht="12.75" customHeight="1">
      <c r="A710" s="238"/>
      <c r="B710" s="235"/>
      <c r="C710" s="235"/>
      <c r="D710" s="236"/>
      <c r="E710" s="235"/>
      <c r="F710" s="235"/>
      <c r="G710" s="237"/>
      <c r="H710" s="235"/>
      <c r="I710" s="235"/>
      <c r="J710" s="235"/>
      <c r="K710" s="66"/>
      <c r="L710" s="238"/>
      <c r="M710" s="238"/>
    </row>
    <row r="711" ht="12.75" customHeight="1">
      <c r="A711" s="238"/>
      <c r="B711" s="235"/>
      <c r="C711" s="235"/>
      <c r="D711" s="236"/>
      <c r="E711" s="235"/>
      <c r="F711" s="235"/>
      <c r="G711" s="237"/>
      <c r="H711" s="235"/>
      <c r="I711" s="235"/>
      <c r="J711" s="235"/>
      <c r="K711" s="66"/>
      <c r="L711" s="238"/>
      <c r="M711" s="238"/>
    </row>
    <row r="712" ht="12.75" customHeight="1">
      <c r="A712" s="238"/>
      <c r="B712" s="235"/>
      <c r="C712" s="235"/>
      <c r="D712" s="236"/>
      <c r="E712" s="235"/>
      <c r="F712" s="235"/>
      <c r="G712" s="237"/>
      <c r="H712" s="235"/>
      <c r="I712" s="235"/>
      <c r="J712" s="235"/>
      <c r="K712" s="66"/>
      <c r="L712" s="238"/>
      <c r="M712" s="238"/>
    </row>
    <row r="713" ht="12.75" customHeight="1">
      <c r="A713" s="238"/>
      <c r="B713" s="235"/>
      <c r="C713" s="235"/>
      <c r="D713" s="236"/>
      <c r="E713" s="235"/>
      <c r="F713" s="235"/>
      <c r="G713" s="237"/>
      <c r="H713" s="235"/>
      <c r="I713" s="235"/>
      <c r="J713" s="235"/>
      <c r="K713" s="66"/>
      <c r="L713" s="238"/>
      <c r="M713" s="238"/>
    </row>
    <row r="714" ht="12.75" customHeight="1">
      <c r="A714" s="238"/>
      <c r="B714" s="235"/>
      <c r="C714" s="235"/>
      <c r="D714" s="236"/>
      <c r="E714" s="235"/>
      <c r="F714" s="235"/>
      <c r="G714" s="237"/>
      <c r="H714" s="235"/>
      <c r="I714" s="235"/>
      <c r="J714" s="235"/>
      <c r="K714" s="66"/>
      <c r="L714" s="238"/>
      <c r="M714" s="238"/>
    </row>
    <row r="715" ht="12.75" customHeight="1">
      <c r="A715" s="238"/>
      <c r="B715" s="235"/>
      <c r="C715" s="235"/>
      <c r="D715" s="236"/>
      <c r="E715" s="235"/>
      <c r="F715" s="235"/>
      <c r="G715" s="237"/>
      <c r="H715" s="235"/>
      <c r="I715" s="235"/>
      <c r="J715" s="235"/>
      <c r="K715" s="66"/>
      <c r="L715" s="238"/>
      <c r="M715" s="238"/>
    </row>
    <row r="716" ht="12.75" customHeight="1">
      <c r="A716" s="238"/>
      <c r="B716" s="235"/>
      <c r="C716" s="235"/>
      <c r="D716" s="236"/>
      <c r="E716" s="235"/>
      <c r="F716" s="235"/>
      <c r="G716" s="237"/>
      <c r="H716" s="235"/>
      <c r="I716" s="235"/>
      <c r="J716" s="235"/>
      <c r="K716" s="66"/>
      <c r="L716" s="238"/>
      <c r="M716" s="238"/>
    </row>
    <row r="717" ht="12.75" customHeight="1">
      <c r="A717" s="238"/>
      <c r="B717" s="235"/>
      <c r="C717" s="235"/>
      <c r="D717" s="236"/>
      <c r="E717" s="235"/>
      <c r="F717" s="235"/>
      <c r="G717" s="237"/>
      <c r="H717" s="235"/>
      <c r="I717" s="235"/>
      <c r="J717" s="235"/>
      <c r="K717" s="66"/>
      <c r="L717" s="238"/>
      <c r="M717" s="238"/>
    </row>
    <row r="718" ht="12.75" customHeight="1">
      <c r="A718" s="238"/>
      <c r="B718" s="235"/>
      <c r="C718" s="235"/>
      <c r="D718" s="236"/>
      <c r="E718" s="235"/>
      <c r="F718" s="235"/>
      <c r="G718" s="237"/>
      <c r="H718" s="235"/>
      <c r="I718" s="235"/>
      <c r="J718" s="235"/>
      <c r="K718" s="66"/>
      <c r="L718" s="238"/>
      <c r="M718" s="238"/>
    </row>
    <row r="719" ht="12.75" customHeight="1">
      <c r="A719" s="238"/>
      <c r="B719" s="235"/>
      <c r="C719" s="235"/>
      <c r="D719" s="236"/>
      <c r="E719" s="235"/>
      <c r="F719" s="235"/>
      <c r="G719" s="237"/>
      <c r="H719" s="235"/>
      <c r="I719" s="235"/>
      <c r="J719" s="235"/>
      <c r="K719" s="66"/>
      <c r="L719" s="238"/>
      <c r="M719" s="238"/>
    </row>
    <row r="720" ht="12.75" customHeight="1">
      <c r="A720" s="238"/>
      <c r="B720" s="235"/>
      <c r="C720" s="235"/>
      <c r="D720" s="236"/>
      <c r="E720" s="235"/>
      <c r="F720" s="235"/>
      <c r="G720" s="237"/>
      <c r="H720" s="235"/>
      <c r="I720" s="235"/>
      <c r="J720" s="235"/>
      <c r="K720" s="66"/>
      <c r="L720" s="238"/>
      <c r="M720" s="238"/>
    </row>
    <row r="721" ht="12.75" customHeight="1">
      <c r="A721" s="238"/>
      <c r="B721" s="235"/>
      <c r="C721" s="235"/>
      <c r="D721" s="236"/>
      <c r="E721" s="235"/>
      <c r="F721" s="235"/>
      <c r="G721" s="237"/>
      <c r="H721" s="235"/>
      <c r="I721" s="235"/>
      <c r="J721" s="235"/>
      <c r="K721" s="66"/>
      <c r="L721" s="238"/>
      <c r="M721" s="238"/>
    </row>
    <row r="722" ht="12.75" customHeight="1">
      <c r="A722" s="238"/>
      <c r="B722" s="235"/>
      <c r="C722" s="235"/>
      <c r="D722" s="236"/>
      <c r="E722" s="235"/>
      <c r="F722" s="235"/>
      <c r="G722" s="237"/>
      <c r="H722" s="235"/>
      <c r="I722" s="235"/>
      <c r="J722" s="235"/>
      <c r="K722" s="66"/>
      <c r="L722" s="238"/>
      <c r="M722" s="238"/>
    </row>
    <row r="723" ht="12.75" customHeight="1">
      <c r="A723" s="238"/>
      <c r="B723" s="235"/>
      <c r="C723" s="235"/>
      <c r="D723" s="236"/>
      <c r="E723" s="235"/>
      <c r="F723" s="235"/>
      <c r="G723" s="237"/>
      <c r="H723" s="235"/>
      <c r="I723" s="235"/>
      <c r="J723" s="235"/>
      <c r="K723" s="66"/>
      <c r="L723" s="238"/>
      <c r="M723" s="238"/>
    </row>
    <row r="724" ht="12.75" customHeight="1">
      <c r="A724" s="238"/>
      <c r="B724" s="235"/>
      <c r="C724" s="235"/>
      <c r="D724" s="236"/>
      <c r="E724" s="235"/>
      <c r="F724" s="235"/>
      <c r="G724" s="237"/>
      <c r="H724" s="235"/>
      <c r="I724" s="235"/>
      <c r="J724" s="235"/>
      <c r="K724" s="66"/>
      <c r="L724" s="238"/>
      <c r="M724" s="238"/>
    </row>
    <row r="725" ht="12.75" customHeight="1">
      <c r="A725" s="238"/>
      <c r="B725" s="235"/>
      <c r="C725" s="235"/>
      <c r="D725" s="236"/>
      <c r="E725" s="235"/>
      <c r="F725" s="235"/>
      <c r="G725" s="237"/>
      <c r="H725" s="235"/>
      <c r="I725" s="235"/>
      <c r="J725" s="235"/>
      <c r="K725" s="66"/>
      <c r="L725" s="238"/>
      <c r="M725" s="238"/>
    </row>
    <row r="726" ht="12.75" customHeight="1">
      <c r="A726" s="238"/>
      <c r="B726" s="235"/>
      <c r="C726" s="235"/>
      <c r="D726" s="236"/>
      <c r="E726" s="235"/>
      <c r="F726" s="235"/>
      <c r="G726" s="237"/>
      <c r="H726" s="235"/>
      <c r="I726" s="235"/>
      <c r="J726" s="235"/>
      <c r="K726" s="66"/>
      <c r="L726" s="238"/>
      <c r="M726" s="238"/>
    </row>
    <row r="727" ht="12.75" customHeight="1">
      <c r="A727" s="238"/>
      <c r="B727" s="235"/>
      <c r="C727" s="235"/>
      <c r="D727" s="236"/>
      <c r="E727" s="235"/>
      <c r="F727" s="235"/>
      <c r="G727" s="237"/>
      <c r="H727" s="235"/>
      <c r="I727" s="235"/>
      <c r="J727" s="235"/>
      <c r="K727" s="66"/>
      <c r="L727" s="238"/>
      <c r="M727" s="238"/>
    </row>
    <row r="728" ht="12.75" customHeight="1">
      <c r="A728" s="238"/>
      <c r="B728" s="235"/>
      <c r="C728" s="235"/>
      <c r="D728" s="236"/>
      <c r="E728" s="235"/>
      <c r="F728" s="235"/>
      <c r="G728" s="237"/>
      <c r="H728" s="235"/>
      <c r="I728" s="235"/>
      <c r="J728" s="235"/>
      <c r="K728" s="66"/>
      <c r="L728" s="238"/>
      <c r="M728" s="238"/>
    </row>
    <row r="729" ht="12.75" customHeight="1">
      <c r="A729" s="238"/>
      <c r="B729" s="235"/>
      <c r="C729" s="235"/>
      <c r="D729" s="236"/>
      <c r="E729" s="235"/>
      <c r="F729" s="235"/>
      <c r="G729" s="237"/>
      <c r="H729" s="235"/>
      <c r="I729" s="235"/>
      <c r="J729" s="235"/>
      <c r="K729" s="66"/>
      <c r="L729" s="238"/>
      <c r="M729" s="238"/>
    </row>
    <row r="730" ht="12.75" customHeight="1">
      <c r="A730" s="238"/>
      <c r="B730" s="235"/>
      <c r="C730" s="235"/>
      <c r="D730" s="236"/>
      <c r="E730" s="235"/>
      <c r="F730" s="235"/>
      <c r="G730" s="237"/>
      <c r="H730" s="235"/>
      <c r="I730" s="235"/>
      <c r="J730" s="235"/>
      <c r="K730" s="66"/>
      <c r="L730" s="238"/>
      <c r="M730" s="238"/>
    </row>
    <row r="731" ht="12.75" customHeight="1">
      <c r="A731" s="238"/>
      <c r="B731" s="235"/>
      <c r="C731" s="235"/>
      <c r="D731" s="236"/>
      <c r="E731" s="235"/>
      <c r="F731" s="235"/>
      <c r="G731" s="237"/>
      <c r="H731" s="235"/>
      <c r="I731" s="235"/>
      <c r="J731" s="235"/>
      <c r="K731" s="66"/>
      <c r="L731" s="238"/>
      <c r="M731" s="238"/>
    </row>
    <row r="732" ht="12.75" customHeight="1">
      <c r="A732" s="238"/>
      <c r="B732" s="235"/>
      <c r="C732" s="235"/>
      <c r="D732" s="236"/>
      <c r="E732" s="235"/>
      <c r="F732" s="235"/>
      <c r="G732" s="237"/>
      <c r="H732" s="235"/>
      <c r="I732" s="235"/>
      <c r="J732" s="235"/>
      <c r="K732" s="66"/>
      <c r="L732" s="238"/>
      <c r="M732" s="238"/>
    </row>
    <row r="733" ht="12.75" customHeight="1">
      <c r="A733" s="238"/>
      <c r="B733" s="235"/>
      <c r="C733" s="235"/>
      <c r="D733" s="236"/>
      <c r="E733" s="235"/>
      <c r="F733" s="235"/>
      <c r="G733" s="237"/>
      <c r="H733" s="235"/>
      <c r="I733" s="235"/>
      <c r="J733" s="235"/>
      <c r="K733" s="66"/>
      <c r="L733" s="238"/>
      <c r="M733" s="238"/>
    </row>
    <row r="734" ht="12.75" customHeight="1">
      <c r="A734" s="238"/>
      <c r="B734" s="235"/>
      <c r="C734" s="235"/>
      <c r="D734" s="236"/>
      <c r="E734" s="235"/>
      <c r="F734" s="235"/>
      <c r="G734" s="237"/>
      <c r="H734" s="235"/>
      <c r="I734" s="235"/>
      <c r="J734" s="235"/>
      <c r="K734" s="66"/>
      <c r="L734" s="238"/>
      <c r="M734" s="238"/>
    </row>
    <row r="735" ht="12.75" customHeight="1">
      <c r="A735" s="238"/>
      <c r="B735" s="235"/>
      <c r="C735" s="235"/>
      <c r="D735" s="236"/>
      <c r="E735" s="235"/>
      <c r="F735" s="235"/>
      <c r="G735" s="237"/>
      <c r="H735" s="235"/>
      <c r="I735" s="235"/>
      <c r="J735" s="235"/>
      <c r="K735" s="66"/>
      <c r="L735" s="238"/>
      <c r="M735" s="238"/>
    </row>
    <row r="736" ht="12.75" customHeight="1">
      <c r="A736" s="238"/>
      <c r="B736" s="235"/>
      <c r="C736" s="235"/>
      <c r="D736" s="236"/>
      <c r="E736" s="235"/>
      <c r="F736" s="235"/>
      <c r="G736" s="237"/>
      <c r="H736" s="235"/>
      <c r="I736" s="235"/>
      <c r="J736" s="235"/>
      <c r="K736" s="66"/>
      <c r="L736" s="238"/>
      <c r="M736" s="238"/>
    </row>
    <row r="737" ht="12.75" customHeight="1">
      <c r="A737" s="238"/>
      <c r="B737" s="235"/>
      <c r="C737" s="235"/>
      <c r="D737" s="236"/>
      <c r="E737" s="235"/>
      <c r="F737" s="235"/>
      <c r="G737" s="237"/>
      <c r="H737" s="235"/>
      <c r="I737" s="235"/>
      <c r="J737" s="235"/>
      <c r="K737" s="66"/>
      <c r="L737" s="238"/>
      <c r="M737" s="238"/>
    </row>
    <row r="738" ht="12.75" customHeight="1">
      <c r="A738" s="238"/>
      <c r="B738" s="235"/>
      <c r="C738" s="235"/>
      <c r="D738" s="236"/>
      <c r="E738" s="235"/>
      <c r="F738" s="235"/>
      <c r="G738" s="237"/>
      <c r="H738" s="235"/>
      <c r="I738" s="235"/>
      <c r="J738" s="235"/>
      <c r="K738" s="66"/>
      <c r="L738" s="238"/>
      <c r="M738" s="238"/>
    </row>
    <row r="739" ht="12.75" customHeight="1">
      <c r="A739" s="238"/>
      <c r="B739" s="235"/>
      <c r="C739" s="235"/>
      <c r="D739" s="236"/>
      <c r="E739" s="235"/>
      <c r="F739" s="235"/>
      <c r="G739" s="237"/>
      <c r="H739" s="235"/>
      <c r="I739" s="235"/>
      <c r="J739" s="235"/>
      <c r="K739" s="66"/>
      <c r="L739" s="238"/>
      <c r="M739" s="238"/>
    </row>
    <row r="740" ht="12.75" customHeight="1">
      <c r="A740" s="238"/>
      <c r="B740" s="235"/>
      <c r="C740" s="235"/>
      <c r="D740" s="236"/>
      <c r="E740" s="235"/>
      <c r="F740" s="235"/>
      <c r="G740" s="237"/>
      <c r="H740" s="235"/>
      <c r="I740" s="235"/>
      <c r="J740" s="235"/>
      <c r="K740" s="66"/>
      <c r="L740" s="238"/>
      <c r="M740" s="238"/>
    </row>
    <row r="741" ht="12.75" customHeight="1">
      <c r="A741" s="238"/>
      <c r="B741" s="235"/>
      <c r="C741" s="235"/>
      <c r="D741" s="236"/>
      <c r="E741" s="235"/>
      <c r="F741" s="235"/>
      <c r="G741" s="237"/>
      <c r="H741" s="235"/>
      <c r="I741" s="235"/>
      <c r="J741" s="235"/>
      <c r="K741" s="66"/>
      <c r="L741" s="238"/>
      <c r="M741" s="238"/>
    </row>
    <row r="742" ht="12.75" customHeight="1">
      <c r="A742" s="238"/>
      <c r="B742" s="235"/>
      <c r="C742" s="235"/>
      <c r="D742" s="236"/>
      <c r="E742" s="235"/>
      <c r="F742" s="235"/>
      <c r="G742" s="237"/>
      <c r="H742" s="235"/>
      <c r="I742" s="235"/>
      <c r="J742" s="235"/>
      <c r="K742" s="66"/>
      <c r="L742" s="238"/>
      <c r="M742" s="238"/>
    </row>
    <row r="743" ht="12.75" customHeight="1">
      <c r="A743" s="238"/>
      <c r="B743" s="235"/>
      <c r="C743" s="235"/>
      <c r="D743" s="236"/>
      <c r="E743" s="235"/>
      <c r="F743" s="235"/>
      <c r="G743" s="237"/>
      <c r="H743" s="235"/>
      <c r="I743" s="235"/>
      <c r="J743" s="235"/>
      <c r="K743" s="66"/>
      <c r="L743" s="238"/>
      <c r="M743" s="238"/>
    </row>
    <row r="744" ht="12.75" customHeight="1">
      <c r="A744" s="238"/>
      <c r="B744" s="235"/>
      <c r="C744" s="235"/>
      <c r="D744" s="236"/>
      <c r="E744" s="235"/>
      <c r="F744" s="235"/>
      <c r="G744" s="237"/>
      <c r="H744" s="235"/>
      <c r="I744" s="235"/>
      <c r="J744" s="235"/>
      <c r="K744" s="66"/>
      <c r="L744" s="238"/>
      <c r="M744" s="238"/>
    </row>
    <row r="745" ht="12.75" customHeight="1">
      <c r="A745" s="238"/>
      <c r="B745" s="235"/>
      <c r="C745" s="235"/>
      <c r="D745" s="236"/>
      <c r="E745" s="235"/>
      <c r="F745" s="235"/>
      <c r="G745" s="237"/>
      <c r="H745" s="235"/>
      <c r="I745" s="235"/>
      <c r="J745" s="235"/>
      <c r="K745" s="66"/>
      <c r="L745" s="238"/>
      <c r="M745" s="238"/>
    </row>
    <row r="746" ht="12.75" customHeight="1">
      <c r="A746" s="238"/>
      <c r="B746" s="235"/>
      <c r="C746" s="235"/>
      <c r="D746" s="236"/>
      <c r="E746" s="235"/>
      <c r="F746" s="235"/>
      <c r="G746" s="237"/>
      <c r="H746" s="235"/>
      <c r="I746" s="235"/>
      <c r="J746" s="235"/>
      <c r="K746" s="66"/>
      <c r="L746" s="238"/>
      <c r="M746" s="238"/>
    </row>
    <row r="747" ht="12.75" customHeight="1">
      <c r="A747" s="238"/>
      <c r="B747" s="235"/>
      <c r="C747" s="235"/>
      <c r="D747" s="236"/>
      <c r="E747" s="235"/>
      <c r="F747" s="235"/>
      <c r="G747" s="237"/>
      <c r="H747" s="235"/>
      <c r="I747" s="235"/>
      <c r="J747" s="235"/>
      <c r="K747" s="66"/>
      <c r="L747" s="238"/>
      <c r="M747" s="238"/>
    </row>
    <row r="748" ht="12.75" customHeight="1">
      <c r="A748" s="238"/>
      <c r="B748" s="235"/>
      <c r="C748" s="235"/>
      <c r="D748" s="236"/>
      <c r="E748" s="235"/>
      <c r="F748" s="235"/>
      <c r="G748" s="237"/>
      <c r="H748" s="235"/>
      <c r="I748" s="235"/>
      <c r="J748" s="235"/>
      <c r="K748" s="66"/>
      <c r="L748" s="238"/>
      <c r="M748" s="238"/>
    </row>
    <row r="749" ht="12.75" customHeight="1">
      <c r="A749" s="238"/>
      <c r="B749" s="235"/>
      <c r="C749" s="235"/>
      <c r="D749" s="236"/>
      <c r="E749" s="235"/>
      <c r="F749" s="235"/>
      <c r="G749" s="237"/>
      <c r="H749" s="235"/>
      <c r="I749" s="235"/>
      <c r="J749" s="235"/>
      <c r="K749" s="66"/>
      <c r="L749" s="238"/>
      <c r="M749" s="238"/>
    </row>
    <row r="750" ht="12.75" customHeight="1">
      <c r="A750" s="238"/>
      <c r="B750" s="235"/>
      <c r="C750" s="235"/>
      <c r="D750" s="236"/>
      <c r="E750" s="235"/>
      <c r="F750" s="235"/>
      <c r="G750" s="237"/>
      <c r="H750" s="235"/>
      <c r="I750" s="235"/>
      <c r="J750" s="235"/>
      <c r="K750" s="66"/>
      <c r="L750" s="238"/>
      <c r="M750" s="238"/>
    </row>
    <row r="751" ht="12.75" customHeight="1">
      <c r="A751" s="238"/>
      <c r="B751" s="235"/>
      <c r="C751" s="235"/>
      <c r="D751" s="236"/>
      <c r="E751" s="235"/>
      <c r="F751" s="235"/>
      <c r="G751" s="237"/>
      <c r="H751" s="235"/>
      <c r="I751" s="235"/>
      <c r="J751" s="235"/>
      <c r="K751" s="66"/>
      <c r="L751" s="238"/>
      <c r="M751" s="238"/>
    </row>
    <row r="752" ht="12.75" customHeight="1">
      <c r="A752" s="238"/>
      <c r="B752" s="235"/>
      <c r="C752" s="235"/>
      <c r="D752" s="236"/>
      <c r="E752" s="235"/>
      <c r="F752" s="235"/>
      <c r="G752" s="237"/>
      <c r="H752" s="235"/>
      <c r="I752" s="235"/>
      <c r="J752" s="235"/>
      <c r="K752" s="66"/>
      <c r="L752" s="238"/>
      <c r="M752" s="238"/>
    </row>
    <row r="753" ht="12.75" customHeight="1">
      <c r="A753" s="238"/>
      <c r="B753" s="235"/>
      <c r="C753" s="235"/>
      <c r="D753" s="236"/>
      <c r="E753" s="235"/>
      <c r="F753" s="235"/>
      <c r="G753" s="237"/>
      <c r="H753" s="235"/>
      <c r="I753" s="235"/>
      <c r="J753" s="235"/>
      <c r="K753" s="66"/>
      <c r="L753" s="238"/>
      <c r="M753" s="238"/>
    </row>
    <row r="754" ht="12.75" customHeight="1">
      <c r="A754" s="238"/>
      <c r="B754" s="235"/>
      <c r="C754" s="235"/>
      <c r="D754" s="236"/>
      <c r="E754" s="235"/>
      <c r="F754" s="235"/>
      <c r="G754" s="237"/>
      <c r="H754" s="235"/>
      <c r="I754" s="235"/>
      <c r="J754" s="235"/>
      <c r="K754" s="66"/>
      <c r="L754" s="238"/>
      <c r="M754" s="238"/>
    </row>
    <row r="755" ht="12.75" customHeight="1">
      <c r="A755" s="238"/>
      <c r="B755" s="235"/>
      <c r="C755" s="235"/>
      <c r="D755" s="236"/>
      <c r="E755" s="235"/>
      <c r="F755" s="235"/>
      <c r="G755" s="237"/>
      <c r="H755" s="235"/>
      <c r="I755" s="235"/>
      <c r="J755" s="235"/>
      <c r="K755" s="66"/>
      <c r="L755" s="238"/>
      <c r="M755" s="238"/>
    </row>
    <row r="756" ht="12.75" customHeight="1">
      <c r="A756" s="238"/>
      <c r="B756" s="235"/>
      <c r="C756" s="235"/>
      <c r="D756" s="236"/>
      <c r="E756" s="235"/>
      <c r="F756" s="235"/>
      <c r="G756" s="237"/>
      <c r="H756" s="235"/>
      <c r="I756" s="235"/>
      <c r="J756" s="235"/>
      <c r="K756" s="66"/>
      <c r="L756" s="238"/>
      <c r="M756" s="238"/>
    </row>
    <row r="757" ht="12.75" customHeight="1">
      <c r="A757" s="238"/>
      <c r="B757" s="235"/>
      <c r="C757" s="235"/>
      <c r="D757" s="236"/>
      <c r="E757" s="235"/>
      <c r="F757" s="235"/>
      <c r="G757" s="237"/>
      <c r="H757" s="235"/>
      <c r="I757" s="235"/>
      <c r="J757" s="235"/>
      <c r="K757" s="66"/>
      <c r="L757" s="238"/>
      <c r="M757" s="238"/>
    </row>
    <row r="758" ht="12.75" customHeight="1">
      <c r="A758" s="238"/>
      <c r="B758" s="235"/>
      <c r="C758" s="235"/>
      <c r="D758" s="236"/>
      <c r="E758" s="235"/>
      <c r="F758" s="235"/>
      <c r="G758" s="237"/>
      <c r="H758" s="235"/>
      <c r="I758" s="235"/>
      <c r="J758" s="235"/>
      <c r="K758" s="66"/>
      <c r="L758" s="238"/>
      <c r="M758" s="238"/>
    </row>
    <row r="759" ht="12.75" customHeight="1">
      <c r="A759" s="238"/>
      <c r="B759" s="235"/>
      <c r="C759" s="235"/>
      <c r="D759" s="236"/>
      <c r="E759" s="235"/>
      <c r="F759" s="235"/>
      <c r="G759" s="237"/>
      <c r="H759" s="235"/>
      <c r="I759" s="235"/>
      <c r="J759" s="235"/>
      <c r="K759" s="66"/>
      <c r="L759" s="238"/>
      <c r="M759" s="238"/>
    </row>
    <row r="760" ht="12.75" customHeight="1">
      <c r="A760" s="238"/>
      <c r="B760" s="235"/>
      <c r="C760" s="235"/>
      <c r="D760" s="236"/>
      <c r="E760" s="235"/>
      <c r="F760" s="235"/>
      <c r="G760" s="237"/>
      <c r="H760" s="235"/>
      <c r="I760" s="235"/>
      <c r="J760" s="235"/>
      <c r="K760" s="66"/>
      <c r="L760" s="238"/>
      <c r="M760" s="238"/>
    </row>
    <row r="761" ht="12.75" customHeight="1">
      <c r="A761" s="238"/>
      <c r="B761" s="235"/>
      <c r="C761" s="235"/>
      <c r="D761" s="236"/>
      <c r="E761" s="235"/>
      <c r="F761" s="235"/>
      <c r="G761" s="237"/>
      <c r="H761" s="235"/>
      <c r="I761" s="235"/>
      <c r="J761" s="235"/>
      <c r="K761" s="66"/>
      <c r="L761" s="238"/>
      <c r="M761" s="238"/>
    </row>
    <row r="762" ht="12.75" customHeight="1">
      <c r="A762" s="238"/>
      <c r="B762" s="235"/>
      <c r="C762" s="235"/>
      <c r="D762" s="236"/>
      <c r="E762" s="235"/>
      <c r="F762" s="235"/>
      <c r="G762" s="237"/>
      <c r="H762" s="235"/>
      <c r="I762" s="235"/>
      <c r="J762" s="235"/>
      <c r="K762" s="66"/>
      <c r="L762" s="238"/>
      <c r="M762" s="238"/>
    </row>
    <row r="763" ht="12.75" customHeight="1">
      <c r="A763" s="238"/>
      <c r="B763" s="235"/>
      <c r="C763" s="235"/>
      <c r="D763" s="236"/>
      <c r="E763" s="235"/>
      <c r="F763" s="235"/>
      <c r="G763" s="237"/>
      <c r="H763" s="235"/>
      <c r="I763" s="235"/>
      <c r="J763" s="235"/>
      <c r="K763" s="66"/>
      <c r="L763" s="238"/>
      <c r="M763" s="238"/>
    </row>
    <row r="764" ht="12.75" customHeight="1">
      <c r="A764" s="238"/>
      <c r="B764" s="235"/>
      <c r="C764" s="235"/>
      <c r="D764" s="236"/>
      <c r="E764" s="235"/>
      <c r="F764" s="235"/>
      <c r="G764" s="237"/>
      <c r="H764" s="235"/>
      <c r="I764" s="235"/>
      <c r="J764" s="235"/>
      <c r="K764" s="66"/>
      <c r="L764" s="238"/>
      <c r="M764" s="238"/>
    </row>
    <row r="765" ht="12.75" customHeight="1">
      <c r="A765" s="238"/>
      <c r="B765" s="235"/>
      <c r="C765" s="235"/>
      <c r="D765" s="236"/>
      <c r="E765" s="235"/>
      <c r="F765" s="235"/>
      <c r="G765" s="237"/>
      <c r="H765" s="235"/>
      <c r="I765" s="235"/>
      <c r="J765" s="235"/>
      <c r="K765" s="66"/>
      <c r="L765" s="238"/>
      <c r="M765" s="238"/>
    </row>
    <row r="766" ht="12.75" customHeight="1">
      <c r="A766" s="238"/>
      <c r="B766" s="235"/>
      <c r="C766" s="235"/>
      <c r="D766" s="236"/>
      <c r="E766" s="235"/>
      <c r="F766" s="235"/>
      <c r="G766" s="237"/>
      <c r="H766" s="235"/>
      <c r="I766" s="235"/>
      <c r="J766" s="235"/>
      <c r="K766" s="66"/>
      <c r="L766" s="238"/>
      <c r="M766" s="238"/>
    </row>
    <row r="767" ht="12.75" customHeight="1">
      <c r="A767" s="238"/>
      <c r="B767" s="235"/>
      <c r="C767" s="235"/>
      <c r="D767" s="236"/>
      <c r="E767" s="235"/>
      <c r="F767" s="235"/>
      <c r="G767" s="237"/>
      <c r="H767" s="235"/>
      <c r="I767" s="235"/>
      <c r="J767" s="235"/>
      <c r="K767" s="66"/>
      <c r="L767" s="238"/>
      <c r="M767" s="238"/>
    </row>
    <row r="768" ht="12.75" customHeight="1">
      <c r="A768" s="238"/>
      <c r="B768" s="235"/>
      <c r="C768" s="235"/>
      <c r="D768" s="236"/>
      <c r="E768" s="235"/>
      <c r="F768" s="235"/>
      <c r="G768" s="237"/>
      <c r="H768" s="235"/>
      <c r="I768" s="235"/>
      <c r="J768" s="235"/>
      <c r="K768" s="66"/>
      <c r="L768" s="238"/>
      <c r="M768" s="238"/>
    </row>
    <row r="769" ht="12.75" customHeight="1">
      <c r="A769" s="238"/>
      <c r="B769" s="235"/>
      <c r="C769" s="235"/>
      <c r="D769" s="236"/>
      <c r="E769" s="235"/>
      <c r="F769" s="235"/>
      <c r="G769" s="237"/>
      <c r="H769" s="235"/>
      <c r="I769" s="235"/>
      <c r="J769" s="235"/>
      <c r="K769" s="66"/>
      <c r="L769" s="238"/>
      <c r="M769" s="238"/>
    </row>
    <row r="770" ht="12.75" customHeight="1">
      <c r="A770" s="238"/>
      <c r="B770" s="235"/>
      <c r="C770" s="235"/>
      <c r="D770" s="236"/>
      <c r="E770" s="235"/>
      <c r="F770" s="235"/>
      <c r="G770" s="237"/>
      <c r="H770" s="235"/>
      <c r="I770" s="235"/>
      <c r="J770" s="235"/>
      <c r="K770" s="66"/>
      <c r="L770" s="238"/>
      <c r="M770" s="238"/>
    </row>
    <row r="771" ht="12.75" customHeight="1">
      <c r="A771" s="238"/>
      <c r="B771" s="235"/>
      <c r="C771" s="235"/>
      <c r="D771" s="236"/>
      <c r="E771" s="235"/>
      <c r="F771" s="235"/>
      <c r="G771" s="237"/>
      <c r="H771" s="235"/>
      <c r="I771" s="235"/>
      <c r="J771" s="235"/>
      <c r="K771" s="66"/>
      <c r="L771" s="238"/>
      <c r="M771" s="238"/>
    </row>
    <row r="772" ht="12.75" customHeight="1">
      <c r="A772" s="238"/>
      <c r="B772" s="235"/>
      <c r="C772" s="235"/>
      <c r="D772" s="236"/>
      <c r="E772" s="235"/>
      <c r="F772" s="235"/>
      <c r="G772" s="237"/>
      <c r="H772" s="235"/>
      <c r="I772" s="235"/>
      <c r="J772" s="235"/>
      <c r="K772" s="66"/>
      <c r="L772" s="238"/>
      <c r="M772" s="238"/>
    </row>
    <row r="773" ht="12.75" customHeight="1">
      <c r="A773" s="238"/>
      <c r="B773" s="235"/>
      <c r="C773" s="235"/>
      <c r="D773" s="236"/>
      <c r="E773" s="235"/>
      <c r="F773" s="235"/>
      <c r="G773" s="237"/>
      <c r="H773" s="235"/>
      <c r="I773" s="235"/>
      <c r="J773" s="235"/>
      <c r="K773" s="66"/>
      <c r="L773" s="238"/>
      <c r="M773" s="238"/>
    </row>
    <row r="774" ht="12.75" customHeight="1">
      <c r="A774" s="238"/>
      <c r="B774" s="235"/>
      <c r="C774" s="235"/>
      <c r="D774" s="236"/>
      <c r="E774" s="235"/>
      <c r="F774" s="235"/>
      <c r="G774" s="237"/>
      <c r="H774" s="235"/>
      <c r="I774" s="235"/>
      <c r="J774" s="235"/>
      <c r="K774" s="66"/>
      <c r="L774" s="238"/>
      <c r="M774" s="238"/>
    </row>
    <row r="775" ht="12.75" customHeight="1">
      <c r="A775" s="238"/>
      <c r="B775" s="235"/>
      <c r="C775" s="235"/>
      <c r="D775" s="236"/>
      <c r="E775" s="235"/>
      <c r="F775" s="235"/>
      <c r="G775" s="237"/>
      <c r="H775" s="235"/>
      <c r="I775" s="235"/>
      <c r="J775" s="235"/>
      <c r="K775" s="66"/>
      <c r="L775" s="238"/>
      <c r="M775" s="238"/>
    </row>
    <row r="776" ht="12.75" customHeight="1">
      <c r="A776" s="238"/>
      <c r="B776" s="235"/>
      <c r="C776" s="235"/>
      <c r="D776" s="236"/>
      <c r="E776" s="235"/>
      <c r="F776" s="235"/>
      <c r="G776" s="237"/>
      <c r="H776" s="235"/>
      <c r="I776" s="235"/>
      <c r="J776" s="235"/>
      <c r="K776" s="66"/>
      <c r="L776" s="238"/>
      <c r="M776" s="238"/>
    </row>
    <row r="777" ht="12.75" customHeight="1">
      <c r="A777" s="238"/>
      <c r="B777" s="235"/>
      <c r="C777" s="235"/>
      <c r="D777" s="236"/>
      <c r="E777" s="235"/>
      <c r="F777" s="235"/>
      <c r="G777" s="237"/>
      <c r="H777" s="235"/>
      <c r="I777" s="235"/>
      <c r="J777" s="235"/>
      <c r="K777" s="66"/>
      <c r="L777" s="238"/>
      <c r="M777" s="238"/>
    </row>
    <row r="778" ht="12.75" customHeight="1">
      <c r="A778" s="238"/>
      <c r="B778" s="235"/>
      <c r="C778" s="235"/>
      <c r="D778" s="236"/>
      <c r="E778" s="235"/>
      <c r="F778" s="235"/>
      <c r="G778" s="237"/>
      <c r="H778" s="235"/>
      <c r="I778" s="235"/>
      <c r="J778" s="235"/>
      <c r="K778" s="66"/>
      <c r="L778" s="238"/>
      <c r="M778" s="238"/>
    </row>
    <row r="779" ht="12.75" customHeight="1">
      <c r="A779" s="238"/>
      <c r="B779" s="235"/>
      <c r="C779" s="235"/>
      <c r="D779" s="236"/>
      <c r="E779" s="235"/>
      <c r="F779" s="235"/>
      <c r="G779" s="237"/>
      <c r="H779" s="235"/>
      <c r="I779" s="235"/>
      <c r="J779" s="235"/>
      <c r="K779" s="66"/>
      <c r="L779" s="238"/>
      <c r="M779" s="238"/>
    </row>
    <row r="780" ht="12.75" customHeight="1">
      <c r="A780" s="238"/>
      <c r="B780" s="235"/>
      <c r="C780" s="235"/>
      <c r="D780" s="236"/>
      <c r="E780" s="235"/>
      <c r="F780" s="235"/>
      <c r="G780" s="237"/>
      <c r="H780" s="235"/>
      <c r="I780" s="235"/>
      <c r="J780" s="235"/>
      <c r="K780" s="66"/>
      <c r="L780" s="238"/>
      <c r="M780" s="238"/>
    </row>
    <row r="781" ht="12.75" customHeight="1">
      <c r="A781" s="238"/>
      <c r="B781" s="235"/>
      <c r="C781" s="235"/>
      <c r="D781" s="236"/>
      <c r="E781" s="235"/>
      <c r="F781" s="235"/>
      <c r="G781" s="237"/>
      <c r="H781" s="235"/>
      <c r="I781" s="235"/>
      <c r="J781" s="235"/>
      <c r="K781" s="66"/>
      <c r="L781" s="238"/>
      <c r="M781" s="238"/>
    </row>
    <row r="782" ht="12.75" customHeight="1">
      <c r="A782" s="238"/>
      <c r="B782" s="235"/>
      <c r="C782" s="235"/>
      <c r="D782" s="236"/>
      <c r="E782" s="235"/>
      <c r="F782" s="235"/>
      <c r="G782" s="237"/>
      <c r="H782" s="235"/>
      <c r="I782" s="235"/>
      <c r="J782" s="235"/>
      <c r="K782" s="66"/>
      <c r="L782" s="238"/>
      <c r="M782" s="238"/>
    </row>
    <row r="783" ht="12.75" customHeight="1">
      <c r="A783" s="238"/>
      <c r="B783" s="235"/>
      <c r="C783" s="235"/>
      <c r="D783" s="236"/>
      <c r="E783" s="235"/>
      <c r="F783" s="235"/>
      <c r="G783" s="237"/>
      <c r="H783" s="235"/>
      <c r="I783" s="235"/>
      <c r="J783" s="235"/>
      <c r="K783" s="66"/>
      <c r="L783" s="238"/>
      <c r="M783" s="238"/>
    </row>
    <row r="784" ht="12.75" customHeight="1">
      <c r="A784" s="238"/>
      <c r="B784" s="235"/>
      <c r="C784" s="235"/>
      <c r="D784" s="236"/>
      <c r="E784" s="235"/>
      <c r="F784" s="235"/>
      <c r="G784" s="237"/>
      <c r="H784" s="235"/>
      <c r="I784" s="235"/>
      <c r="J784" s="235"/>
      <c r="K784" s="66"/>
      <c r="L784" s="238"/>
      <c r="M784" s="238"/>
    </row>
    <row r="785" ht="12.75" customHeight="1">
      <c r="A785" s="238"/>
      <c r="B785" s="235"/>
      <c r="C785" s="235"/>
      <c r="D785" s="236"/>
      <c r="E785" s="235"/>
      <c r="F785" s="235"/>
      <c r="G785" s="237"/>
      <c r="H785" s="235"/>
      <c r="I785" s="235"/>
      <c r="J785" s="235"/>
      <c r="K785" s="66"/>
      <c r="L785" s="238"/>
      <c r="M785" s="238"/>
    </row>
    <row r="786" ht="12.75" customHeight="1">
      <c r="A786" s="238"/>
      <c r="B786" s="235"/>
      <c r="C786" s="235"/>
      <c r="D786" s="236"/>
      <c r="E786" s="235"/>
      <c r="F786" s="235"/>
      <c r="G786" s="237"/>
      <c r="H786" s="235"/>
      <c r="I786" s="235"/>
      <c r="J786" s="235"/>
      <c r="K786" s="66"/>
      <c r="L786" s="238"/>
      <c r="M786" s="238"/>
    </row>
    <row r="787" ht="12.75" customHeight="1">
      <c r="A787" s="238"/>
      <c r="B787" s="235"/>
      <c r="C787" s="235"/>
      <c r="D787" s="236"/>
      <c r="E787" s="235"/>
      <c r="F787" s="235"/>
      <c r="G787" s="237"/>
      <c r="H787" s="235"/>
      <c r="I787" s="235"/>
      <c r="J787" s="235"/>
      <c r="K787" s="66"/>
      <c r="L787" s="238"/>
      <c r="M787" s="238"/>
    </row>
    <row r="788" ht="12.75" customHeight="1">
      <c r="A788" s="238"/>
      <c r="B788" s="235"/>
      <c r="C788" s="235"/>
      <c r="D788" s="236"/>
      <c r="E788" s="235"/>
      <c r="F788" s="235"/>
      <c r="G788" s="237"/>
      <c r="H788" s="235"/>
      <c r="I788" s="235"/>
      <c r="J788" s="235"/>
      <c r="K788" s="66"/>
      <c r="L788" s="238"/>
      <c r="M788" s="238"/>
    </row>
    <row r="789" ht="12.75" customHeight="1">
      <c r="A789" s="238"/>
      <c r="B789" s="235"/>
      <c r="C789" s="235"/>
      <c r="D789" s="236"/>
      <c r="E789" s="235"/>
      <c r="F789" s="235"/>
      <c r="G789" s="237"/>
      <c r="H789" s="235"/>
      <c r="I789" s="235"/>
      <c r="J789" s="235"/>
      <c r="K789" s="66"/>
      <c r="L789" s="238"/>
      <c r="M789" s="238"/>
    </row>
    <row r="790" ht="12.75" customHeight="1">
      <c r="A790" s="238"/>
      <c r="B790" s="235"/>
      <c r="C790" s="235"/>
      <c r="D790" s="236"/>
      <c r="E790" s="235"/>
      <c r="F790" s="235"/>
      <c r="G790" s="237"/>
      <c r="H790" s="235"/>
      <c r="I790" s="235"/>
      <c r="J790" s="235"/>
      <c r="K790" s="66"/>
      <c r="L790" s="238"/>
      <c r="M790" s="238"/>
    </row>
    <row r="791" ht="12.75" customHeight="1">
      <c r="A791" s="238"/>
      <c r="B791" s="235"/>
      <c r="C791" s="235"/>
      <c r="D791" s="236"/>
      <c r="E791" s="235"/>
      <c r="F791" s="235"/>
      <c r="G791" s="237"/>
      <c r="H791" s="235"/>
      <c r="I791" s="235"/>
      <c r="J791" s="235"/>
      <c r="K791" s="66"/>
      <c r="L791" s="238"/>
      <c r="M791" s="238"/>
    </row>
    <row r="792" ht="12.75" customHeight="1">
      <c r="A792" s="238"/>
      <c r="B792" s="235"/>
      <c r="C792" s="235"/>
      <c r="D792" s="236"/>
      <c r="E792" s="235"/>
      <c r="F792" s="235"/>
      <c r="G792" s="237"/>
      <c r="H792" s="235"/>
      <c r="I792" s="235"/>
      <c r="J792" s="235"/>
      <c r="K792" s="66"/>
      <c r="L792" s="238"/>
      <c r="M792" s="238"/>
    </row>
    <row r="793" ht="12.75" customHeight="1">
      <c r="A793" s="238"/>
      <c r="B793" s="235"/>
      <c r="C793" s="235"/>
      <c r="D793" s="236"/>
      <c r="E793" s="235"/>
      <c r="F793" s="235"/>
      <c r="G793" s="237"/>
      <c r="H793" s="235"/>
      <c r="I793" s="235"/>
      <c r="J793" s="235"/>
      <c r="K793" s="66"/>
      <c r="L793" s="238"/>
      <c r="M793" s="238"/>
    </row>
    <row r="794" ht="12.75" customHeight="1">
      <c r="A794" s="238"/>
      <c r="B794" s="235"/>
      <c r="C794" s="235"/>
      <c r="D794" s="236"/>
      <c r="E794" s="235"/>
      <c r="F794" s="235"/>
      <c r="G794" s="237"/>
      <c r="H794" s="235"/>
      <c r="I794" s="235"/>
      <c r="J794" s="235"/>
      <c r="K794" s="66"/>
      <c r="L794" s="238"/>
      <c r="M794" s="238"/>
    </row>
    <row r="795" ht="12.75" customHeight="1">
      <c r="A795" s="238"/>
      <c r="B795" s="235"/>
      <c r="C795" s="235"/>
      <c r="D795" s="236"/>
      <c r="E795" s="235"/>
      <c r="F795" s="235"/>
      <c r="G795" s="237"/>
      <c r="H795" s="235"/>
      <c r="I795" s="235"/>
      <c r="J795" s="235"/>
      <c r="K795" s="66"/>
      <c r="L795" s="238"/>
      <c r="M795" s="238"/>
    </row>
    <row r="796" ht="12.75" customHeight="1">
      <c r="A796" s="238"/>
      <c r="B796" s="235"/>
      <c r="C796" s="235"/>
      <c r="D796" s="236"/>
      <c r="E796" s="235"/>
      <c r="F796" s="235"/>
      <c r="G796" s="237"/>
      <c r="H796" s="235"/>
      <c r="I796" s="235"/>
      <c r="J796" s="235"/>
      <c r="K796" s="66"/>
      <c r="L796" s="238"/>
      <c r="M796" s="238"/>
    </row>
    <row r="797" ht="12.75" customHeight="1">
      <c r="A797" s="238"/>
      <c r="B797" s="235"/>
      <c r="C797" s="235"/>
      <c r="D797" s="236"/>
      <c r="E797" s="235"/>
      <c r="F797" s="235"/>
      <c r="G797" s="237"/>
      <c r="H797" s="235"/>
      <c r="I797" s="235"/>
      <c r="J797" s="235"/>
      <c r="K797" s="66"/>
      <c r="L797" s="238"/>
      <c r="M797" s="238"/>
    </row>
    <row r="798" ht="12.75" customHeight="1">
      <c r="A798" s="238"/>
      <c r="B798" s="235"/>
      <c r="C798" s="235"/>
      <c r="D798" s="236"/>
      <c r="E798" s="235"/>
      <c r="F798" s="235"/>
      <c r="G798" s="237"/>
      <c r="H798" s="235"/>
      <c r="I798" s="235"/>
      <c r="J798" s="235"/>
      <c r="K798" s="66"/>
      <c r="L798" s="238"/>
      <c r="M798" s="238"/>
    </row>
    <row r="799" ht="12.75" customHeight="1">
      <c r="A799" s="238"/>
      <c r="B799" s="235"/>
      <c r="C799" s="235"/>
      <c r="D799" s="236"/>
      <c r="E799" s="235"/>
      <c r="F799" s="235"/>
      <c r="G799" s="237"/>
      <c r="H799" s="235"/>
      <c r="I799" s="235"/>
      <c r="J799" s="235"/>
      <c r="K799" s="66"/>
      <c r="L799" s="238"/>
      <c r="M799" s="238"/>
    </row>
    <row r="800" ht="12.75" customHeight="1">
      <c r="A800" s="238"/>
      <c r="B800" s="235"/>
      <c r="C800" s="235"/>
      <c r="D800" s="236"/>
      <c r="E800" s="235"/>
      <c r="F800" s="235"/>
      <c r="G800" s="237"/>
      <c r="H800" s="235"/>
      <c r="I800" s="235"/>
      <c r="J800" s="235"/>
      <c r="K800" s="66"/>
      <c r="L800" s="238"/>
      <c r="M800" s="238"/>
    </row>
    <row r="801" ht="12.75" customHeight="1">
      <c r="A801" s="238"/>
      <c r="B801" s="235"/>
      <c r="C801" s="235"/>
      <c r="D801" s="236"/>
      <c r="E801" s="235"/>
      <c r="F801" s="235"/>
      <c r="G801" s="237"/>
      <c r="H801" s="235"/>
      <c r="I801" s="235"/>
      <c r="J801" s="235"/>
      <c r="K801" s="66"/>
      <c r="L801" s="238"/>
      <c r="M801" s="238"/>
    </row>
    <row r="802" ht="12.75" customHeight="1">
      <c r="A802" s="238"/>
      <c r="B802" s="235"/>
      <c r="C802" s="235"/>
      <c r="D802" s="236"/>
      <c r="E802" s="235"/>
      <c r="F802" s="235"/>
      <c r="G802" s="237"/>
      <c r="H802" s="235"/>
      <c r="I802" s="235"/>
      <c r="J802" s="235"/>
      <c r="K802" s="66"/>
      <c r="L802" s="238"/>
      <c r="M802" s="238"/>
    </row>
    <row r="803" ht="12.75" customHeight="1">
      <c r="A803" s="238"/>
      <c r="B803" s="235"/>
      <c r="C803" s="235"/>
      <c r="D803" s="236"/>
      <c r="E803" s="235"/>
      <c r="F803" s="235"/>
      <c r="G803" s="237"/>
      <c r="H803" s="235"/>
      <c r="I803" s="235"/>
      <c r="J803" s="235"/>
      <c r="K803" s="66"/>
      <c r="L803" s="238"/>
      <c r="M803" s="238"/>
    </row>
    <row r="804" ht="12.75" customHeight="1">
      <c r="A804" s="238"/>
      <c r="B804" s="235"/>
      <c r="C804" s="235"/>
      <c r="D804" s="236"/>
      <c r="E804" s="235"/>
      <c r="F804" s="235"/>
      <c r="G804" s="237"/>
      <c r="H804" s="235"/>
      <c r="I804" s="235"/>
      <c r="J804" s="235"/>
      <c r="K804" s="66"/>
      <c r="L804" s="238"/>
      <c r="M804" s="238"/>
    </row>
    <row r="805" ht="12.75" customHeight="1">
      <c r="A805" s="238"/>
      <c r="B805" s="235"/>
      <c r="C805" s="235"/>
      <c r="D805" s="236"/>
      <c r="E805" s="235"/>
      <c r="F805" s="235"/>
      <c r="G805" s="237"/>
      <c r="H805" s="235"/>
      <c r="I805" s="235"/>
      <c r="J805" s="235"/>
      <c r="K805" s="66"/>
      <c r="L805" s="238"/>
      <c r="M805" s="238"/>
    </row>
    <row r="806" ht="12.75" customHeight="1">
      <c r="A806" s="238"/>
      <c r="B806" s="235"/>
      <c r="C806" s="235"/>
      <c r="D806" s="236"/>
      <c r="E806" s="235"/>
      <c r="F806" s="235"/>
      <c r="G806" s="237"/>
      <c r="H806" s="235"/>
      <c r="I806" s="235"/>
      <c r="J806" s="235"/>
      <c r="K806" s="66"/>
      <c r="L806" s="238"/>
      <c r="M806" s="238"/>
    </row>
    <row r="807" ht="12.75" customHeight="1">
      <c r="A807" s="238"/>
      <c r="B807" s="235"/>
      <c r="C807" s="235"/>
      <c r="D807" s="236"/>
      <c r="E807" s="235"/>
      <c r="F807" s="235"/>
      <c r="G807" s="237"/>
      <c r="H807" s="235"/>
      <c r="I807" s="235"/>
      <c r="J807" s="235"/>
      <c r="K807" s="66"/>
      <c r="L807" s="238"/>
      <c r="M807" s="238"/>
    </row>
    <row r="808" ht="12.75" customHeight="1">
      <c r="A808" s="238"/>
      <c r="B808" s="235"/>
      <c r="C808" s="235"/>
      <c r="D808" s="236"/>
      <c r="E808" s="235"/>
      <c r="F808" s="235"/>
      <c r="G808" s="237"/>
      <c r="H808" s="235"/>
      <c r="I808" s="235"/>
      <c r="J808" s="235"/>
      <c r="K808" s="66"/>
      <c r="L808" s="238"/>
      <c r="M808" s="238"/>
    </row>
    <row r="809" ht="12.75" customHeight="1">
      <c r="A809" s="238"/>
      <c r="B809" s="235"/>
      <c r="C809" s="235"/>
      <c r="D809" s="236"/>
      <c r="E809" s="235"/>
      <c r="F809" s="235"/>
      <c r="G809" s="237"/>
      <c r="H809" s="235"/>
      <c r="I809" s="235"/>
      <c r="J809" s="235"/>
      <c r="K809" s="66"/>
      <c r="L809" s="238"/>
      <c r="M809" s="238"/>
    </row>
    <row r="810" ht="12.75" customHeight="1">
      <c r="A810" s="238"/>
      <c r="B810" s="235"/>
      <c r="C810" s="235"/>
      <c r="D810" s="236"/>
      <c r="E810" s="235"/>
      <c r="F810" s="235"/>
      <c r="G810" s="237"/>
      <c r="H810" s="235"/>
      <c r="I810" s="235"/>
      <c r="J810" s="235"/>
      <c r="K810" s="66"/>
      <c r="L810" s="238"/>
      <c r="M810" s="238"/>
    </row>
    <row r="811" ht="12.75" customHeight="1">
      <c r="A811" s="238"/>
      <c r="B811" s="235"/>
      <c r="C811" s="235"/>
      <c r="D811" s="236"/>
      <c r="E811" s="235"/>
      <c r="F811" s="235"/>
      <c r="G811" s="237"/>
      <c r="H811" s="235"/>
      <c r="I811" s="235"/>
      <c r="J811" s="235"/>
      <c r="K811" s="66"/>
      <c r="L811" s="238"/>
      <c r="M811" s="238"/>
    </row>
    <row r="812" ht="12.75" customHeight="1">
      <c r="A812" s="238"/>
      <c r="B812" s="235"/>
      <c r="C812" s="235"/>
      <c r="D812" s="236"/>
      <c r="E812" s="235"/>
      <c r="F812" s="235"/>
      <c r="G812" s="237"/>
      <c r="H812" s="235"/>
      <c r="I812" s="235"/>
      <c r="J812" s="235"/>
      <c r="K812" s="66"/>
      <c r="L812" s="238"/>
      <c r="M812" s="238"/>
    </row>
    <row r="813" ht="12.75" customHeight="1">
      <c r="A813" s="238"/>
      <c r="B813" s="235"/>
      <c r="C813" s="235"/>
      <c r="D813" s="236"/>
      <c r="E813" s="235"/>
      <c r="F813" s="235"/>
      <c r="G813" s="237"/>
      <c r="H813" s="235"/>
      <c r="I813" s="235"/>
      <c r="J813" s="235"/>
      <c r="K813" s="66"/>
      <c r="L813" s="238"/>
      <c r="M813" s="238"/>
    </row>
    <row r="814" ht="12.75" customHeight="1">
      <c r="A814" s="238"/>
      <c r="B814" s="235"/>
      <c r="C814" s="235"/>
      <c r="D814" s="236"/>
      <c r="E814" s="235"/>
      <c r="F814" s="235"/>
      <c r="G814" s="237"/>
      <c r="H814" s="235"/>
      <c r="I814" s="235"/>
      <c r="J814" s="235"/>
      <c r="K814" s="66"/>
      <c r="L814" s="238"/>
      <c r="M814" s="238"/>
    </row>
    <row r="815" ht="12.75" customHeight="1">
      <c r="A815" s="238"/>
      <c r="B815" s="235"/>
      <c r="C815" s="235"/>
      <c r="D815" s="236"/>
      <c r="E815" s="235"/>
      <c r="F815" s="235"/>
      <c r="G815" s="237"/>
      <c r="H815" s="235"/>
      <c r="I815" s="235"/>
      <c r="J815" s="235"/>
      <c r="K815" s="66"/>
      <c r="L815" s="238"/>
      <c r="M815" s="238"/>
    </row>
    <row r="816" ht="12.75" customHeight="1">
      <c r="A816" s="238"/>
      <c r="B816" s="235"/>
      <c r="C816" s="235"/>
      <c r="D816" s="236"/>
      <c r="E816" s="235"/>
      <c r="F816" s="235"/>
      <c r="G816" s="237"/>
      <c r="H816" s="235"/>
      <c r="I816" s="235"/>
      <c r="J816" s="235"/>
      <c r="K816" s="66"/>
      <c r="L816" s="238"/>
      <c r="M816" s="238"/>
    </row>
    <row r="817" ht="12.75" customHeight="1">
      <c r="A817" s="238"/>
      <c r="B817" s="235"/>
      <c r="C817" s="235"/>
      <c r="D817" s="236"/>
      <c r="E817" s="235"/>
      <c r="F817" s="235"/>
      <c r="G817" s="237"/>
      <c r="H817" s="235"/>
      <c r="I817" s="235"/>
      <c r="J817" s="235"/>
      <c r="K817" s="66"/>
      <c r="L817" s="238"/>
      <c r="M817" s="238"/>
    </row>
    <row r="818" ht="12.75" customHeight="1">
      <c r="A818" s="238"/>
      <c r="B818" s="235"/>
      <c r="C818" s="235"/>
      <c r="D818" s="236"/>
      <c r="E818" s="235"/>
      <c r="F818" s="235"/>
      <c r="G818" s="237"/>
      <c r="H818" s="235"/>
      <c r="I818" s="235"/>
      <c r="J818" s="235"/>
      <c r="K818" s="66"/>
      <c r="L818" s="238"/>
      <c r="M818" s="238"/>
    </row>
    <row r="819" ht="12.75" customHeight="1">
      <c r="A819" s="238"/>
      <c r="B819" s="235"/>
      <c r="C819" s="235"/>
      <c r="D819" s="236"/>
      <c r="E819" s="235"/>
      <c r="F819" s="235"/>
      <c r="G819" s="237"/>
      <c r="H819" s="235"/>
      <c r="I819" s="235"/>
      <c r="J819" s="235"/>
      <c r="K819" s="66"/>
      <c r="L819" s="238"/>
      <c r="M819" s="238"/>
    </row>
    <row r="820" ht="12.75" customHeight="1">
      <c r="A820" s="238"/>
      <c r="B820" s="235"/>
      <c r="C820" s="235"/>
      <c r="D820" s="236"/>
      <c r="E820" s="235"/>
      <c r="F820" s="235"/>
      <c r="G820" s="237"/>
      <c r="H820" s="235"/>
      <c r="I820" s="235"/>
      <c r="J820" s="235"/>
      <c r="K820" s="66"/>
      <c r="L820" s="238"/>
      <c r="M820" s="238"/>
    </row>
    <row r="821" ht="12.75" customHeight="1">
      <c r="A821" s="238"/>
      <c r="B821" s="235"/>
      <c r="C821" s="235"/>
      <c r="D821" s="236"/>
      <c r="E821" s="235"/>
      <c r="F821" s="235"/>
      <c r="G821" s="237"/>
      <c r="H821" s="235"/>
      <c r="I821" s="235"/>
      <c r="J821" s="235"/>
      <c r="K821" s="66"/>
      <c r="L821" s="238"/>
      <c r="M821" s="238"/>
    </row>
    <row r="822" ht="12.75" customHeight="1">
      <c r="A822" s="238"/>
      <c r="B822" s="235"/>
      <c r="C822" s="235"/>
      <c r="D822" s="236"/>
      <c r="E822" s="235"/>
      <c r="F822" s="235"/>
      <c r="G822" s="237"/>
      <c r="H822" s="235"/>
      <c r="I822" s="235"/>
      <c r="J822" s="235"/>
      <c r="K822" s="66"/>
      <c r="L822" s="238"/>
      <c r="M822" s="238"/>
    </row>
    <row r="823" ht="12.75" customHeight="1">
      <c r="A823" s="238"/>
      <c r="B823" s="235"/>
      <c r="C823" s="235"/>
      <c r="D823" s="236"/>
      <c r="E823" s="235"/>
      <c r="F823" s="235"/>
      <c r="G823" s="237"/>
      <c r="H823" s="235"/>
      <c r="I823" s="235"/>
      <c r="J823" s="235"/>
      <c r="K823" s="66"/>
      <c r="L823" s="238"/>
      <c r="M823" s="238"/>
    </row>
    <row r="824" ht="12.75" customHeight="1">
      <c r="A824" s="238"/>
      <c r="B824" s="235"/>
      <c r="C824" s="235"/>
      <c r="D824" s="236"/>
      <c r="E824" s="235"/>
      <c r="F824" s="235"/>
      <c r="G824" s="237"/>
      <c r="H824" s="235"/>
      <c r="I824" s="235"/>
      <c r="J824" s="235"/>
      <c r="K824" s="66"/>
      <c r="L824" s="238"/>
      <c r="M824" s="238"/>
    </row>
    <row r="825" ht="12.75" customHeight="1">
      <c r="A825" s="238"/>
      <c r="B825" s="235"/>
      <c r="C825" s="235"/>
      <c r="D825" s="236"/>
      <c r="E825" s="235"/>
      <c r="F825" s="235"/>
      <c r="G825" s="237"/>
      <c r="H825" s="235"/>
      <c r="I825" s="235"/>
      <c r="J825" s="235"/>
      <c r="K825" s="66"/>
      <c r="L825" s="238"/>
      <c r="M825" s="238"/>
    </row>
    <row r="826" ht="12.75" customHeight="1">
      <c r="A826" s="238"/>
      <c r="B826" s="235"/>
      <c r="C826" s="235"/>
      <c r="D826" s="236"/>
      <c r="E826" s="235"/>
      <c r="F826" s="235"/>
      <c r="G826" s="237"/>
      <c r="H826" s="235"/>
      <c r="I826" s="235"/>
      <c r="J826" s="235"/>
      <c r="K826" s="66"/>
      <c r="L826" s="238"/>
      <c r="M826" s="238"/>
    </row>
    <row r="827" ht="12.75" customHeight="1">
      <c r="A827" s="238"/>
      <c r="B827" s="235"/>
      <c r="C827" s="235"/>
      <c r="D827" s="236"/>
      <c r="E827" s="235"/>
      <c r="F827" s="235"/>
      <c r="G827" s="237"/>
      <c r="H827" s="235"/>
      <c r="I827" s="235"/>
      <c r="J827" s="235"/>
      <c r="K827" s="66"/>
      <c r="L827" s="238"/>
      <c r="M827" s="238"/>
    </row>
    <row r="828" ht="12.75" customHeight="1">
      <c r="A828" s="238"/>
      <c r="B828" s="235"/>
      <c r="C828" s="235"/>
      <c r="D828" s="236"/>
      <c r="E828" s="235"/>
      <c r="F828" s="235"/>
      <c r="G828" s="237"/>
      <c r="H828" s="235"/>
      <c r="I828" s="235"/>
      <c r="J828" s="235"/>
      <c r="K828" s="66"/>
      <c r="L828" s="238"/>
      <c r="M828" s="238"/>
    </row>
    <row r="829" ht="12.75" customHeight="1">
      <c r="A829" s="238"/>
      <c r="B829" s="235"/>
      <c r="C829" s="235"/>
      <c r="D829" s="236"/>
      <c r="E829" s="235"/>
      <c r="F829" s="235"/>
      <c r="G829" s="237"/>
      <c r="H829" s="235"/>
      <c r="I829" s="235"/>
      <c r="J829" s="235"/>
      <c r="K829" s="66"/>
      <c r="L829" s="238"/>
      <c r="M829" s="238"/>
    </row>
    <row r="830" ht="12.75" customHeight="1">
      <c r="A830" s="238"/>
      <c r="B830" s="235"/>
      <c r="C830" s="235"/>
      <c r="D830" s="236"/>
      <c r="E830" s="235"/>
      <c r="F830" s="235"/>
      <c r="G830" s="237"/>
      <c r="H830" s="235"/>
      <c r="I830" s="235"/>
      <c r="J830" s="235"/>
      <c r="K830" s="66"/>
      <c r="L830" s="238"/>
      <c r="M830" s="238"/>
    </row>
    <row r="831" ht="12.75" customHeight="1">
      <c r="A831" s="238"/>
      <c r="B831" s="235"/>
      <c r="C831" s="235"/>
      <c r="D831" s="236"/>
      <c r="E831" s="235"/>
      <c r="F831" s="235"/>
      <c r="G831" s="237"/>
      <c r="H831" s="235"/>
      <c r="I831" s="235"/>
      <c r="J831" s="235"/>
      <c r="K831" s="66"/>
      <c r="L831" s="238"/>
      <c r="M831" s="238"/>
    </row>
    <row r="832" ht="12.75" customHeight="1">
      <c r="A832" s="238"/>
      <c r="B832" s="235"/>
      <c r="C832" s="235"/>
      <c r="D832" s="236"/>
      <c r="E832" s="235"/>
      <c r="F832" s="235"/>
      <c r="G832" s="237"/>
      <c r="H832" s="235"/>
      <c r="I832" s="235"/>
      <c r="J832" s="235"/>
      <c r="K832" s="66"/>
      <c r="L832" s="238"/>
      <c r="M832" s="238"/>
    </row>
    <row r="833" ht="12.75" customHeight="1">
      <c r="A833" s="238"/>
      <c r="B833" s="235"/>
      <c r="C833" s="235"/>
      <c r="D833" s="236"/>
      <c r="E833" s="235"/>
      <c r="F833" s="235"/>
      <c r="G833" s="237"/>
      <c r="H833" s="235"/>
      <c r="I833" s="235"/>
      <c r="J833" s="235"/>
      <c r="K833" s="66"/>
      <c r="L833" s="238"/>
      <c r="M833" s="238"/>
    </row>
    <row r="834" ht="12.75" customHeight="1">
      <c r="A834" s="238"/>
      <c r="B834" s="235"/>
      <c r="C834" s="235"/>
      <c r="D834" s="236"/>
      <c r="E834" s="235"/>
      <c r="F834" s="235"/>
      <c r="G834" s="237"/>
      <c r="H834" s="235"/>
      <c r="I834" s="235"/>
      <c r="J834" s="235"/>
      <c r="K834" s="66"/>
      <c r="L834" s="238"/>
      <c r="M834" s="238"/>
    </row>
    <row r="835" ht="12.75" customHeight="1">
      <c r="A835" s="238"/>
      <c r="B835" s="235"/>
      <c r="C835" s="235"/>
      <c r="D835" s="236"/>
      <c r="E835" s="235"/>
      <c r="F835" s="235"/>
      <c r="G835" s="237"/>
      <c r="H835" s="235"/>
      <c r="I835" s="235"/>
      <c r="J835" s="235"/>
      <c r="K835" s="66"/>
      <c r="L835" s="238"/>
      <c r="M835" s="238"/>
    </row>
    <row r="836" ht="12.75" customHeight="1">
      <c r="A836" s="238"/>
      <c r="B836" s="235"/>
      <c r="C836" s="235"/>
      <c r="D836" s="236"/>
      <c r="E836" s="235"/>
      <c r="F836" s="235"/>
      <c r="G836" s="237"/>
      <c r="H836" s="235"/>
      <c r="I836" s="235"/>
      <c r="J836" s="235"/>
      <c r="K836" s="66"/>
      <c r="L836" s="238"/>
      <c r="M836" s="238"/>
    </row>
    <row r="837" ht="12.75" customHeight="1">
      <c r="A837" s="238"/>
      <c r="B837" s="235"/>
      <c r="C837" s="235"/>
      <c r="D837" s="236"/>
      <c r="E837" s="235"/>
      <c r="F837" s="235"/>
      <c r="G837" s="237"/>
      <c r="H837" s="235"/>
      <c r="I837" s="235"/>
      <c r="J837" s="235"/>
      <c r="K837" s="66"/>
      <c r="L837" s="238"/>
      <c r="M837" s="238"/>
    </row>
    <row r="838" ht="12.75" customHeight="1">
      <c r="A838" s="238"/>
      <c r="B838" s="235"/>
      <c r="C838" s="235"/>
      <c r="D838" s="236"/>
      <c r="E838" s="235"/>
      <c r="F838" s="235"/>
      <c r="G838" s="237"/>
      <c r="H838" s="235"/>
      <c r="I838" s="235"/>
      <c r="J838" s="235"/>
      <c r="K838" s="66"/>
      <c r="L838" s="238"/>
      <c r="M838" s="238"/>
    </row>
    <row r="839" ht="12.75" customHeight="1">
      <c r="A839" s="238"/>
      <c r="B839" s="235"/>
      <c r="C839" s="235"/>
      <c r="D839" s="236"/>
      <c r="E839" s="235"/>
      <c r="F839" s="235"/>
      <c r="G839" s="237"/>
      <c r="H839" s="235"/>
      <c r="I839" s="235"/>
      <c r="J839" s="235"/>
      <c r="K839" s="66"/>
      <c r="L839" s="238"/>
      <c r="M839" s="238"/>
    </row>
    <row r="840" ht="12.75" customHeight="1">
      <c r="A840" s="238"/>
      <c r="B840" s="235"/>
      <c r="C840" s="235"/>
      <c r="D840" s="236"/>
      <c r="E840" s="235"/>
      <c r="F840" s="235"/>
      <c r="G840" s="237"/>
      <c r="H840" s="235"/>
      <c r="I840" s="235"/>
      <c r="J840" s="235"/>
      <c r="K840" s="66"/>
      <c r="L840" s="238"/>
      <c r="M840" s="238"/>
    </row>
    <row r="841" ht="12.75" customHeight="1">
      <c r="A841" s="238"/>
      <c r="B841" s="235"/>
      <c r="C841" s="235"/>
      <c r="D841" s="236"/>
      <c r="E841" s="235"/>
      <c r="F841" s="235"/>
      <c r="G841" s="237"/>
      <c r="H841" s="235"/>
      <c r="I841" s="235"/>
      <c r="J841" s="235"/>
      <c r="K841" s="66"/>
      <c r="L841" s="238"/>
      <c r="M841" s="238"/>
    </row>
    <row r="842" ht="12.75" customHeight="1">
      <c r="A842" s="238"/>
      <c r="B842" s="235"/>
      <c r="C842" s="235"/>
      <c r="D842" s="236"/>
      <c r="E842" s="235"/>
      <c r="F842" s="235"/>
      <c r="G842" s="237"/>
      <c r="H842" s="235"/>
      <c r="I842" s="235"/>
      <c r="J842" s="235"/>
      <c r="K842" s="66"/>
      <c r="L842" s="238"/>
      <c r="M842" s="238"/>
    </row>
    <row r="843" ht="12.75" customHeight="1">
      <c r="A843" s="238"/>
      <c r="B843" s="235"/>
      <c r="C843" s="235"/>
      <c r="D843" s="236"/>
      <c r="E843" s="235"/>
      <c r="F843" s="235"/>
      <c r="G843" s="237"/>
      <c r="H843" s="235"/>
      <c r="I843" s="235"/>
      <c r="J843" s="235"/>
      <c r="K843" s="66"/>
      <c r="L843" s="238"/>
      <c r="M843" s="238"/>
    </row>
    <row r="844" ht="12.75" customHeight="1">
      <c r="A844" s="238"/>
      <c r="B844" s="235"/>
      <c r="C844" s="235"/>
      <c r="D844" s="236"/>
      <c r="E844" s="235"/>
      <c r="F844" s="235"/>
      <c r="G844" s="237"/>
      <c r="H844" s="235"/>
      <c r="I844" s="235"/>
      <c r="J844" s="235"/>
      <c r="K844" s="66"/>
      <c r="L844" s="238"/>
      <c r="M844" s="238"/>
    </row>
    <row r="845" ht="12.75" customHeight="1">
      <c r="A845" s="238"/>
      <c r="B845" s="235"/>
      <c r="C845" s="235"/>
      <c r="D845" s="236"/>
      <c r="E845" s="235"/>
      <c r="F845" s="235"/>
      <c r="G845" s="237"/>
      <c r="H845" s="235"/>
      <c r="I845" s="235"/>
      <c r="J845" s="235"/>
      <c r="K845" s="66"/>
      <c r="L845" s="238"/>
      <c r="M845" s="238"/>
    </row>
    <row r="846" ht="12.75" customHeight="1">
      <c r="A846" s="238"/>
      <c r="B846" s="235"/>
      <c r="C846" s="235"/>
      <c r="D846" s="236"/>
      <c r="E846" s="235"/>
      <c r="F846" s="235"/>
      <c r="G846" s="237"/>
      <c r="H846" s="235"/>
      <c r="I846" s="235"/>
      <c r="J846" s="235"/>
      <c r="K846" s="66"/>
      <c r="L846" s="238"/>
      <c r="M846" s="238"/>
    </row>
    <row r="847" ht="12.75" customHeight="1">
      <c r="A847" s="238"/>
      <c r="B847" s="235"/>
      <c r="C847" s="235"/>
      <c r="D847" s="236"/>
      <c r="E847" s="235"/>
      <c r="F847" s="235"/>
      <c r="G847" s="237"/>
      <c r="H847" s="235"/>
      <c r="I847" s="235"/>
      <c r="J847" s="235"/>
      <c r="K847" s="66"/>
      <c r="L847" s="238"/>
      <c r="M847" s="238"/>
    </row>
    <row r="848" ht="12.75" customHeight="1">
      <c r="A848" s="238"/>
      <c r="B848" s="235"/>
      <c r="C848" s="235"/>
      <c r="D848" s="236"/>
      <c r="E848" s="235"/>
      <c r="F848" s="235"/>
      <c r="G848" s="237"/>
      <c r="H848" s="235"/>
      <c r="I848" s="235"/>
      <c r="J848" s="235"/>
      <c r="K848" s="66"/>
      <c r="L848" s="238"/>
      <c r="M848" s="238"/>
    </row>
    <row r="849" ht="12.75" customHeight="1">
      <c r="A849" s="238"/>
      <c r="B849" s="235"/>
      <c r="C849" s="235"/>
      <c r="D849" s="236"/>
      <c r="E849" s="235"/>
      <c r="F849" s="235"/>
      <c r="G849" s="237"/>
      <c r="H849" s="235"/>
      <c r="I849" s="235"/>
      <c r="J849" s="235"/>
      <c r="K849" s="66"/>
      <c r="L849" s="238"/>
      <c r="M849" s="238"/>
    </row>
    <row r="850" ht="12.75" customHeight="1">
      <c r="A850" s="238"/>
      <c r="B850" s="235"/>
      <c r="C850" s="235"/>
      <c r="D850" s="236"/>
      <c r="E850" s="235"/>
      <c r="F850" s="235"/>
      <c r="G850" s="237"/>
      <c r="H850" s="235"/>
      <c r="I850" s="235"/>
      <c r="J850" s="235"/>
      <c r="K850" s="66"/>
      <c r="L850" s="238"/>
      <c r="M850" s="238"/>
    </row>
    <row r="851" ht="12.75" customHeight="1">
      <c r="A851" s="238"/>
      <c r="B851" s="235"/>
      <c r="C851" s="235"/>
      <c r="D851" s="236"/>
      <c r="E851" s="235"/>
      <c r="F851" s="235"/>
      <c r="G851" s="237"/>
      <c r="H851" s="235"/>
      <c r="I851" s="235"/>
      <c r="J851" s="235"/>
      <c r="K851" s="66"/>
      <c r="L851" s="238"/>
      <c r="M851" s="238"/>
    </row>
    <row r="852" ht="12.75" customHeight="1">
      <c r="A852" s="238"/>
      <c r="B852" s="235"/>
      <c r="C852" s="235"/>
      <c r="D852" s="236"/>
      <c r="E852" s="235"/>
      <c r="F852" s="235"/>
      <c r="G852" s="237"/>
      <c r="H852" s="235"/>
      <c r="I852" s="235"/>
      <c r="J852" s="235"/>
      <c r="K852" s="66"/>
      <c r="L852" s="238"/>
      <c r="M852" s="238"/>
    </row>
    <row r="853" ht="12.75" customHeight="1">
      <c r="A853" s="238"/>
      <c r="B853" s="235"/>
      <c r="C853" s="235"/>
      <c r="D853" s="236"/>
      <c r="E853" s="235"/>
      <c r="F853" s="235"/>
      <c r="G853" s="237"/>
      <c r="H853" s="235"/>
      <c r="I853" s="235"/>
      <c r="J853" s="235"/>
      <c r="K853" s="66"/>
      <c r="L853" s="238"/>
      <c r="M853" s="238"/>
    </row>
    <row r="854" ht="12.75" customHeight="1">
      <c r="A854" s="238"/>
      <c r="B854" s="235"/>
      <c r="C854" s="235"/>
      <c r="D854" s="236"/>
      <c r="E854" s="235"/>
      <c r="F854" s="235"/>
      <c r="G854" s="237"/>
      <c r="H854" s="235"/>
      <c r="I854" s="235"/>
      <c r="J854" s="235"/>
      <c r="K854" s="66"/>
      <c r="L854" s="238"/>
      <c r="M854" s="238"/>
    </row>
    <row r="855" ht="12.75" customHeight="1">
      <c r="A855" s="238"/>
      <c r="B855" s="235"/>
      <c r="C855" s="235"/>
      <c r="D855" s="236"/>
      <c r="E855" s="235"/>
      <c r="F855" s="235"/>
      <c r="G855" s="237"/>
      <c r="H855" s="235"/>
      <c r="I855" s="235"/>
      <c r="J855" s="235"/>
      <c r="K855" s="66"/>
      <c r="L855" s="238"/>
      <c r="M855" s="238"/>
    </row>
    <row r="856" ht="12.75" customHeight="1">
      <c r="A856" s="238"/>
      <c r="B856" s="235"/>
      <c r="C856" s="235"/>
      <c r="D856" s="236"/>
      <c r="E856" s="235"/>
      <c r="F856" s="235"/>
      <c r="G856" s="237"/>
      <c r="H856" s="235"/>
      <c r="I856" s="235"/>
      <c r="J856" s="235"/>
      <c r="K856" s="66"/>
      <c r="L856" s="238"/>
      <c r="M856" s="238"/>
    </row>
    <row r="857" ht="12.75" customHeight="1">
      <c r="A857" s="238"/>
      <c r="B857" s="235"/>
      <c r="C857" s="235"/>
      <c r="D857" s="236"/>
      <c r="E857" s="235"/>
      <c r="F857" s="235"/>
      <c r="G857" s="237"/>
      <c r="H857" s="235"/>
      <c r="I857" s="235"/>
      <c r="J857" s="235"/>
      <c r="K857" s="66"/>
      <c r="L857" s="238"/>
      <c r="M857" s="238"/>
    </row>
    <row r="858" ht="12.75" customHeight="1">
      <c r="A858" s="238"/>
      <c r="B858" s="235"/>
      <c r="C858" s="235"/>
      <c r="D858" s="236"/>
      <c r="E858" s="235"/>
      <c r="F858" s="235"/>
      <c r="G858" s="237"/>
      <c r="H858" s="235"/>
      <c r="I858" s="235"/>
      <c r="J858" s="235"/>
      <c r="K858" s="66"/>
      <c r="L858" s="238"/>
      <c r="M858" s="238"/>
    </row>
    <row r="859" ht="12.75" customHeight="1">
      <c r="A859" s="238"/>
      <c r="B859" s="235"/>
      <c r="C859" s="235"/>
      <c r="D859" s="236"/>
      <c r="E859" s="235"/>
      <c r="F859" s="235"/>
      <c r="G859" s="237"/>
      <c r="H859" s="235"/>
      <c r="I859" s="235"/>
      <c r="J859" s="235"/>
      <c r="K859" s="66"/>
      <c r="L859" s="238"/>
      <c r="M859" s="238"/>
    </row>
    <row r="860" ht="12.75" customHeight="1">
      <c r="A860" s="238"/>
      <c r="B860" s="235"/>
      <c r="C860" s="235"/>
      <c r="D860" s="236"/>
      <c r="E860" s="235"/>
      <c r="F860" s="235"/>
      <c r="G860" s="237"/>
      <c r="H860" s="235"/>
      <c r="I860" s="235"/>
      <c r="J860" s="235"/>
      <c r="K860" s="66"/>
      <c r="L860" s="238"/>
      <c r="M860" s="238"/>
    </row>
    <row r="861" ht="12.75" customHeight="1">
      <c r="A861" s="238"/>
      <c r="B861" s="235"/>
      <c r="C861" s="235"/>
      <c r="D861" s="236"/>
      <c r="E861" s="235"/>
      <c r="F861" s="235"/>
      <c r="G861" s="237"/>
      <c r="H861" s="235"/>
      <c r="I861" s="235"/>
      <c r="J861" s="235"/>
      <c r="K861" s="66"/>
      <c r="L861" s="238"/>
      <c r="M861" s="238"/>
    </row>
    <row r="862" ht="12.75" customHeight="1">
      <c r="A862" s="238"/>
      <c r="B862" s="235"/>
      <c r="C862" s="235"/>
      <c r="D862" s="236"/>
      <c r="E862" s="235"/>
      <c r="F862" s="235"/>
      <c r="G862" s="237"/>
      <c r="H862" s="235"/>
      <c r="I862" s="235"/>
      <c r="J862" s="235"/>
      <c r="K862" s="66"/>
      <c r="L862" s="238"/>
      <c r="M862" s="238"/>
    </row>
    <row r="863" ht="12.75" customHeight="1">
      <c r="A863" s="238"/>
      <c r="B863" s="235"/>
      <c r="C863" s="235"/>
      <c r="D863" s="236"/>
      <c r="E863" s="235"/>
      <c r="F863" s="235"/>
      <c r="G863" s="237"/>
      <c r="H863" s="235"/>
      <c r="I863" s="235"/>
      <c r="J863" s="235"/>
      <c r="K863" s="66"/>
      <c r="L863" s="238"/>
      <c r="M863" s="238"/>
    </row>
    <row r="864" ht="12.75" customHeight="1">
      <c r="A864" s="238"/>
      <c r="B864" s="235"/>
      <c r="C864" s="235"/>
      <c r="D864" s="236"/>
      <c r="E864" s="235"/>
      <c r="F864" s="235"/>
      <c r="G864" s="237"/>
      <c r="H864" s="235"/>
      <c r="I864" s="235"/>
      <c r="J864" s="235"/>
      <c r="K864" s="66"/>
      <c r="L864" s="238"/>
      <c r="M864" s="238"/>
    </row>
    <row r="865" ht="12.75" customHeight="1">
      <c r="A865" s="238"/>
      <c r="B865" s="235"/>
      <c r="C865" s="235"/>
      <c r="D865" s="236"/>
      <c r="E865" s="235"/>
      <c r="F865" s="235"/>
      <c r="G865" s="237"/>
      <c r="H865" s="235"/>
      <c r="I865" s="235"/>
      <c r="J865" s="235"/>
      <c r="K865" s="66"/>
      <c r="L865" s="238"/>
      <c r="M865" s="238"/>
    </row>
    <row r="866" ht="12.75" customHeight="1">
      <c r="A866" s="238"/>
      <c r="B866" s="235"/>
      <c r="C866" s="235"/>
      <c r="D866" s="236"/>
      <c r="E866" s="235"/>
      <c r="F866" s="235"/>
      <c r="G866" s="237"/>
      <c r="H866" s="235"/>
      <c r="I866" s="235"/>
      <c r="J866" s="235"/>
      <c r="K866" s="66"/>
      <c r="L866" s="238"/>
      <c r="M866" s="238"/>
    </row>
    <row r="867" ht="12.75" customHeight="1">
      <c r="A867" s="238"/>
      <c r="B867" s="235"/>
      <c r="C867" s="235"/>
      <c r="D867" s="236"/>
      <c r="E867" s="235"/>
      <c r="F867" s="235"/>
      <c r="G867" s="237"/>
      <c r="H867" s="235"/>
      <c r="I867" s="235"/>
      <c r="J867" s="235"/>
      <c r="K867" s="66"/>
      <c r="L867" s="238"/>
      <c r="M867" s="238"/>
    </row>
    <row r="868" ht="12.75" customHeight="1">
      <c r="A868" s="238"/>
      <c r="B868" s="235"/>
      <c r="C868" s="235"/>
      <c r="D868" s="236"/>
      <c r="E868" s="235"/>
      <c r="F868" s="235"/>
      <c r="G868" s="237"/>
      <c r="H868" s="235"/>
      <c r="I868" s="235"/>
      <c r="J868" s="235"/>
      <c r="K868" s="66"/>
      <c r="L868" s="238"/>
      <c r="M868" s="238"/>
    </row>
    <row r="869" ht="12.75" customHeight="1">
      <c r="A869" s="238"/>
      <c r="B869" s="235"/>
      <c r="C869" s="235"/>
      <c r="D869" s="236"/>
      <c r="E869" s="235"/>
      <c r="F869" s="235"/>
      <c r="G869" s="237"/>
      <c r="H869" s="235"/>
      <c r="I869" s="235"/>
      <c r="J869" s="235"/>
      <c r="K869" s="66"/>
      <c r="L869" s="238"/>
      <c r="M869" s="238"/>
    </row>
    <row r="870" ht="12.75" customHeight="1">
      <c r="A870" s="238"/>
      <c r="B870" s="235"/>
      <c r="C870" s="235"/>
      <c r="D870" s="236"/>
      <c r="E870" s="235"/>
      <c r="F870" s="235"/>
      <c r="G870" s="237"/>
      <c r="H870" s="235"/>
      <c r="I870" s="235"/>
      <c r="J870" s="235"/>
      <c r="K870" s="66"/>
      <c r="L870" s="238"/>
      <c r="M870" s="238"/>
    </row>
    <row r="871" ht="12.75" customHeight="1">
      <c r="A871" s="238"/>
      <c r="B871" s="235"/>
      <c r="C871" s="235"/>
      <c r="D871" s="236"/>
      <c r="E871" s="235"/>
      <c r="F871" s="235"/>
      <c r="G871" s="237"/>
      <c r="H871" s="235"/>
      <c r="I871" s="235"/>
      <c r="J871" s="235"/>
      <c r="K871" s="66"/>
      <c r="L871" s="238"/>
      <c r="M871" s="238"/>
    </row>
    <row r="872" ht="12.75" customHeight="1">
      <c r="A872" s="238"/>
      <c r="B872" s="235"/>
      <c r="C872" s="235"/>
      <c r="D872" s="236"/>
      <c r="E872" s="235"/>
      <c r="F872" s="235"/>
      <c r="G872" s="237"/>
      <c r="H872" s="235"/>
      <c r="I872" s="235"/>
      <c r="J872" s="235"/>
      <c r="K872" s="66"/>
      <c r="L872" s="238"/>
      <c r="M872" s="238"/>
    </row>
    <row r="873" ht="12.75" customHeight="1">
      <c r="A873" s="238"/>
      <c r="B873" s="235"/>
      <c r="C873" s="235"/>
      <c r="D873" s="236"/>
      <c r="E873" s="235"/>
      <c r="F873" s="235"/>
      <c r="G873" s="237"/>
      <c r="H873" s="235"/>
      <c r="I873" s="235"/>
      <c r="J873" s="235"/>
      <c r="K873" s="66"/>
      <c r="L873" s="238"/>
      <c r="M873" s="238"/>
    </row>
    <row r="874" ht="12.75" customHeight="1">
      <c r="A874" s="238"/>
      <c r="B874" s="235"/>
      <c r="C874" s="235"/>
      <c r="D874" s="236"/>
      <c r="E874" s="235"/>
      <c r="F874" s="235"/>
      <c r="G874" s="237"/>
      <c r="H874" s="235"/>
      <c r="I874" s="235"/>
      <c r="J874" s="235"/>
      <c r="K874" s="66"/>
      <c r="L874" s="238"/>
      <c r="M874" s="238"/>
    </row>
    <row r="875" ht="12.75" customHeight="1">
      <c r="A875" s="238"/>
      <c r="B875" s="235"/>
      <c r="C875" s="235"/>
      <c r="D875" s="236"/>
      <c r="E875" s="235"/>
      <c r="F875" s="235"/>
      <c r="G875" s="237"/>
      <c r="H875" s="235"/>
      <c r="I875" s="235"/>
      <c r="J875" s="235"/>
      <c r="K875" s="66"/>
      <c r="L875" s="238"/>
      <c r="M875" s="238"/>
    </row>
    <row r="876" ht="12.75" customHeight="1">
      <c r="A876" s="238"/>
      <c r="B876" s="235"/>
      <c r="C876" s="235"/>
      <c r="D876" s="236"/>
      <c r="E876" s="235"/>
      <c r="F876" s="235"/>
      <c r="G876" s="237"/>
      <c r="H876" s="235"/>
      <c r="I876" s="235"/>
      <c r="J876" s="235"/>
      <c r="K876" s="66"/>
      <c r="L876" s="238"/>
      <c r="M876" s="238"/>
    </row>
    <row r="877" ht="12.75" customHeight="1">
      <c r="A877" s="238"/>
      <c r="B877" s="235"/>
      <c r="C877" s="235"/>
      <c r="D877" s="236"/>
      <c r="E877" s="235"/>
      <c r="F877" s="235"/>
      <c r="G877" s="237"/>
      <c r="H877" s="235"/>
      <c r="I877" s="235"/>
      <c r="J877" s="235"/>
      <c r="K877" s="66"/>
      <c r="L877" s="238"/>
      <c r="M877" s="238"/>
    </row>
    <row r="878" ht="12.75" customHeight="1">
      <c r="A878" s="238"/>
      <c r="B878" s="235"/>
      <c r="C878" s="235"/>
      <c r="D878" s="236"/>
      <c r="E878" s="235"/>
      <c r="F878" s="235"/>
      <c r="G878" s="237"/>
      <c r="H878" s="235"/>
      <c r="I878" s="235"/>
      <c r="J878" s="235"/>
      <c r="K878" s="66"/>
      <c r="L878" s="238"/>
      <c r="M878" s="238"/>
    </row>
    <row r="879" ht="12.75" customHeight="1">
      <c r="A879" s="238"/>
      <c r="B879" s="235"/>
      <c r="C879" s="235"/>
      <c r="D879" s="236"/>
      <c r="E879" s="235"/>
      <c r="F879" s="235"/>
      <c r="G879" s="237"/>
      <c r="H879" s="235"/>
      <c r="I879" s="235"/>
      <c r="J879" s="235"/>
      <c r="K879" s="66"/>
      <c r="L879" s="238"/>
      <c r="M879" s="238"/>
    </row>
    <row r="880" ht="12.75" customHeight="1">
      <c r="A880" s="238"/>
      <c r="B880" s="235"/>
      <c r="C880" s="235"/>
      <c r="D880" s="236"/>
      <c r="E880" s="235"/>
      <c r="F880" s="235"/>
      <c r="G880" s="237"/>
      <c r="H880" s="235"/>
      <c r="I880" s="235"/>
      <c r="J880" s="235"/>
      <c r="K880" s="66"/>
      <c r="L880" s="238"/>
      <c r="M880" s="238"/>
    </row>
    <row r="881" ht="12.75" customHeight="1">
      <c r="A881" s="238"/>
      <c r="B881" s="235"/>
      <c r="C881" s="235"/>
      <c r="D881" s="236"/>
      <c r="E881" s="235"/>
      <c r="F881" s="235"/>
      <c r="G881" s="237"/>
      <c r="H881" s="235"/>
      <c r="I881" s="235"/>
      <c r="J881" s="235"/>
      <c r="K881" s="66"/>
      <c r="L881" s="238"/>
      <c r="M881" s="238"/>
    </row>
    <row r="882" ht="12.75" customHeight="1">
      <c r="A882" s="238"/>
      <c r="B882" s="235"/>
      <c r="C882" s="235"/>
      <c r="D882" s="236"/>
      <c r="E882" s="235"/>
      <c r="F882" s="235"/>
      <c r="G882" s="237"/>
      <c r="H882" s="235"/>
      <c r="I882" s="235"/>
      <c r="J882" s="235"/>
      <c r="K882" s="66"/>
      <c r="L882" s="238"/>
      <c r="M882" s="238"/>
    </row>
    <row r="883" ht="12.75" customHeight="1">
      <c r="A883" s="238"/>
      <c r="B883" s="235"/>
      <c r="C883" s="235"/>
      <c r="D883" s="236"/>
      <c r="E883" s="235"/>
      <c r="F883" s="235"/>
      <c r="G883" s="237"/>
      <c r="H883" s="235"/>
      <c r="I883" s="235"/>
      <c r="J883" s="235"/>
      <c r="K883" s="66"/>
      <c r="L883" s="238"/>
      <c r="M883" s="238"/>
    </row>
    <row r="884" ht="12.75" customHeight="1">
      <c r="A884" s="238"/>
      <c r="B884" s="235"/>
      <c r="C884" s="235"/>
      <c r="D884" s="236"/>
      <c r="E884" s="235"/>
      <c r="F884" s="235"/>
      <c r="G884" s="237"/>
      <c r="H884" s="235"/>
      <c r="I884" s="235"/>
      <c r="J884" s="235"/>
      <c r="K884" s="66"/>
      <c r="L884" s="238"/>
      <c r="M884" s="238"/>
    </row>
    <row r="885" ht="12.75" customHeight="1">
      <c r="A885" s="238"/>
      <c r="B885" s="235"/>
      <c r="C885" s="235"/>
      <c r="D885" s="236"/>
      <c r="E885" s="235"/>
      <c r="F885" s="235"/>
      <c r="G885" s="237"/>
      <c r="H885" s="235"/>
      <c r="I885" s="235"/>
      <c r="J885" s="235"/>
      <c r="K885" s="66"/>
      <c r="L885" s="238"/>
      <c r="M885" s="238"/>
    </row>
    <row r="886" ht="12.75" customHeight="1">
      <c r="A886" s="238"/>
      <c r="B886" s="235"/>
      <c r="C886" s="235"/>
      <c r="D886" s="236"/>
      <c r="E886" s="235"/>
      <c r="F886" s="235"/>
      <c r="G886" s="237"/>
      <c r="H886" s="235"/>
      <c r="I886" s="235"/>
      <c r="J886" s="235"/>
      <c r="K886" s="66"/>
      <c r="L886" s="238"/>
      <c r="M886" s="238"/>
    </row>
    <row r="887" ht="12.75" customHeight="1">
      <c r="A887" s="238"/>
      <c r="B887" s="235"/>
      <c r="C887" s="235"/>
      <c r="D887" s="236"/>
      <c r="E887" s="235"/>
      <c r="F887" s="235"/>
      <c r="G887" s="237"/>
      <c r="H887" s="235"/>
      <c r="I887" s="235"/>
      <c r="J887" s="235"/>
      <c r="K887" s="66"/>
      <c r="L887" s="238"/>
      <c r="M887" s="238"/>
    </row>
    <row r="888" ht="12.75" customHeight="1">
      <c r="A888" s="238"/>
      <c r="B888" s="235"/>
      <c r="C888" s="235"/>
      <c r="D888" s="236"/>
      <c r="E888" s="235"/>
      <c r="F888" s="235"/>
      <c r="G888" s="237"/>
      <c r="H888" s="235"/>
      <c r="I888" s="235"/>
      <c r="J888" s="235"/>
      <c r="K888" s="66"/>
      <c r="L888" s="238"/>
      <c r="M888" s="238"/>
    </row>
    <row r="889" ht="12.75" customHeight="1">
      <c r="A889" s="238"/>
      <c r="B889" s="235"/>
      <c r="C889" s="235"/>
      <c r="D889" s="236"/>
      <c r="E889" s="235"/>
      <c r="F889" s="235"/>
      <c r="G889" s="237"/>
      <c r="H889" s="235"/>
      <c r="I889" s="235"/>
      <c r="J889" s="235"/>
      <c r="K889" s="66"/>
      <c r="L889" s="238"/>
      <c r="M889" s="238"/>
    </row>
    <row r="890" ht="12.75" customHeight="1">
      <c r="A890" s="238"/>
      <c r="B890" s="235"/>
      <c r="C890" s="235"/>
      <c r="D890" s="236"/>
      <c r="E890" s="235"/>
      <c r="F890" s="235"/>
      <c r="G890" s="237"/>
      <c r="H890" s="235"/>
      <c r="I890" s="235"/>
      <c r="J890" s="235"/>
      <c r="K890" s="66"/>
      <c r="L890" s="238"/>
      <c r="M890" s="238"/>
    </row>
    <row r="891" ht="12.75" customHeight="1">
      <c r="A891" s="238"/>
      <c r="B891" s="235"/>
      <c r="C891" s="235"/>
      <c r="D891" s="236"/>
      <c r="E891" s="235"/>
      <c r="F891" s="235"/>
      <c r="G891" s="237"/>
      <c r="H891" s="235"/>
      <c r="I891" s="235"/>
      <c r="J891" s="235"/>
      <c r="K891" s="66"/>
      <c r="L891" s="238"/>
      <c r="M891" s="238"/>
    </row>
    <row r="892" ht="12.75" customHeight="1">
      <c r="A892" s="238"/>
      <c r="B892" s="235"/>
      <c r="C892" s="235"/>
      <c r="D892" s="236"/>
      <c r="E892" s="235"/>
      <c r="F892" s="235"/>
      <c r="G892" s="237"/>
      <c r="H892" s="235"/>
      <c r="I892" s="235"/>
      <c r="J892" s="235"/>
      <c r="K892" s="66"/>
      <c r="L892" s="238"/>
      <c r="M892" s="238"/>
    </row>
    <row r="893" ht="12.75" customHeight="1">
      <c r="A893" s="238"/>
      <c r="B893" s="235"/>
      <c r="C893" s="235"/>
      <c r="D893" s="236"/>
      <c r="E893" s="235"/>
      <c r="F893" s="235"/>
      <c r="G893" s="237"/>
      <c r="H893" s="235"/>
      <c r="I893" s="235"/>
      <c r="J893" s="235"/>
      <c r="K893" s="66"/>
      <c r="L893" s="238"/>
      <c r="M893" s="238"/>
    </row>
    <row r="894" ht="12.75" customHeight="1">
      <c r="A894" s="238"/>
      <c r="B894" s="235"/>
      <c r="C894" s="235"/>
      <c r="D894" s="236"/>
      <c r="E894" s="235"/>
      <c r="F894" s="235"/>
      <c r="G894" s="237"/>
      <c r="H894" s="235"/>
      <c r="I894" s="235"/>
      <c r="J894" s="235"/>
      <c r="K894" s="66"/>
      <c r="L894" s="238"/>
      <c r="M894" s="238"/>
    </row>
    <row r="895" ht="12.75" customHeight="1">
      <c r="A895" s="238"/>
      <c r="B895" s="235"/>
      <c r="C895" s="235"/>
      <c r="D895" s="236"/>
      <c r="E895" s="235"/>
      <c r="F895" s="235"/>
      <c r="G895" s="237"/>
      <c r="H895" s="235"/>
      <c r="I895" s="235"/>
      <c r="J895" s="235"/>
      <c r="K895" s="66"/>
      <c r="L895" s="238"/>
      <c r="M895" s="238"/>
    </row>
    <row r="896" ht="12.75" customHeight="1">
      <c r="A896" s="238"/>
      <c r="B896" s="235"/>
      <c r="C896" s="235"/>
      <c r="D896" s="236"/>
      <c r="E896" s="235"/>
      <c r="F896" s="235"/>
      <c r="G896" s="237"/>
      <c r="H896" s="235"/>
      <c r="I896" s="235"/>
      <c r="J896" s="235"/>
      <c r="K896" s="66"/>
      <c r="L896" s="238"/>
      <c r="M896" s="238"/>
    </row>
    <row r="897" ht="12.75" customHeight="1">
      <c r="A897" s="238"/>
      <c r="B897" s="235"/>
      <c r="C897" s="235"/>
      <c r="D897" s="236"/>
      <c r="E897" s="235"/>
      <c r="F897" s="235"/>
      <c r="G897" s="237"/>
      <c r="H897" s="235"/>
      <c r="I897" s="235"/>
      <c r="J897" s="235"/>
      <c r="K897" s="66"/>
      <c r="L897" s="238"/>
      <c r="M897" s="238"/>
    </row>
    <row r="898" ht="12.75" customHeight="1">
      <c r="A898" s="238"/>
      <c r="B898" s="235"/>
      <c r="C898" s="235"/>
      <c r="D898" s="236"/>
      <c r="E898" s="235"/>
      <c r="F898" s="235"/>
      <c r="G898" s="237"/>
      <c r="H898" s="235"/>
      <c r="I898" s="235"/>
      <c r="J898" s="235"/>
      <c r="K898" s="66"/>
      <c r="L898" s="238"/>
      <c r="M898" s="238"/>
    </row>
    <row r="899" ht="12.75" customHeight="1">
      <c r="A899" s="238"/>
      <c r="B899" s="235"/>
      <c r="C899" s="235"/>
      <c r="D899" s="236"/>
      <c r="E899" s="235"/>
      <c r="F899" s="235"/>
      <c r="G899" s="237"/>
      <c r="H899" s="235"/>
      <c r="I899" s="235"/>
      <c r="J899" s="235"/>
      <c r="K899" s="66"/>
      <c r="L899" s="238"/>
      <c r="M899" s="238"/>
    </row>
    <row r="900" ht="12.75" customHeight="1">
      <c r="A900" s="238"/>
      <c r="B900" s="235"/>
      <c r="C900" s="235"/>
      <c r="D900" s="236"/>
      <c r="E900" s="235"/>
      <c r="F900" s="235"/>
      <c r="G900" s="237"/>
      <c r="H900" s="235"/>
      <c r="I900" s="235"/>
      <c r="J900" s="235"/>
      <c r="K900" s="66"/>
      <c r="L900" s="238"/>
      <c r="M900" s="238"/>
    </row>
    <row r="901" ht="12.75" customHeight="1">
      <c r="A901" s="238"/>
      <c r="B901" s="235"/>
      <c r="C901" s="235"/>
      <c r="D901" s="236"/>
      <c r="E901" s="235"/>
      <c r="F901" s="235"/>
      <c r="G901" s="237"/>
      <c r="H901" s="235"/>
      <c r="I901" s="235"/>
      <c r="J901" s="235"/>
      <c r="K901" s="66"/>
      <c r="L901" s="238"/>
      <c r="M901" s="238"/>
    </row>
    <row r="902" ht="12.75" customHeight="1">
      <c r="A902" s="238"/>
      <c r="B902" s="235"/>
      <c r="C902" s="235"/>
      <c r="D902" s="236"/>
      <c r="E902" s="235"/>
      <c r="F902" s="235"/>
      <c r="G902" s="237"/>
      <c r="H902" s="235"/>
      <c r="I902" s="235"/>
      <c r="J902" s="235"/>
      <c r="K902" s="66"/>
      <c r="L902" s="238"/>
      <c r="M902" s="238"/>
    </row>
    <row r="903" ht="12.75" customHeight="1">
      <c r="A903" s="238"/>
      <c r="B903" s="235"/>
      <c r="C903" s="235"/>
      <c r="D903" s="236"/>
      <c r="E903" s="235"/>
      <c r="F903" s="235"/>
      <c r="G903" s="237"/>
      <c r="H903" s="235"/>
      <c r="I903" s="235"/>
      <c r="J903" s="235"/>
      <c r="K903" s="66"/>
      <c r="L903" s="238"/>
      <c r="M903" s="238"/>
    </row>
    <row r="904" ht="12.75" customHeight="1">
      <c r="A904" s="238"/>
      <c r="B904" s="235"/>
      <c r="C904" s="235"/>
      <c r="D904" s="236"/>
      <c r="E904" s="235"/>
      <c r="F904" s="235"/>
      <c r="G904" s="237"/>
      <c r="H904" s="235"/>
      <c r="I904" s="235"/>
      <c r="J904" s="235"/>
      <c r="K904" s="66"/>
      <c r="L904" s="238"/>
      <c r="M904" s="238"/>
    </row>
    <row r="905" ht="12.75" customHeight="1">
      <c r="A905" s="238"/>
      <c r="B905" s="235"/>
      <c r="C905" s="235"/>
      <c r="D905" s="236"/>
      <c r="E905" s="235"/>
      <c r="F905" s="235"/>
      <c r="G905" s="237"/>
      <c r="H905" s="235"/>
      <c r="I905" s="235"/>
      <c r="J905" s="235"/>
      <c r="K905" s="66"/>
      <c r="L905" s="238"/>
      <c r="M905" s="238"/>
    </row>
    <row r="906" ht="12.75" customHeight="1">
      <c r="A906" s="238"/>
      <c r="B906" s="235"/>
      <c r="C906" s="235"/>
      <c r="D906" s="236"/>
      <c r="E906" s="235"/>
      <c r="F906" s="235"/>
      <c r="G906" s="237"/>
      <c r="H906" s="235"/>
      <c r="I906" s="235"/>
      <c r="J906" s="235"/>
      <c r="K906" s="66"/>
      <c r="L906" s="238"/>
      <c r="M906" s="238"/>
    </row>
    <row r="907" ht="12.75" customHeight="1">
      <c r="A907" s="238"/>
      <c r="B907" s="235"/>
      <c r="C907" s="235"/>
      <c r="D907" s="236"/>
      <c r="E907" s="235"/>
      <c r="F907" s="235"/>
      <c r="G907" s="237"/>
      <c r="H907" s="235"/>
      <c r="I907" s="235"/>
      <c r="J907" s="235"/>
      <c r="K907" s="66"/>
      <c r="L907" s="238"/>
      <c r="M907" s="238"/>
    </row>
    <row r="908" ht="12.75" customHeight="1">
      <c r="A908" s="238"/>
      <c r="B908" s="235"/>
      <c r="C908" s="235"/>
      <c r="D908" s="236"/>
      <c r="E908" s="235"/>
      <c r="F908" s="235"/>
      <c r="G908" s="237"/>
      <c r="H908" s="235"/>
      <c r="I908" s="235"/>
      <c r="J908" s="235"/>
      <c r="K908" s="66"/>
      <c r="L908" s="238"/>
      <c r="M908" s="238"/>
    </row>
    <row r="909" ht="12.75" customHeight="1">
      <c r="A909" s="238"/>
      <c r="B909" s="235"/>
      <c r="C909" s="235"/>
      <c r="D909" s="236"/>
      <c r="E909" s="235"/>
      <c r="F909" s="235"/>
      <c r="G909" s="237"/>
      <c r="H909" s="235"/>
      <c r="I909" s="235"/>
      <c r="J909" s="235"/>
      <c r="K909" s="66"/>
      <c r="L909" s="238"/>
      <c r="M909" s="238"/>
    </row>
    <row r="910" ht="12.75" customHeight="1">
      <c r="A910" s="238"/>
      <c r="B910" s="235"/>
      <c r="C910" s="235"/>
      <c r="D910" s="236"/>
      <c r="E910" s="235"/>
      <c r="F910" s="235"/>
      <c r="G910" s="237"/>
      <c r="H910" s="235"/>
      <c r="I910" s="235"/>
      <c r="J910" s="235"/>
      <c r="K910" s="66"/>
      <c r="L910" s="238"/>
      <c r="M910" s="238"/>
    </row>
    <row r="911" ht="12.75" customHeight="1">
      <c r="A911" s="238"/>
      <c r="B911" s="235"/>
      <c r="C911" s="235"/>
      <c r="D911" s="236"/>
      <c r="E911" s="235"/>
      <c r="F911" s="235"/>
      <c r="G911" s="237"/>
      <c r="H911" s="235"/>
      <c r="I911" s="235"/>
      <c r="J911" s="235"/>
      <c r="K911" s="66"/>
      <c r="L911" s="238"/>
      <c r="M911" s="238"/>
    </row>
    <row r="912" ht="12.75" customHeight="1">
      <c r="A912" s="238"/>
      <c r="B912" s="235"/>
      <c r="C912" s="235"/>
      <c r="D912" s="236"/>
      <c r="E912" s="235"/>
      <c r="F912" s="235"/>
      <c r="G912" s="237"/>
      <c r="H912" s="235"/>
      <c r="I912" s="235"/>
      <c r="J912" s="235"/>
      <c r="K912" s="66"/>
      <c r="L912" s="238"/>
      <c r="M912" s="238"/>
    </row>
    <row r="913" ht="12.75" customHeight="1">
      <c r="A913" s="238"/>
      <c r="B913" s="235"/>
      <c r="C913" s="235"/>
      <c r="D913" s="236"/>
      <c r="E913" s="235"/>
      <c r="F913" s="235"/>
      <c r="G913" s="237"/>
      <c r="H913" s="235"/>
      <c r="I913" s="235"/>
      <c r="J913" s="235"/>
      <c r="K913" s="66"/>
      <c r="L913" s="238"/>
      <c r="M913" s="238"/>
    </row>
    <row r="914" ht="12.75" customHeight="1">
      <c r="A914" s="238"/>
      <c r="B914" s="235"/>
      <c r="C914" s="235"/>
      <c r="D914" s="236"/>
      <c r="E914" s="235"/>
      <c r="F914" s="235"/>
      <c r="G914" s="237"/>
      <c r="H914" s="235"/>
      <c r="I914" s="235"/>
      <c r="J914" s="235"/>
      <c r="K914" s="66"/>
      <c r="L914" s="238"/>
      <c r="M914" s="238"/>
    </row>
    <row r="915" ht="12.75" customHeight="1">
      <c r="A915" s="238"/>
      <c r="B915" s="235"/>
      <c r="C915" s="235"/>
      <c r="D915" s="236"/>
      <c r="E915" s="235"/>
      <c r="F915" s="235"/>
      <c r="G915" s="237"/>
      <c r="H915" s="235"/>
      <c r="I915" s="235"/>
      <c r="J915" s="235"/>
      <c r="K915" s="66"/>
      <c r="L915" s="238"/>
      <c r="M915" s="238"/>
    </row>
    <row r="916" ht="12.75" customHeight="1">
      <c r="A916" s="238"/>
      <c r="B916" s="235"/>
      <c r="C916" s="235"/>
      <c r="D916" s="236"/>
      <c r="E916" s="235"/>
      <c r="F916" s="235"/>
      <c r="G916" s="237"/>
      <c r="H916" s="235"/>
      <c r="I916" s="235"/>
      <c r="J916" s="235"/>
      <c r="K916" s="66"/>
      <c r="L916" s="238"/>
      <c r="M916" s="238"/>
    </row>
    <row r="917" ht="12.75" customHeight="1">
      <c r="A917" s="238"/>
      <c r="B917" s="235"/>
      <c r="C917" s="235"/>
      <c r="D917" s="236"/>
      <c r="E917" s="235"/>
      <c r="F917" s="235"/>
      <c r="G917" s="237"/>
      <c r="H917" s="235"/>
      <c r="I917" s="235"/>
      <c r="J917" s="235"/>
      <c r="K917" s="66"/>
      <c r="L917" s="238"/>
      <c r="M917" s="238"/>
    </row>
    <row r="918" ht="12.75" customHeight="1">
      <c r="A918" s="238"/>
      <c r="B918" s="235"/>
      <c r="C918" s="235"/>
      <c r="D918" s="236"/>
      <c r="E918" s="235"/>
      <c r="F918" s="235"/>
      <c r="G918" s="237"/>
      <c r="H918" s="235"/>
      <c r="I918" s="235"/>
      <c r="J918" s="235"/>
      <c r="K918" s="66"/>
      <c r="L918" s="238"/>
      <c r="M918" s="238"/>
    </row>
    <row r="919" ht="12.75" customHeight="1">
      <c r="A919" s="238"/>
      <c r="B919" s="235"/>
      <c r="C919" s="235"/>
      <c r="D919" s="236"/>
      <c r="E919" s="235"/>
      <c r="F919" s="235"/>
      <c r="G919" s="237"/>
      <c r="H919" s="235"/>
      <c r="I919" s="235"/>
      <c r="J919" s="235"/>
      <c r="K919" s="66"/>
      <c r="L919" s="238"/>
      <c r="M919" s="238"/>
    </row>
    <row r="920" ht="12.75" customHeight="1">
      <c r="A920" s="238"/>
      <c r="B920" s="235"/>
      <c r="C920" s="235"/>
      <c r="D920" s="236"/>
      <c r="E920" s="235"/>
      <c r="F920" s="235"/>
      <c r="G920" s="237"/>
      <c r="H920" s="235"/>
      <c r="I920" s="235"/>
      <c r="J920" s="235"/>
      <c r="K920" s="66"/>
      <c r="L920" s="238"/>
      <c r="M920" s="238"/>
    </row>
    <row r="921" ht="12.75" customHeight="1">
      <c r="A921" s="238"/>
      <c r="B921" s="235"/>
      <c r="C921" s="235"/>
      <c r="D921" s="236"/>
      <c r="E921" s="235"/>
      <c r="F921" s="235"/>
      <c r="G921" s="237"/>
      <c r="H921" s="235"/>
      <c r="I921" s="235"/>
      <c r="J921" s="235"/>
      <c r="K921" s="66"/>
      <c r="L921" s="238"/>
      <c r="M921" s="238"/>
    </row>
    <row r="922" ht="12.75" customHeight="1">
      <c r="A922" s="238"/>
      <c r="B922" s="235"/>
      <c r="C922" s="235"/>
      <c r="D922" s="236"/>
      <c r="E922" s="235"/>
      <c r="F922" s="235"/>
      <c r="G922" s="237"/>
      <c r="H922" s="235"/>
      <c r="I922" s="235"/>
      <c r="J922" s="235"/>
      <c r="K922" s="66"/>
      <c r="L922" s="238"/>
      <c r="M922" s="238"/>
    </row>
    <row r="923" ht="12.75" customHeight="1">
      <c r="A923" s="238"/>
      <c r="B923" s="235"/>
      <c r="C923" s="235"/>
      <c r="D923" s="236"/>
      <c r="E923" s="235"/>
      <c r="F923" s="235"/>
      <c r="G923" s="237"/>
      <c r="H923" s="235"/>
      <c r="I923" s="235"/>
      <c r="J923" s="235"/>
      <c r="K923" s="66"/>
      <c r="L923" s="238"/>
      <c r="M923" s="238"/>
    </row>
    <row r="924" ht="12.75" customHeight="1">
      <c r="A924" s="238"/>
      <c r="B924" s="235"/>
      <c r="C924" s="235"/>
      <c r="D924" s="236"/>
      <c r="E924" s="235"/>
      <c r="F924" s="235"/>
      <c r="G924" s="237"/>
      <c r="H924" s="235"/>
      <c r="I924" s="235"/>
      <c r="J924" s="235"/>
      <c r="K924" s="66"/>
      <c r="L924" s="238"/>
      <c r="M924" s="238"/>
    </row>
    <row r="925" ht="12.75" customHeight="1">
      <c r="A925" s="238"/>
      <c r="B925" s="235"/>
      <c r="C925" s="235"/>
      <c r="D925" s="236"/>
      <c r="E925" s="235"/>
      <c r="F925" s="235"/>
      <c r="G925" s="237"/>
      <c r="H925" s="235"/>
      <c r="I925" s="235"/>
      <c r="J925" s="235"/>
      <c r="K925" s="66"/>
      <c r="L925" s="238"/>
      <c r="M925" s="238"/>
    </row>
    <row r="926" ht="12.75" customHeight="1">
      <c r="A926" s="238"/>
      <c r="B926" s="235"/>
      <c r="C926" s="235"/>
      <c r="D926" s="236"/>
      <c r="E926" s="235"/>
      <c r="F926" s="235"/>
      <c r="G926" s="237"/>
      <c r="H926" s="235"/>
      <c r="I926" s="235"/>
      <c r="J926" s="235"/>
      <c r="K926" s="66"/>
      <c r="L926" s="238"/>
      <c r="M926" s="238"/>
    </row>
    <row r="927" ht="12.75" customHeight="1">
      <c r="A927" s="238"/>
      <c r="B927" s="235"/>
      <c r="C927" s="235"/>
      <c r="D927" s="236"/>
      <c r="E927" s="235"/>
      <c r="F927" s="235"/>
      <c r="G927" s="237"/>
      <c r="H927" s="235"/>
      <c r="I927" s="235"/>
      <c r="J927" s="235"/>
      <c r="K927" s="66"/>
      <c r="L927" s="238"/>
      <c r="M927" s="238"/>
    </row>
    <row r="928" ht="12.75" customHeight="1">
      <c r="A928" s="238"/>
      <c r="B928" s="235"/>
      <c r="C928" s="235"/>
      <c r="D928" s="236"/>
      <c r="E928" s="235"/>
      <c r="F928" s="235"/>
      <c r="G928" s="237"/>
      <c r="H928" s="235"/>
      <c r="I928" s="235"/>
      <c r="J928" s="235"/>
      <c r="K928" s="66"/>
      <c r="L928" s="238"/>
      <c r="M928" s="238"/>
    </row>
    <row r="929" ht="12.75" customHeight="1">
      <c r="A929" s="238"/>
      <c r="B929" s="235"/>
      <c r="C929" s="235"/>
      <c r="D929" s="236"/>
      <c r="E929" s="235"/>
      <c r="F929" s="235"/>
      <c r="G929" s="237"/>
      <c r="H929" s="235"/>
      <c r="I929" s="235"/>
      <c r="J929" s="235"/>
      <c r="K929" s="66"/>
      <c r="L929" s="238"/>
      <c r="M929" s="238"/>
    </row>
    <row r="930" ht="12.75" customHeight="1">
      <c r="A930" s="238"/>
      <c r="B930" s="235"/>
      <c r="C930" s="235"/>
      <c r="D930" s="236"/>
      <c r="E930" s="235"/>
      <c r="F930" s="235"/>
      <c r="G930" s="237"/>
      <c r="H930" s="235"/>
      <c r="I930" s="235"/>
      <c r="J930" s="235"/>
      <c r="K930" s="66"/>
      <c r="L930" s="238"/>
      <c r="M930" s="238"/>
    </row>
    <row r="931" ht="12.75" customHeight="1">
      <c r="A931" s="238"/>
      <c r="B931" s="235"/>
      <c r="C931" s="235"/>
      <c r="D931" s="236"/>
      <c r="E931" s="235"/>
      <c r="F931" s="235"/>
      <c r="G931" s="237"/>
      <c r="H931" s="235"/>
      <c r="I931" s="235"/>
      <c r="J931" s="235"/>
      <c r="K931" s="66"/>
      <c r="L931" s="238"/>
      <c r="M931" s="238"/>
    </row>
    <row r="932" ht="12.75" customHeight="1">
      <c r="A932" s="238"/>
      <c r="B932" s="235"/>
      <c r="C932" s="235"/>
      <c r="D932" s="236"/>
      <c r="E932" s="235"/>
      <c r="F932" s="235"/>
      <c r="G932" s="237"/>
      <c r="H932" s="235"/>
      <c r="I932" s="235"/>
      <c r="J932" s="235"/>
      <c r="K932" s="66"/>
      <c r="L932" s="238"/>
      <c r="M932" s="238"/>
    </row>
    <row r="933" ht="12.75" customHeight="1">
      <c r="A933" s="238"/>
      <c r="B933" s="235"/>
      <c r="C933" s="235"/>
      <c r="D933" s="236"/>
      <c r="E933" s="235"/>
      <c r="F933" s="235"/>
      <c r="G933" s="237"/>
      <c r="H933" s="235"/>
      <c r="I933" s="235"/>
      <c r="J933" s="235"/>
      <c r="K933" s="66"/>
      <c r="L933" s="238"/>
      <c r="M933" s="238"/>
    </row>
    <row r="934" ht="12.75" customHeight="1">
      <c r="A934" s="238"/>
      <c r="B934" s="235"/>
      <c r="C934" s="235"/>
      <c r="D934" s="236"/>
      <c r="E934" s="235"/>
      <c r="F934" s="235"/>
      <c r="G934" s="237"/>
      <c r="H934" s="235"/>
      <c r="I934" s="235"/>
      <c r="J934" s="235"/>
      <c r="K934" s="66"/>
      <c r="L934" s="238"/>
      <c r="M934" s="238"/>
    </row>
    <row r="935" ht="12.75" customHeight="1">
      <c r="A935" s="238"/>
      <c r="B935" s="235"/>
      <c r="C935" s="235"/>
      <c r="D935" s="236"/>
      <c r="E935" s="235"/>
      <c r="F935" s="235"/>
      <c r="G935" s="237"/>
      <c r="H935" s="235"/>
      <c r="I935" s="235"/>
      <c r="J935" s="235"/>
      <c r="K935" s="66"/>
      <c r="L935" s="238"/>
      <c r="M935" s="238"/>
    </row>
    <row r="936" ht="12.75" customHeight="1">
      <c r="A936" s="238"/>
      <c r="B936" s="235"/>
      <c r="C936" s="235"/>
      <c r="D936" s="236"/>
      <c r="E936" s="235"/>
      <c r="F936" s="235"/>
      <c r="G936" s="237"/>
      <c r="H936" s="235"/>
      <c r="I936" s="235"/>
      <c r="J936" s="235"/>
      <c r="K936" s="66"/>
      <c r="L936" s="238"/>
      <c r="M936" s="238"/>
    </row>
    <row r="937" ht="12.75" customHeight="1">
      <c r="A937" s="238"/>
      <c r="B937" s="235"/>
      <c r="C937" s="235"/>
      <c r="D937" s="236"/>
      <c r="E937" s="235"/>
      <c r="F937" s="235"/>
      <c r="G937" s="237"/>
      <c r="H937" s="235"/>
      <c r="I937" s="235"/>
      <c r="J937" s="235"/>
      <c r="K937" s="66"/>
      <c r="L937" s="238"/>
      <c r="M937" s="238"/>
    </row>
    <row r="938" ht="12.75" customHeight="1">
      <c r="A938" s="238"/>
      <c r="B938" s="235"/>
      <c r="C938" s="235"/>
      <c r="D938" s="236"/>
      <c r="E938" s="235"/>
      <c r="F938" s="235"/>
      <c r="G938" s="237"/>
      <c r="H938" s="235"/>
      <c r="I938" s="235"/>
      <c r="J938" s="235"/>
      <c r="K938" s="66"/>
      <c r="L938" s="238"/>
      <c r="M938" s="238"/>
    </row>
    <row r="939" ht="12.75" customHeight="1">
      <c r="A939" s="238"/>
      <c r="B939" s="235"/>
      <c r="C939" s="235"/>
      <c r="D939" s="236"/>
      <c r="E939" s="235"/>
      <c r="F939" s="235"/>
      <c r="G939" s="237"/>
      <c r="H939" s="235"/>
      <c r="I939" s="235"/>
      <c r="J939" s="235"/>
      <c r="K939" s="66"/>
      <c r="L939" s="238"/>
      <c r="M939" s="238"/>
    </row>
    <row r="940" ht="12.75" customHeight="1">
      <c r="A940" s="238"/>
      <c r="B940" s="235"/>
      <c r="C940" s="235"/>
      <c r="D940" s="236"/>
      <c r="E940" s="235"/>
      <c r="F940" s="235"/>
      <c r="G940" s="237"/>
      <c r="H940" s="235"/>
      <c r="I940" s="235"/>
      <c r="J940" s="235"/>
      <c r="K940" s="66"/>
      <c r="L940" s="238"/>
      <c r="M940" s="238"/>
    </row>
    <row r="941" ht="12.75" customHeight="1">
      <c r="A941" s="238"/>
      <c r="B941" s="235"/>
      <c r="C941" s="235"/>
      <c r="D941" s="236"/>
      <c r="E941" s="235"/>
      <c r="F941" s="235"/>
      <c r="G941" s="237"/>
      <c r="H941" s="235"/>
      <c r="I941" s="235"/>
      <c r="J941" s="235"/>
      <c r="K941" s="66"/>
      <c r="L941" s="238"/>
      <c r="M941" s="238"/>
    </row>
    <row r="942" ht="12.75" customHeight="1">
      <c r="A942" s="238"/>
      <c r="B942" s="235"/>
      <c r="C942" s="235"/>
      <c r="D942" s="236"/>
      <c r="E942" s="235"/>
      <c r="F942" s="235"/>
      <c r="G942" s="237"/>
      <c r="H942" s="235"/>
      <c r="I942" s="235"/>
      <c r="J942" s="235"/>
      <c r="K942" s="66"/>
      <c r="L942" s="238"/>
      <c r="M942" s="238"/>
    </row>
    <row r="943" ht="12.75" customHeight="1">
      <c r="A943" s="238"/>
      <c r="B943" s="235"/>
      <c r="C943" s="235"/>
      <c r="D943" s="236"/>
      <c r="E943" s="235"/>
      <c r="F943" s="235"/>
      <c r="G943" s="237"/>
      <c r="H943" s="235"/>
      <c r="I943" s="235"/>
      <c r="J943" s="235"/>
      <c r="K943" s="66"/>
      <c r="L943" s="238"/>
      <c r="M943" s="238"/>
    </row>
    <row r="944" ht="12.75" customHeight="1">
      <c r="A944" s="238"/>
      <c r="B944" s="235"/>
      <c r="C944" s="235"/>
      <c r="D944" s="236"/>
      <c r="E944" s="235"/>
      <c r="F944" s="235"/>
      <c r="G944" s="237"/>
      <c r="H944" s="235"/>
      <c r="I944" s="235"/>
      <c r="J944" s="235"/>
      <c r="K944" s="66"/>
      <c r="L944" s="238"/>
      <c r="M944" s="238"/>
    </row>
    <row r="945" ht="12.75" customHeight="1">
      <c r="A945" s="238"/>
      <c r="B945" s="235"/>
      <c r="C945" s="235"/>
      <c r="D945" s="236"/>
      <c r="E945" s="235"/>
      <c r="F945" s="235"/>
      <c r="G945" s="237"/>
      <c r="H945" s="235"/>
      <c r="I945" s="235"/>
      <c r="J945" s="235"/>
      <c r="K945" s="66"/>
      <c r="L945" s="238"/>
      <c r="M945" s="238"/>
    </row>
    <row r="946" ht="12.75" customHeight="1">
      <c r="A946" s="238"/>
      <c r="B946" s="235"/>
      <c r="C946" s="235"/>
      <c r="D946" s="236"/>
      <c r="E946" s="235"/>
      <c r="F946" s="235"/>
      <c r="G946" s="237"/>
      <c r="H946" s="235"/>
      <c r="I946" s="235"/>
      <c r="J946" s="235"/>
      <c r="K946" s="66"/>
      <c r="L946" s="238"/>
      <c r="M946" s="238"/>
    </row>
    <row r="947" ht="12.75" customHeight="1">
      <c r="A947" s="238"/>
      <c r="B947" s="235"/>
      <c r="C947" s="235"/>
      <c r="D947" s="236"/>
      <c r="E947" s="235"/>
      <c r="F947" s="235"/>
      <c r="G947" s="237"/>
      <c r="H947" s="235"/>
      <c r="I947" s="235"/>
      <c r="J947" s="235"/>
      <c r="K947" s="66"/>
      <c r="L947" s="238"/>
      <c r="M947" s="238"/>
    </row>
    <row r="948" ht="12.75" customHeight="1">
      <c r="A948" s="238"/>
      <c r="B948" s="235"/>
      <c r="C948" s="235"/>
      <c r="D948" s="236"/>
      <c r="E948" s="235"/>
      <c r="F948" s="235"/>
      <c r="G948" s="237"/>
      <c r="H948" s="235"/>
      <c r="I948" s="235"/>
      <c r="J948" s="235"/>
      <c r="K948" s="66"/>
      <c r="L948" s="238"/>
      <c r="M948" s="238"/>
    </row>
    <row r="949" ht="12.75" customHeight="1">
      <c r="A949" s="238"/>
      <c r="B949" s="235"/>
      <c r="C949" s="235"/>
      <c r="D949" s="236"/>
      <c r="E949" s="235"/>
      <c r="F949" s="235"/>
      <c r="G949" s="237"/>
      <c r="H949" s="235"/>
      <c r="I949" s="235"/>
      <c r="J949" s="235"/>
      <c r="K949" s="66"/>
      <c r="L949" s="238"/>
      <c r="M949" s="238"/>
    </row>
    <row r="950" ht="12.75" customHeight="1">
      <c r="A950" s="238"/>
      <c r="B950" s="235"/>
      <c r="C950" s="235"/>
      <c r="D950" s="236"/>
      <c r="E950" s="235"/>
      <c r="F950" s="235"/>
      <c r="G950" s="237"/>
      <c r="H950" s="235"/>
      <c r="I950" s="235"/>
      <c r="J950" s="235"/>
      <c r="K950" s="66"/>
      <c r="L950" s="238"/>
      <c r="M950" s="238"/>
    </row>
    <row r="951" ht="12.75" customHeight="1">
      <c r="A951" s="238"/>
      <c r="B951" s="235"/>
      <c r="C951" s="235"/>
      <c r="D951" s="236"/>
      <c r="E951" s="235"/>
      <c r="F951" s="235"/>
      <c r="G951" s="237"/>
      <c r="H951" s="235"/>
      <c r="I951" s="235"/>
      <c r="J951" s="235"/>
      <c r="K951" s="66"/>
      <c r="L951" s="238"/>
      <c r="M951" s="238"/>
    </row>
    <row r="952" ht="12.75" customHeight="1">
      <c r="A952" s="238"/>
      <c r="B952" s="235"/>
      <c r="C952" s="235"/>
      <c r="D952" s="236"/>
      <c r="E952" s="235"/>
      <c r="F952" s="235"/>
      <c r="G952" s="237"/>
      <c r="H952" s="235"/>
      <c r="I952" s="235"/>
      <c r="J952" s="235"/>
      <c r="K952" s="66"/>
      <c r="L952" s="238"/>
      <c r="M952" s="238"/>
    </row>
    <row r="953" ht="12.75" customHeight="1">
      <c r="A953" s="238"/>
      <c r="B953" s="235"/>
      <c r="C953" s="235"/>
      <c r="D953" s="236"/>
      <c r="E953" s="235"/>
      <c r="F953" s="235"/>
      <c r="G953" s="237"/>
      <c r="H953" s="235"/>
      <c r="I953" s="235"/>
      <c r="J953" s="235"/>
      <c r="K953" s="66"/>
      <c r="L953" s="238"/>
      <c r="M953" s="238"/>
    </row>
    <row r="954" ht="12.75" customHeight="1">
      <c r="A954" s="238"/>
      <c r="B954" s="235"/>
      <c r="C954" s="235"/>
      <c r="D954" s="236"/>
      <c r="E954" s="235"/>
      <c r="F954" s="235"/>
      <c r="G954" s="237"/>
      <c r="H954" s="235"/>
      <c r="I954" s="235"/>
      <c r="J954" s="235"/>
      <c r="K954" s="66"/>
      <c r="L954" s="238"/>
      <c r="M954" s="238"/>
    </row>
    <row r="955" ht="12.75" customHeight="1">
      <c r="A955" s="238"/>
      <c r="B955" s="235"/>
      <c r="C955" s="235"/>
      <c r="D955" s="236"/>
      <c r="E955" s="235"/>
      <c r="F955" s="235"/>
      <c r="G955" s="237"/>
      <c r="H955" s="235"/>
      <c r="I955" s="235"/>
      <c r="J955" s="235"/>
      <c r="K955" s="66"/>
      <c r="L955" s="238"/>
      <c r="M955" s="238"/>
    </row>
    <row r="956" ht="12.75" customHeight="1">
      <c r="A956" s="238"/>
      <c r="B956" s="235"/>
      <c r="C956" s="235"/>
      <c r="D956" s="236"/>
      <c r="E956" s="235"/>
      <c r="F956" s="235"/>
      <c r="G956" s="237"/>
      <c r="H956" s="235"/>
      <c r="I956" s="235"/>
      <c r="J956" s="235"/>
      <c r="K956" s="66"/>
      <c r="L956" s="238"/>
      <c r="M956" s="238"/>
    </row>
    <row r="957" ht="12.75" customHeight="1">
      <c r="A957" s="238"/>
      <c r="B957" s="235"/>
      <c r="C957" s="235"/>
      <c r="D957" s="236"/>
      <c r="E957" s="235"/>
      <c r="F957" s="235"/>
      <c r="G957" s="237"/>
      <c r="H957" s="235"/>
      <c r="I957" s="235"/>
      <c r="J957" s="235"/>
      <c r="K957" s="66"/>
      <c r="L957" s="238"/>
      <c r="M957" s="238"/>
    </row>
    <row r="958" ht="12.75" customHeight="1">
      <c r="A958" s="238"/>
      <c r="B958" s="235"/>
      <c r="C958" s="235"/>
      <c r="D958" s="236"/>
      <c r="E958" s="235"/>
      <c r="F958" s="235"/>
      <c r="G958" s="237"/>
      <c r="H958" s="235"/>
      <c r="I958" s="235"/>
      <c r="J958" s="235"/>
      <c r="K958" s="66"/>
      <c r="L958" s="238"/>
      <c r="M958" s="238"/>
    </row>
    <row r="959" ht="12.75" customHeight="1">
      <c r="A959" s="238"/>
      <c r="B959" s="235"/>
      <c r="C959" s="235"/>
      <c r="D959" s="236"/>
      <c r="E959" s="235"/>
      <c r="F959" s="235"/>
      <c r="G959" s="237"/>
      <c r="H959" s="235"/>
      <c r="I959" s="235"/>
      <c r="J959" s="235"/>
      <c r="K959" s="66"/>
      <c r="L959" s="238"/>
      <c r="M959" s="238"/>
    </row>
    <row r="960" ht="12.75" customHeight="1">
      <c r="A960" s="238"/>
      <c r="B960" s="235"/>
      <c r="C960" s="235"/>
      <c r="D960" s="236"/>
      <c r="E960" s="235"/>
      <c r="F960" s="235"/>
      <c r="G960" s="237"/>
      <c r="H960" s="235"/>
      <c r="I960" s="235"/>
      <c r="J960" s="235"/>
      <c r="K960" s="66"/>
      <c r="L960" s="238"/>
      <c r="M960" s="238"/>
    </row>
    <row r="961" ht="12.75" customHeight="1">
      <c r="A961" s="238"/>
      <c r="B961" s="235"/>
      <c r="C961" s="235"/>
      <c r="D961" s="236"/>
      <c r="E961" s="235"/>
      <c r="F961" s="235"/>
      <c r="G961" s="237"/>
      <c r="H961" s="235"/>
      <c r="I961" s="235"/>
      <c r="J961" s="235"/>
      <c r="K961" s="66"/>
      <c r="L961" s="238"/>
      <c r="M961" s="238"/>
    </row>
    <row r="962" ht="12.75" customHeight="1">
      <c r="A962" s="238"/>
      <c r="B962" s="235"/>
      <c r="C962" s="235"/>
      <c r="D962" s="236"/>
      <c r="E962" s="235"/>
      <c r="F962" s="235"/>
      <c r="G962" s="237"/>
      <c r="H962" s="235"/>
      <c r="I962" s="235"/>
      <c r="J962" s="235"/>
      <c r="K962" s="66"/>
      <c r="L962" s="238"/>
      <c r="M962" s="238"/>
    </row>
    <row r="963" ht="12.75" customHeight="1">
      <c r="A963" s="238"/>
      <c r="B963" s="235"/>
      <c r="C963" s="235"/>
      <c r="D963" s="236"/>
      <c r="E963" s="235"/>
      <c r="F963" s="235"/>
      <c r="G963" s="237"/>
      <c r="H963" s="235"/>
      <c r="I963" s="235"/>
      <c r="J963" s="235"/>
      <c r="K963" s="66"/>
      <c r="L963" s="238"/>
      <c r="M963" s="238"/>
    </row>
    <row r="964" ht="12.75" customHeight="1">
      <c r="A964" s="238"/>
      <c r="B964" s="235"/>
      <c r="C964" s="235"/>
      <c r="D964" s="236"/>
      <c r="E964" s="235"/>
      <c r="F964" s="235"/>
      <c r="G964" s="237"/>
      <c r="H964" s="235"/>
      <c r="I964" s="235"/>
      <c r="J964" s="235"/>
      <c r="K964" s="66"/>
      <c r="L964" s="238"/>
      <c r="M964" s="238"/>
    </row>
    <row r="965" ht="12.75" customHeight="1">
      <c r="A965" s="238"/>
      <c r="B965" s="235"/>
      <c r="C965" s="235"/>
      <c r="D965" s="236"/>
      <c r="E965" s="235"/>
      <c r="F965" s="235"/>
      <c r="G965" s="237"/>
      <c r="H965" s="235"/>
      <c r="I965" s="235"/>
      <c r="J965" s="235"/>
      <c r="K965" s="66"/>
      <c r="L965" s="238"/>
      <c r="M965" s="238"/>
    </row>
    <row r="966" ht="12.75" customHeight="1">
      <c r="A966" s="238"/>
      <c r="B966" s="235"/>
      <c r="C966" s="235"/>
      <c r="D966" s="236"/>
      <c r="E966" s="235"/>
      <c r="F966" s="235"/>
      <c r="G966" s="237"/>
      <c r="H966" s="235"/>
      <c r="I966" s="235"/>
      <c r="J966" s="235"/>
      <c r="K966" s="66"/>
      <c r="L966" s="238"/>
      <c r="M966" s="238"/>
    </row>
    <row r="967" ht="12.75" customHeight="1">
      <c r="A967" s="238"/>
      <c r="B967" s="235"/>
      <c r="C967" s="235"/>
      <c r="D967" s="236"/>
      <c r="E967" s="235"/>
      <c r="F967" s="235"/>
      <c r="G967" s="237"/>
      <c r="H967" s="235"/>
      <c r="I967" s="235"/>
      <c r="J967" s="235"/>
      <c r="K967" s="66"/>
      <c r="L967" s="238"/>
      <c r="M967" s="238"/>
    </row>
    <row r="968" ht="12.75" customHeight="1">
      <c r="A968" s="238"/>
      <c r="B968" s="235"/>
      <c r="C968" s="235"/>
      <c r="D968" s="236"/>
      <c r="E968" s="235"/>
      <c r="F968" s="235"/>
      <c r="G968" s="237"/>
      <c r="H968" s="235"/>
      <c r="I968" s="235"/>
      <c r="J968" s="235"/>
      <c r="K968" s="66"/>
      <c r="L968" s="238"/>
      <c r="M968" s="238"/>
    </row>
    <row r="969" ht="12.75" customHeight="1">
      <c r="A969" s="238"/>
      <c r="B969" s="235"/>
      <c r="C969" s="235"/>
      <c r="D969" s="236"/>
      <c r="E969" s="235"/>
      <c r="F969" s="235"/>
      <c r="G969" s="237"/>
      <c r="H969" s="235"/>
      <c r="I969" s="235"/>
      <c r="J969" s="235"/>
      <c r="K969" s="66"/>
      <c r="L969" s="238"/>
      <c r="M969" s="238"/>
    </row>
    <row r="970" ht="12.75" customHeight="1">
      <c r="A970" s="238"/>
      <c r="B970" s="235"/>
      <c r="C970" s="235"/>
      <c r="D970" s="236"/>
      <c r="E970" s="235"/>
      <c r="F970" s="235"/>
      <c r="G970" s="237"/>
      <c r="H970" s="235"/>
      <c r="I970" s="235"/>
      <c r="J970" s="235"/>
      <c r="K970" s="66"/>
      <c r="L970" s="238"/>
      <c r="M970" s="238"/>
    </row>
    <row r="971" ht="12.75" customHeight="1">
      <c r="A971" s="238"/>
      <c r="B971" s="235"/>
      <c r="C971" s="235"/>
      <c r="D971" s="236"/>
      <c r="E971" s="235"/>
      <c r="F971" s="235"/>
      <c r="G971" s="237"/>
      <c r="H971" s="235"/>
      <c r="I971" s="235"/>
      <c r="J971" s="235"/>
      <c r="K971" s="66"/>
      <c r="L971" s="238"/>
      <c r="M971" s="238"/>
    </row>
    <row r="972" ht="12.75" customHeight="1">
      <c r="A972" s="238"/>
      <c r="B972" s="235"/>
      <c r="C972" s="235"/>
      <c r="D972" s="236"/>
      <c r="E972" s="235"/>
      <c r="F972" s="235"/>
      <c r="G972" s="237"/>
      <c r="H972" s="235"/>
      <c r="I972" s="235"/>
      <c r="J972" s="235"/>
      <c r="K972" s="66"/>
      <c r="L972" s="238"/>
      <c r="M972" s="238"/>
    </row>
    <row r="973" ht="12.75" customHeight="1">
      <c r="A973" s="238"/>
      <c r="B973" s="235"/>
      <c r="C973" s="235"/>
      <c r="D973" s="236"/>
      <c r="E973" s="235"/>
      <c r="F973" s="235"/>
      <c r="G973" s="237"/>
      <c r="H973" s="235"/>
      <c r="I973" s="235"/>
      <c r="J973" s="235"/>
      <c r="K973" s="66"/>
      <c r="L973" s="238"/>
      <c r="M973" s="238"/>
    </row>
    <row r="974" ht="12.75" customHeight="1">
      <c r="A974" s="238"/>
      <c r="B974" s="235"/>
      <c r="C974" s="235"/>
      <c r="D974" s="236"/>
      <c r="E974" s="235"/>
      <c r="F974" s="235"/>
      <c r="G974" s="237"/>
      <c r="H974" s="235"/>
      <c r="I974" s="235"/>
      <c r="J974" s="235"/>
      <c r="K974" s="66"/>
      <c r="L974" s="238"/>
      <c r="M974" s="238"/>
    </row>
    <row r="975" ht="12.75" customHeight="1">
      <c r="A975" s="238"/>
      <c r="B975" s="235"/>
      <c r="C975" s="235"/>
      <c r="D975" s="236"/>
      <c r="E975" s="235"/>
      <c r="F975" s="235"/>
      <c r="G975" s="237"/>
      <c r="H975" s="235"/>
      <c r="I975" s="235"/>
      <c r="J975" s="235"/>
      <c r="K975" s="66"/>
      <c r="L975" s="238"/>
      <c r="M975" s="238"/>
    </row>
    <row r="976" ht="12.75" customHeight="1">
      <c r="A976" s="238"/>
      <c r="B976" s="235"/>
      <c r="C976" s="235"/>
      <c r="D976" s="236"/>
      <c r="E976" s="235"/>
      <c r="F976" s="235"/>
      <c r="G976" s="237"/>
      <c r="H976" s="235"/>
      <c r="I976" s="235"/>
      <c r="J976" s="235"/>
      <c r="K976" s="66"/>
      <c r="L976" s="238"/>
      <c r="M976" s="238"/>
    </row>
    <row r="977" ht="12.75" customHeight="1">
      <c r="A977" s="238"/>
      <c r="B977" s="235"/>
      <c r="C977" s="235"/>
      <c r="D977" s="236"/>
      <c r="E977" s="235"/>
      <c r="F977" s="235"/>
      <c r="G977" s="237"/>
      <c r="H977" s="235"/>
      <c r="I977" s="235"/>
      <c r="J977" s="235"/>
      <c r="K977" s="66"/>
      <c r="L977" s="238"/>
      <c r="M977" s="238"/>
    </row>
    <row r="978" ht="12.75" customHeight="1">
      <c r="A978" s="238"/>
      <c r="B978" s="235"/>
      <c r="C978" s="235"/>
      <c r="D978" s="236"/>
      <c r="E978" s="235"/>
      <c r="F978" s="235"/>
      <c r="G978" s="237"/>
      <c r="H978" s="235"/>
      <c r="I978" s="235"/>
      <c r="J978" s="235"/>
      <c r="K978" s="66"/>
      <c r="L978" s="238"/>
      <c r="M978" s="238"/>
    </row>
    <row r="979" ht="12.75" customHeight="1">
      <c r="A979" s="238"/>
      <c r="B979" s="235"/>
      <c r="C979" s="235"/>
      <c r="D979" s="236"/>
      <c r="E979" s="235"/>
      <c r="F979" s="235"/>
      <c r="G979" s="237"/>
      <c r="H979" s="235"/>
      <c r="I979" s="235"/>
      <c r="J979" s="235"/>
      <c r="K979" s="66"/>
      <c r="L979" s="238"/>
      <c r="M979" s="238"/>
    </row>
    <row r="980" ht="12.75" customHeight="1">
      <c r="A980" s="238"/>
      <c r="B980" s="235"/>
      <c r="C980" s="235"/>
      <c r="D980" s="236"/>
      <c r="E980" s="235"/>
      <c r="F980" s="235"/>
      <c r="G980" s="237"/>
      <c r="H980" s="235"/>
      <c r="I980" s="235"/>
      <c r="J980" s="235"/>
      <c r="K980" s="66"/>
      <c r="L980" s="238"/>
      <c r="M980" s="238"/>
    </row>
    <row r="981" ht="12.75" customHeight="1">
      <c r="A981" s="238"/>
      <c r="B981" s="235"/>
      <c r="C981" s="235"/>
      <c r="D981" s="236"/>
      <c r="E981" s="235"/>
      <c r="F981" s="235"/>
      <c r="G981" s="237"/>
      <c r="H981" s="235"/>
      <c r="I981" s="235"/>
      <c r="J981" s="235"/>
      <c r="K981" s="66"/>
      <c r="L981" s="238"/>
      <c r="M981" s="238"/>
    </row>
    <row r="982" ht="12.75" customHeight="1">
      <c r="A982" s="238"/>
      <c r="B982" s="235"/>
      <c r="C982" s="235"/>
      <c r="D982" s="236"/>
      <c r="E982" s="235"/>
      <c r="F982" s="235"/>
      <c r="G982" s="237"/>
      <c r="H982" s="235"/>
      <c r="I982" s="235"/>
      <c r="J982" s="235"/>
      <c r="K982" s="66"/>
      <c r="L982" s="238"/>
      <c r="M982" s="238"/>
    </row>
    <row r="983" ht="12.75" customHeight="1">
      <c r="A983" s="238"/>
      <c r="B983" s="235"/>
      <c r="C983" s="235"/>
      <c r="D983" s="236"/>
      <c r="E983" s="235"/>
      <c r="F983" s="235"/>
      <c r="G983" s="237"/>
      <c r="H983" s="235"/>
      <c r="I983" s="235"/>
      <c r="J983" s="235"/>
      <c r="K983" s="66"/>
      <c r="L983" s="238"/>
      <c r="M983" s="238"/>
    </row>
    <row r="984" ht="12.75" customHeight="1">
      <c r="A984" s="238"/>
      <c r="B984" s="235"/>
      <c r="C984" s="235"/>
      <c r="D984" s="236"/>
      <c r="E984" s="235"/>
      <c r="F984" s="235"/>
      <c r="G984" s="237"/>
      <c r="H984" s="235"/>
      <c r="I984" s="235"/>
      <c r="J984" s="235"/>
      <c r="K984" s="66"/>
      <c r="L984" s="238"/>
      <c r="M984" s="238"/>
    </row>
    <row r="985" ht="12.75" customHeight="1">
      <c r="A985" s="238"/>
      <c r="B985" s="235"/>
      <c r="C985" s="235"/>
      <c r="D985" s="236"/>
      <c r="E985" s="235"/>
      <c r="F985" s="235"/>
      <c r="G985" s="237"/>
      <c r="H985" s="235"/>
      <c r="I985" s="235"/>
      <c r="J985" s="235"/>
      <c r="K985" s="66"/>
      <c r="L985" s="238"/>
      <c r="M985" s="238"/>
    </row>
    <row r="986" ht="12.75" customHeight="1">
      <c r="A986" s="238"/>
      <c r="B986" s="235"/>
      <c r="C986" s="235"/>
      <c r="D986" s="236"/>
      <c r="E986" s="235"/>
      <c r="F986" s="235"/>
      <c r="G986" s="237"/>
      <c r="H986" s="235"/>
      <c r="I986" s="235"/>
      <c r="J986" s="235"/>
      <c r="K986" s="66"/>
      <c r="L986" s="238"/>
      <c r="M986" s="238"/>
    </row>
    <row r="987" ht="12.75" customHeight="1">
      <c r="A987" s="238"/>
      <c r="B987" s="235"/>
      <c r="C987" s="235"/>
      <c r="D987" s="236"/>
      <c r="E987" s="235"/>
      <c r="F987" s="235"/>
      <c r="G987" s="237"/>
      <c r="H987" s="235"/>
      <c r="I987" s="235"/>
      <c r="J987" s="235"/>
      <c r="K987" s="66"/>
      <c r="L987" s="238"/>
      <c r="M987" s="238"/>
    </row>
    <row r="988" ht="12.75" customHeight="1">
      <c r="A988" s="238"/>
      <c r="B988" s="235"/>
      <c r="C988" s="235"/>
      <c r="D988" s="236"/>
      <c r="E988" s="235"/>
      <c r="F988" s="235"/>
      <c r="G988" s="237"/>
      <c r="H988" s="235"/>
      <c r="I988" s="235"/>
      <c r="J988" s="235"/>
      <c r="K988" s="66"/>
      <c r="L988" s="238"/>
      <c r="M988" s="238"/>
    </row>
    <row r="989" ht="12.75" customHeight="1">
      <c r="A989" s="238"/>
      <c r="B989" s="235"/>
      <c r="C989" s="235"/>
      <c r="D989" s="236"/>
      <c r="E989" s="235"/>
      <c r="F989" s="235"/>
      <c r="G989" s="237"/>
      <c r="H989" s="235"/>
      <c r="I989" s="235"/>
      <c r="J989" s="235"/>
      <c r="K989" s="66"/>
      <c r="L989" s="238"/>
      <c r="M989" s="238"/>
    </row>
    <row r="990" ht="12.75" customHeight="1">
      <c r="A990" s="238"/>
      <c r="B990" s="235"/>
      <c r="C990" s="235"/>
      <c r="D990" s="236"/>
      <c r="E990" s="235"/>
      <c r="F990" s="235"/>
      <c r="G990" s="237"/>
      <c r="H990" s="235"/>
      <c r="I990" s="235"/>
      <c r="J990" s="235"/>
      <c r="K990" s="66"/>
      <c r="L990" s="238"/>
      <c r="M990" s="238"/>
    </row>
    <row r="991" ht="12.75" customHeight="1">
      <c r="A991" s="238"/>
      <c r="B991" s="235"/>
      <c r="C991" s="235"/>
      <c r="D991" s="236"/>
      <c r="E991" s="235"/>
      <c r="F991" s="235"/>
      <c r="G991" s="237"/>
      <c r="H991" s="235"/>
      <c r="I991" s="235"/>
      <c r="J991" s="235"/>
      <c r="K991" s="66"/>
      <c r="L991" s="238"/>
      <c r="M991" s="238"/>
    </row>
    <row r="992" ht="12.75" customHeight="1">
      <c r="A992" s="238"/>
      <c r="B992" s="235"/>
      <c r="C992" s="235"/>
      <c r="D992" s="236"/>
      <c r="E992" s="235"/>
      <c r="F992" s="235"/>
      <c r="G992" s="237"/>
      <c r="H992" s="235"/>
      <c r="I992" s="235"/>
      <c r="J992" s="235"/>
      <c r="K992" s="66"/>
      <c r="L992" s="238"/>
      <c r="M992" s="238"/>
    </row>
    <row r="993" ht="12.75" customHeight="1">
      <c r="A993" s="238"/>
      <c r="B993" s="235"/>
      <c r="C993" s="235"/>
      <c r="D993" s="236"/>
      <c r="E993" s="235"/>
      <c r="F993" s="235"/>
      <c r="G993" s="237"/>
      <c r="H993" s="235"/>
      <c r="I993" s="235"/>
      <c r="J993" s="235"/>
      <c r="K993" s="66"/>
      <c r="L993" s="238"/>
      <c r="M993" s="238"/>
    </row>
    <row r="994" ht="12.75" customHeight="1">
      <c r="A994" s="238"/>
      <c r="B994" s="235"/>
      <c r="C994" s="235"/>
      <c r="D994" s="236"/>
      <c r="E994" s="235"/>
      <c r="F994" s="235"/>
      <c r="G994" s="237"/>
      <c r="H994" s="235"/>
      <c r="I994" s="235"/>
      <c r="J994" s="235"/>
      <c r="K994" s="66"/>
      <c r="L994" s="238"/>
      <c r="M994" s="238"/>
    </row>
    <row r="995" ht="12.75" customHeight="1">
      <c r="A995" s="238"/>
      <c r="B995" s="235"/>
      <c r="C995" s="235"/>
      <c r="D995" s="236"/>
      <c r="E995" s="235"/>
      <c r="F995" s="235"/>
      <c r="G995" s="237"/>
      <c r="H995" s="235"/>
      <c r="I995" s="235"/>
      <c r="J995" s="235"/>
      <c r="K995" s="66"/>
      <c r="L995" s="238"/>
      <c r="M995" s="238"/>
    </row>
    <row r="996" ht="12.75" customHeight="1">
      <c r="A996" s="238"/>
      <c r="B996" s="235"/>
      <c r="C996" s="235"/>
      <c r="D996" s="236"/>
      <c r="E996" s="235"/>
      <c r="F996" s="235"/>
      <c r="G996" s="237"/>
      <c r="H996" s="235"/>
      <c r="I996" s="235"/>
      <c r="J996" s="235"/>
      <c r="K996" s="66"/>
      <c r="L996" s="238"/>
      <c r="M996" s="238"/>
    </row>
    <row r="997" ht="12.75" customHeight="1">
      <c r="A997" s="238"/>
      <c r="B997" s="235"/>
      <c r="C997" s="235"/>
      <c r="D997" s="236"/>
      <c r="E997" s="235"/>
      <c r="F997" s="235"/>
      <c r="G997" s="237"/>
      <c r="H997" s="235"/>
      <c r="I997" s="235"/>
      <c r="J997" s="235"/>
      <c r="K997" s="66"/>
      <c r="L997" s="238"/>
      <c r="M997" s="238"/>
    </row>
    <row r="998" ht="12.75" customHeight="1">
      <c r="A998" s="238"/>
      <c r="B998" s="235"/>
      <c r="C998" s="235"/>
      <c r="D998" s="236"/>
      <c r="E998" s="235"/>
      <c r="F998" s="235"/>
      <c r="G998" s="237"/>
      <c r="H998" s="235"/>
      <c r="I998" s="235"/>
      <c r="J998" s="235"/>
      <c r="K998" s="66"/>
      <c r="L998" s="238"/>
      <c r="M998" s="238"/>
    </row>
    <row r="999" ht="12.75" customHeight="1">
      <c r="A999" s="238"/>
      <c r="B999" s="235"/>
      <c r="C999" s="235"/>
      <c r="D999" s="236"/>
      <c r="E999" s="235"/>
      <c r="F999" s="235"/>
      <c r="G999" s="237"/>
      <c r="H999" s="235"/>
      <c r="I999" s="235"/>
      <c r="J999" s="235"/>
      <c r="K999" s="66"/>
      <c r="L999" s="238"/>
      <c r="M999" s="238"/>
    </row>
    <row r="1000" ht="12.75" customHeight="1">
      <c r="A1000" s="238"/>
      <c r="B1000" s="235"/>
      <c r="C1000" s="235"/>
      <c r="D1000" s="236"/>
      <c r="E1000" s="235"/>
      <c r="F1000" s="235"/>
      <c r="G1000" s="237"/>
      <c r="H1000" s="235"/>
      <c r="I1000" s="235"/>
      <c r="J1000" s="235"/>
      <c r="K1000" s="66"/>
      <c r="L1000" s="238"/>
      <c r="M1000" s="238"/>
    </row>
    <row r="1001" ht="12.75" customHeight="1">
      <c r="A1001" s="238"/>
      <c r="B1001" s="235"/>
      <c r="C1001" s="235"/>
      <c r="D1001" s="236"/>
      <c r="E1001" s="235"/>
      <c r="F1001" s="235"/>
      <c r="G1001" s="237"/>
      <c r="H1001" s="235"/>
      <c r="I1001" s="235"/>
      <c r="J1001" s="235"/>
      <c r="K1001" s="66"/>
      <c r="L1001" s="238"/>
      <c r="M1001" s="238"/>
    </row>
    <row r="1002" ht="12.75" customHeight="1">
      <c r="A1002" s="238"/>
      <c r="B1002" s="235"/>
      <c r="C1002" s="235"/>
      <c r="D1002" s="236"/>
      <c r="E1002" s="235"/>
      <c r="F1002" s="235"/>
      <c r="G1002" s="237"/>
      <c r="H1002" s="235"/>
      <c r="I1002" s="235"/>
      <c r="J1002" s="235"/>
      <c r="K1002" s="66"/>
      <c r="L1002" s="238"/>
      <c r="M1002" s="238"/>
    </row>
    <row r="1003" ht="12.75" customHeight="1">
      <c r="A1003" s="238"/>
      <c r="B1003" s="235"/>
      <c r="C1003" s="235"/>
      <c r="D1003" s="236"/>
      <c r="E1003" s="235"/>
      <c r="F1003" s="235"/>
      <c r="G1003" s="237"/>
      <c r="H1003" s="235"/>
      <c r="I1003" s="235"/>
      <c r="J1003" s="235"/>
      <c r="K1003" s="66"/>
      <c r="L1003" s="238"/>
      <c r="M1003" s="238"/>
    </row>
    <row r="1004" ht="12.75" customHeight="1">
      <c r="A1004" s="238"/>
      <c r="B1004" s="235"/>
      <c r="C1004" s="235"/>
      <c r="D1004" s="236"/>
      <c r="E1004" s="235"/>
      <c r="F1004" s="235"/>
      <c r="G1004" s="237"/>
      <c r="H1004" s="235"/>
      <c r="I1004" s="235"/>
      <c r="J1004" s="235"/>
      <c r="K1004" s="66"/>
      <c r="L1004" s="238"/>
      <c r="M1004" s="238"/>
    </row>
    <row r="1005" ht="12.75" customHeight="1">
      <c r="A1005" s="238"/>
      <c r="B1005" s="235"/>
      <c r="C1005" s="235"/>
      <c r="D1005" s="236"/>
      <c r="E1005" s="235"/>
      <c r="F1005" s="235"/>
      <c r="G1005" s="237"/>
      <c r="H1005" s="235"/>
      <c r="I1005" s="235"/>
      <c r="J1005" s="235"/>
      <c r="K1005" s="66"/>
      <c r="L1005" s="238"/>
      <c r="M1005" s="238"/>
    </row>
    <row r="1006" ht="12.75" customHeight="1">
      <c r="A1006" s="238"/>
      <c r="B1006" s="235"/>
      <c r="C1006" s="235"/>
      <c r="D1006" s="236"/>
      <c r="E1006" s="235"/>
      <c r="F1006" s="235"/>
      <c r="G1006" s="237"/>
      <c r="H1006" s="235"/>
      <c r="I1006" s="235"/>
      <c r="J1006" s="235"/>
      <c r="K1006" s="66"/>
      <c r="L1006" s="238"/>
      <c r="M1006" s="238"/>
    </row>
    <row r="1007" ht="12.75" customHeight="1">
      <c r="A1007" s="238"/>
      <c r="B1007" s="235"/>
      <c r="C1007" s="235"/>
      <c r="D1007" s="236"/>
      <c r="E1007" s="235"/>
      <c r="F1007" s="235"/>
      <c r="G1007" s="237"/>
      <c r="H1007" s="235"/>
      <c r="I1007" s="235"/>
      <c r="J1007" s="235"/>
      <c r="K1007" s="66"/>
      <c r="L1007" s="238"/>
      <c r="M1007" s="238"/>
    </row>
    <row r="1008" ht="12.75" customHeight="1">
      <c r="A1008" s="238"/>
      <c r="B1008" s="235"/>
      <c r="C1008" s="235"/>
      <c r="D1008" s="236"/>
      <c r="E1008" s="235"/>
      <c r="F1008" s="235"/>
      <c r="G1008" s="237"/>
      <c r="H1008" s="235"/>
      <c r="I1008" s="235"/>
      <c r="J1008" s="235"/>
      <c r="K1008" s="66"/>
      <c r="L1008" s="238"/>
      <c r="M1008" s="238"/>
    </row>
    <row r="1009" ht="12.75" customHeight="1">
      <c r="A1009" s="238"/>
      <c r="B1009" s="235"/>
      <c r="C1009" s="235"/>
      <c r="D1009" s="236"/>
      <c r="E1009" s="235"/>
      <c r="F1009" s="235"/>
      <c r="G1009" s="237"/>
      <c r="H1009" s="235"/>
      <c r="I1009" s="235"/>
      <c r="J1009" s="235"/>
      <c r="K1009" s="66"/>
      <c r="L1009" s="238"/>
      <c r="M1009" s="238"/>
    </row>
    <row r="1010" ht="12.75" customHeight="1">
      <c r="A1010" s="238"/>
      <c r="B1010" s="235"/>
      <c r="C1010" s="235"/>
      <c r="D1010" s="236"/>
      <c r="E1010" s="235"/>
      <c r="F1010" s="235"/>
      <c r="G1010" s="237"/>
      <c r="H1010" s="235"/>
      <c r="I1010" s="235"/>
      <c r="J1010" s="235"/>
      <c r="K1010" s="66"/>
      <c r="L1010" s="238"/>
      <c r="M1010" s="238"/>
    </row>
    <row r="1011" ht="12.75" customHeight="1">
      <c r="A1011" s="238"/>
      <c r="B1011" s="235"/>
      <c r="C1011" s="235"/>
      <c r="D1011" s="236"/>
      <c r="E1011" s="235"/>
      <c r="F1011" s="235"/>
      <c r="G1011" s="237"/>
      <c r="H1011" s="235"/>
      <c r="I1011" s="235"/>
      <c r="J1011" s="235"/>
      <c r="K1011" s="66"/>
      <c r="L1011" s="238"/>
      <c r="M1011" s="238"/>
    </row>
    <row r="1012" ht="12.75" customHeight="1">
      <c r="A1012" s="238"/>
      <c r="B1012" s="235"/>
      <c r="C1012" s="235"/>
      <c r="D1012" s="236"/>
      <c r="E1012" s="235"/>
      <c r="F1012" s="235"/>
      <c r="G1012" s="237"/>
      <c r="H1012" s="235"/>
      <c r="I1012" s="235"/>
      <c r="J1012" s="235"/>
      <c r="K1012" s="66"/>
      <c r="L1012" s="238"/>
      <c r="M1012" s="238"/>
    </row>
    <row r="1013" ht="12.75" customHeight="1">
      <c r="A1013" s="238"/>
      <c r="B1013" s="235"/>
      <c r="C1013" s="235"/>
      <c r="D1013" s="236"/>
      <c r="E1013" s="235"/>
      <c r="F1013" s="235"/>
      <c r="G1013" s="237"/>
      <c r="H1013" s="235"/>
      <c r="I1013" s="235"/>
      <c r="J1013" s="235"/>
      <c r="K1013" s="66"/>
      <c r="L1013" s="238"/>
      <c r="M1013" s="238"/>
    </row>
    <row r="1014" ht="12.75" customHeight="1">
      <c r="A1014" s="238"/>
      <c r="B1014" s="235"/>
      <c r="C1014" s="235"/>
      <c r="D1014" s="236"/>
      <c r="E1014" s="235"/>
      <c r="F1014" s="235"/>
      <c r="G1014" s="237"/>
      <c r="H1014" s="235"/>
      <c r="I1014" s="235"/>
      <c r="J1014" s="235"/>
      <c r="K1014" s="66"/>
      <c r="L1014" s="238"/>
      <c r="M1014" s="238"/>
    </row>
    <row r="1015" ht="12.75" customHeight="1">
      <c r="A1015" s="238"/>
      <c r="B1015" s="235"/>
      <c r="C1015" s="235"/>
      <c r="D1015" s="236"/>
      <c r="E1015" s="235"/>
      <c r="F1015" s="235"/>
      <c r="G1015" s="237"/>
      <c r="H1015" s="235"/>
      <c r="I1015" s="235"/>
      <c r="J1015" s="235"/>
      <c r="K1015" s="66"/>
      <c r="L1015" s="238"/>
      <c r="M1015" s="238"/>
    </row>
    <row r="1016" ht="12.75" customHeight="1">
      <c r="A1016" s="238"/>
      <c r="B1016" s="235"/>
      <c r="C1016" s="235"/>
      <c r="D1016" s="236"/>
      <c r="E1016" s="235"/>
      <c r="F1016" s="235"/>
      <c r="G1016" s="237"/>
      <c r="H1016" s="235"/>
      <c r="I1016" s="235"/>
      <c r="J1016" s="235"/>
      <c r="K1016" s="66"/>
      <c r="L1016" s="238"/>
      <c r="M1016" s="238"/>
    </row>
    <row r="1017" ht="12.75" customHeight="1">
      <c r="A1017" s="238"/>
      <c r="B1017" s="235"/>
      <c r="C1017" s="235"/>
      <c r="D1017" s="236"/>
      <c r="E1017" s="235"/>
      <c r="F1017" s="235"/>
      <c r="G1017" s="237"/>
      <c r="H1017" s="235"/>
      <c r="I1017" s="235"/>
      <c r="J1017" s="235"/>
      <c r="K1017" s="66"/>
      <c r="L1017" s="238"/>
      <c r="M1017" s="238"/>
    </row>
    <row r="1018" ht="12.75" customHeight="1">
      <c r="A1018" s="238"/>
      <c r="B1018" s="235"/>
      <c r="C1018" s="235"/>
      <c r="D1018" s="236"/>
      <c r="E1018" s="235"/>
      <c r="F1018" s="235"/>
      <c r="G1018" s="237"/>
      <c r="H1018" s="235"/>
      <c r="I1018" s="235"/>
      <c r="J1018" s="235"/>
      <c r="K1018" s="66"/>
      <c r="L1018" s="238"/>
      <c r="M1018" s="238"/>
    </row>
    <row r="1019" ht="12.75" customHeight="1">
      <c r="A1019" s="238"/>
      <c r="B1019" s="235"/>
      <c r="C1019" s="235"/>
      <c r="D1019" s="236"/>
      <c r="E1019" s="235"/>
      <c r="F1019" s="235"/>
      <c r="G1019" s="237"/>
      <c r="H1019" s="235"/>
      <c r="I1019" s="235"/>
      <c r="J1019" s="235"/>
      <c r="K1019" s="66"/>
      <c r="L1019" s="238"/>
      <c r="M1019" s="238"/>
    </row>
    <row r="1020" ht="12.75" customHeight="1">
      <c r="A1020" s="238"/>
      <c r="B1020" s="235"/>
      <c r="C1020" s="235"/>
      <c r="D1020" s="236"/>
      <c r="E1020" s="235"/>
      <c r="F1020" s="235"/>
      <c r="G1020" s="237"/>
      <c r="H1020" s="235"/>
      <c r="I1020" s="235"/>
      <c r="J1020" s="235"/>
      <c r="K1020" s="66"/>
      <c r="L1020" s="238"/>
      <c r="M1020" s="238"/>
    </row>
    <row r="1021" ht="12.75" customHeight="1">
      <c r="A1021" s="238"/>
      <c r="B1021" s="235"/>
      <c r="C1021" s="235"/>
      <c r="D1021" s="236"/>
      <c r="E1021" s="235"/>
      <c r="F1021" s="235"/>
      <c r="G1021" s="237"/>
      <c r="H1021" s="235"/>
      <c r="I1021" s="235"/>
      <c r="J1021" s="235"/>
      <c r="K1021" s="66"/>
      <c r="L1021" s="238"/>
      <c r="M1021" s="238"/>
    </row>
    <row r="1022" ht="12.75" customHeight="1">
      <c r="A1022" s="238"/>
      <c r="B1022" s="235"/>
      <c r="C1022" s="235"/>
      <c r="D1022" s="236"/>
      <c r="E1022" s="235"/>
      <c r="F1022" s="235"/>
      <c r="G1022" s="237"/>
      <c r="H1022" s="235"/>
      <c r="I1022" s="235"/>
      <c r="J1022" s="235"/>
      <c r="K1022" s="66"/>
      <c r="L1022" s="238"/>
      <c r="M1022" s="238"/>
    </row>
    <row r="1023" ht="12.75" customHeight="1">
      <c r="A1023" s="238"/>
      <c r="B1023" s="235"/>
      <c r="C1023" s="235"/>
      <c r="D1023" s="236"/>
      <c r="E1023" s="235"/>
      <c r="F1023" s="235"/>
      <c r="G1023" s="237"/>
      <c r="H1023" s="235"/>
      <c r="I1023" s="235"/>
      <c r="J1023" s="235"/>
      <c r="K1023" s="66"/>
      <c r="L1023" s="238"/>
      <c r="M1023" s="238"/>
    </row>
    <row r="1024" ht="12.75" customHeight="1">
      <c r="A1024" s="238"/>
      <c r="B1024" s="235"/>
      <c r="C1024" s="235"/>
      <c r="D1024" s="236"/>
      <c r="E1024" s="235"/>
      <c r="F1024" s="235"/>
      <c r="G1024" s="237"/>
      <c r="H1024" s="235"/>
      <c r="I1024" s="235"/>
      <c r="J1024" s="235"/>
      <c r="K1024" s="66"/>
      <c r="L1024" s="238"/>
      <c r="M1024" s="238"/>
    </row>
    <row r="1025" ht="12.75" customHeight="1">
      <c r="A1025" s="238"/>
      <c r="B1025" s="235"/>
      <c r="C1025" s="235"/>
      <c r="D1025" s="236"/>
      <c r="E1025" s="235"/>
      <c r="F1025" s="235"/>
      <c r="G1025" s="237"/>
      <c r="H1025" s="235"/>
      <c r="I1025" s="235"/>
      <c r="J1025" s="235"/>
      <c r="K1025" s="66"/>
      <c r="L1025" s="238"/>
      <c r="M1025" s="238"/>
    </row>
    <row r="1026" ht="12.75" customHeight="1">
      <c r="A1026" s="238"/>
      <c r="B1026" s="235"/>
      <c r="C1026" s="235"/>
      <c r="D1026" s="236"/>
      <c r="E1026" s="235"/>
      <c r="F1026" s="235"/>
      <c r="G1026" s="237"/>
      <c r="H1026" s="235"/>
      <c r="I1026" s="235"/>
      <c r="J1026" s="235"/>
      <c r="K1026" s="66"/>
      <c r="L1026" s="238"/>
      <c r="M1026" s="238"/>
    </row>
    <row r="1027" ht="12.75" customHeight="1">
      <c r="A1027" s="238"/>
      <c r="B1027" s="235"/>
      <c r="C1027" s="235"/>
      <c r="D1027" s="236"/>
      <c r="E1027" s="235"/>
      <c r="F1027" s="235"/>
      <c r="G1027" s="237"/>
      <c r="H1027" s="235"/>
      <c r="I1027" s="235"/>
      <c r="J1027" s="235"/>
      <c r="K1027" s="66"/>
      <c r="L1027" s="238"/>
      <c r="M1027" s="238"/>
    </row>
    <row r="1028" ht="12.75" customHeight="1">
      <c r="A1028" s="238"/>
      <c r="B1028" s="235"/>
      <c r="C1028" s="235"/>
      <c r="D1028" s="236"/>
      <c r="E1028" s="235"/>
      <c r="F1028" s="235"/>
      <c r="G1028" s="237"/>
      <c r="H1028" s="235"/>
      <c r="I1028" s="235"/>
      <c r="J1028" s="235"/>
      <c r="K1028" s="66"/>
      <c r="L1028" s="238"/>
      <c r="M1028" s="238"/>
    </row>
    <row r="1029" ht="12.75" customHeight="1">
      <c r="A1029" s="238"/>
      <c r="B1029" s="235"/>
      <c r="C1029" s="235"/>
      <c r="D1029" s="236"/>
      <c r="E1029" s="235"/>
      <c r="F1029" s="235"/>
      <c r="G1029" s="237"/>
      <c r="H1029" s="235"/>
      <c r="I1029" s="235"/>
      <c r="J1029" s="235"/>
      <c r="K1029" s="66"/>
      <c r="L1029" s="238"/>
      <c r="M1029" s="238"/>
    </row>
    <row r="1030" ht="12.75" customHeight="1">
      <c r="A1030" s="238"/>
      <c r="B1030" s="235"/>
      <c r="C1030" s="235"/>
      <c r="D1030" s="236"/>
      <c r="E1030" s="235"/>
      <c r="F1030" s="235"/>
      <c r="G1030" s="237"/>
      <c r="H1030" s="235"/>
      <c r="I1030" s="235"/>
      <c r="J1030" s="235"/>
      <c r="K1030" s="66"/>
      <c r="L1030" s="238"/>
      <c r="M1030" s="238"/>
    </row>
    <row r="1031" ht="12.75" customHeight="1">
      <c r="A1031" s="238"/>
      <c r="B1031" s="235"/>
      <c r="C1031" s="235"/>
      <c r="D1031" s="236"/>
      <c r="E1031" s="235"/>
      <c r="F1031" s="235"/>
      <c r="G1031" s="237"/>
      <c r="H1031" s="235"/>
      <c r="I1031" s="235"/>
      <c r="J1031" s="235"/>
      <c r="K1031" s="66"/>
      <c r="L1031" s="238"/>
      <c r="M1031" s="238"/>
    </row>
    <row r="1032" ht="12.75" customHeight="1">
      <c r="A1032" s="238"/>
      <c r="B1032" s="235"/>
      <c r="C1032" s="235"/>
      <c r="D1032" s="236"/>
      <c r="E1032" s="235"/>
      <c r="F1032" s="235"/>
      <c r="G1032" s="237"/>
      <c r="H1032" s="235"/>
      <c r="I1032" s="235"/>
      <c r="J1032" s="235"/>
      <c r="K1032" s="66"/>
      <c r="L1032" s="238"/>
      <c r="M1032" s="238"/>
    </row>
    <row r="1033" ht="12.75" customHeight="1">
      <c r="A1033" s="238"/>
      <c r="B1033" s="235"/>
      <c r="C1033" s="235"/>
      <c r="D1033" s="236"/>
      <c r="E1033" s="235"/>
      <c r="F1033" s="235"/>
      <c r="G1033" s="237"/>
      <c r="H1033" s="235"/>
      <c r="I1033" s="235"/>
      <c r="J1033" s="235"/>
      <c r="K1033" s="66"/>
      <c r="L1033" s="238"/>
      <c r="M1033" s="238"/>
    </row>
    <row r="1034" ht="12.75" customHeight="1">
      <c r="A1034" s="238"/>
      <c r="B1034" s="235"/>
      <c r="C1034" s="235"/>
      <c r="D1034" s="236"/>
      <c r="E1034" s="235"/>
      <c r="F1034" s="235"/>
      <c r="G1034" s="237"/>
      <c r="H1034" s="235"/>
      <c r="I1034" s="235"/>
      <c r="J1034" s="235"/>
      <c r="K1034" s="66"/>
      <c r="L1034" s="238"/>
      <c r="M1034" s="238"/>
    </row>
    <row r="1035" ht="12.75" customHeight="1">
      <c r="A1035" s="238"/>
      <c r="B1035" s="235"/>
      <c r="C1035" s="235"/>
      <c r="D1035" s="236"/>
      <c r="E1035" s="235"/>
      <c r="F1035" s="235"/>
      <c r="G1035" s="237"/>
      <c r="H1035" s="235"/>
      <c r="I1035" s="235"/>
      <c r="J1035" s="235"/>
      <c r="K1035" s="66"/>
      <c r="L1035" s="238"/>
      <c r="M1035" s="238"/>
    </row>
    <row r="1036" ht="12.75" customHeight="1">
      <c r="A1036" s="238"/>
      <c r="B1036" s="235"/>
      <c r="C1036" s="235"/>
      <c r="D1036" s="236"/>
      <c r="E1036" s="235"/>
      <c r="F1036" s="235"/>
      <c r="G1036" s="237"/>
      <c r="H1036" s="235"/>
      <c r="I1036" s="235"/>
      <c r="J1036" s="235"/>
      <c r="K1036" s="66"/>
      <c r="L1036" s="238"/>
      <c r="M1036" s="238"/>
    </row>
    <row r="1037" ht="12.75" customHeight="1">
      <c r="A1037" s="238"/>
      <c r="B1037" s="235"/>
      <c r="C1037" s="235"/>
      <c r="D1037" s="236"/>
      <c r="E1037" s="235"/>
      <c r="F1037" s="235"/>
      <c r="G1037" s="237"/>
      <c r="H1037" s="235"/>
      <c r="I1037" s="235"/>
      <c r="J1037" s="235"/>
      <c r="K1037" s="66"/>
      <c r="L1037" s="238"/>
      <c r="M1037" s="238"/>
    </row>
    <row r="1038" ht="12.75" customHeight="1">
      <c r="A1038" s="238"/>
      <c r="B1038" s="235"/>
      <c r="C1038" s="235"/>
      <c r="D1038" s="236"/>
      <c r="E1038" s="235"/>
      <c r="F1038" s="235"/>
      <c r="G1038" s="237"/>
      <c r="H1038" s="235"/>
      <c r="I1038" s="235"/>
      <c r="J1038" s="235"/>
      <c r="K1038" s="66"/>
      <c r="L1038" s="238"/>
      <c r="M1038" s="238"/>
    </row>
    <row r="1039" ht="12.75" customHeight="1">
      <c r="A1039" s="238"/>
      <c r="B1039" s="235"/>
      <c r="C1039" s="235"/>
      <c r="D1039" s="236"/>
      <c r="E1039" s="235"/>
      <c r="F1039" s="235"/>
      <c r="G1039" s="237"/>
      <c r="H1039" s="235"/>
      <c r="I1039" s="235"/>
      <c r="J1039" s="235"/>
      <c r="K1039" s="66"/>
      <c r="L1039" s="238"/>
      <c r="M1039" s="238"/>
    </row>
    <row r="1040" ht="12.75" customHeight="1">
      <c r="A1040" s="238"/>
      <c r="B1040" s="235"/>
      <c r="C1040" s="235"/>
      <c r="D1040" s="236"/>
      <c r="E1040" s="235"/>
      <c r="F1040" s="235"/>
      <c r="G1040" s="237"/>
      <c r="H1040" s="235"/>
      <c r="I1040" s="235"/>
      <c r="J1040" s="235"/>
      <c r="K1040" s="66"/>
      <c r="L1040" s="238"/>
      <c r="M1040" s="238"/>
    </row>
    <row r="1041" ht="12.75" customHeight="1">
      <c r="A1041" s="238"/>
      <c r="B1041" s="235"/>
      <c r="C1041" s="235"/>
      <c r="D1041" s="236"/>
      <c r="E1041" s="235"/>
      <c r="F1041" s="235"/>
      <c r="G1041" s="237"/>
      <c r="H1041" s="235"/>
      <c r="I1041" s="235"/>
      <c r="J1041" s="235"/>
      <c r="K1041" s="66"/>
      <c r="L1041" s="238"/>
      <c r="M1041" s="238"/>
    </row>
    <row r="1042" ht="12.75" customHeight="1">
      <c r="A1042" s="238"/>
      <c r="B1042" s="235"/>
      <c r="C1042" s="235"/>
      <c r="D1042" s="236"/>
      <c r="E1042" s="235"/>
      <c r="F1042" s="235"/>
      <c r="G1042" s="237"/>
      <c r="H1042" s="235"/>
      <c r="I1042" s="235"/>
      <c r="J1042" s="235"/>
      <c r="K1042" s="66"/>
      <c r="L1042" s="238"/>
      <c r="M1042" s="238"/>
    </row>
    <row r="1043" ht="12.75" customHeight="1">
      <c r="A1043" s="238"/>
      <c r="B1043" s="235"/>
      <c r="C1043" s="235"/>
      <c r="D1043" s="236"/>
      <c r="E1043" s="235"/>
      <c r="F1043" s="235"/>
      <c r="G1043" s="237"/>
      <c r="H1043" s="235"/>
      <c r="I1043" s="235"/>
      <c r="J1043" s="235"/>
      <c r="K1043" s="66"/>
      <c r="L1043" s="238"/>
      <c r="M1043" s="238"/>
    </row>
    <row r="1044" ht="12.75" customHeight="1">
      <c r="A1044" s="238"/>
      <c r="B1044" s="235"/>
      <c r="C1044" s="235"/>
      <c r="D1044" s="236"/>
      <c r="E1044" s="235"/>
      <c r="F1044" s="235"/>
      <c r="G1044" s="237"/>
      <c r="H1044" s="235"/>
      <c r="I1044" s="235"/>
      <c r="J1044" s="235"/>
      <c r="K1044" s="66"/>
      <c r="L1044" s="238"/>
      <c r="M1044" s="238"/>
    </row>
    <row r="1045" ht="12.75" customHeight="1">
      <c r="A1045" s="238"/>
      <c r="B1045" s="235"/>
      <c r="C1045" s="235"/>
      <c r="D1045" s="236"/>
      <c r="E1045" s="235"/>
      <c r="F1045" s="235"/>
      <c r="G1045" s="237"/>
      <c r="H1045" s="235"/>
      <c r="I1045" s="235"/>
      <c r="J1045" s="235"/>
      <c r="K1045" s="66"/>
      <c r="L1045" s="238"/>
      <c r="M1045" s="238"/>
    </row>
    <row r="1046" ht="12.75" customHeight="1">
      <c r="A1046" s="238"/>
      <c r="B1046" s="235"/>
      <c r="C1046" s="235"/>
      <c r="D1046" s="236"/>
      <c r="E1046" s="235"/>
      <c r="F1046" s="235"/>
      <c r="G1046" s="237"/>
      <c r="H1046" s="235"/>
      <c r="I1046" s="235"/>
      <c r="J1046" s="235"/>
      <c r="K1046" s="66"/>
      <c r="L1046" s="238"/>
      <c r="M1046" s="238"/>
    </row>
    <row r="1047" ht="12.75" customHeight="1">
      <c r="A1047" s="238"/>
      <c r="B1047" s="235"/>
      <c r="C1047" s="235"/>
      <c r="D1047" s="236"/>
      <c r="E1047" s="235"/>
      <c r="F1047" s="235"/>
      <c r="G1047" s="237"/>
      <c r="H1047" s="235"/>
      <c r="I1047" s="235"/>
      <c r="J1047" s="235"/>
      <c r="K1047" s="66"/>
      <c r="L1047" s="238"/>
      <c r="M1047" s="238"/>
    </row>
    <row r="1048" ht="12.75" customHeight="1">
      <c r="A1048" s="238"/>
      <c r="B1048" s="235"/>
      <c r="C1048" s="235"/>
      <c r="D1048" s="236"/>
      <c r="E1048" s="235"/>
      <c r="F1048" s="235"/>
      <c r="G1048" s="237"/>
      <c r="H1048" s="235"/>
      <c r="I1048" s="235"/>
      <c r="J1048" s="235"/>
      <c r="K1048" s="66"/>
      <c r="L1048" s="238"/>
      <c r="M1048" s="238"/>
    </row>
    <row r="1049" ht="12.75" customHeight="1">
      <c r="A1049" s="238"/>
      <c r="B1049" s="235"/>
      <c r="C1049" s="235"/>
      <c r="D1049" s="236"/>
      <c r="E1049" s="235"/>
      <c r="F1049" s="235"/>
      <c r="G1049" s="237"/>
      <c r="H1049" s="235"/>
      <c r="I1049" s="235"/>
      <c r="J1049" s="235"/>
      <c r="K1049" s="66"/>
      <c r="L1049" s="238"/>
      <c r="M1049" s="238"/>
    </row>
    <row r="1050" ht="12.75" customHeight="1">
      <c r="A1050" s="238"/>
      <c r="B1050" s="235"/>
      <c r="C1050" s="235"/>
      <c r="D1050" s="236"/>
      <c r="E1050" s="235"/>
      <c r="F1050" s="235"/>
      <c r="G1050" s="237"/>
      <c r="H1050" s="235"/>
      <c r="I1050" s="235"/>
      <c r="J1050" s="235"/>
      <c r="K1050" s="66"/>
      <c r="L1050" s="238"/>
      <c r="M1050" s="238"/>
    </row>
    <row r="1051" ht="12.75" customHeight="1">
      <c r="A1051" s="238"/>
      <c r="B1051" s="235"/>
      <c r="C1051" s="235"/>
      <c r="D1051" s="236"/>
      <c r="E1051" s="235"/>
      <c r="F1051" s="235"/>
      <c r="G1051" s="237"/>
      <c r="H1051" s="235"/>
      <c r="I1051" s="235"/>
      <c r="J1051" s="235"/>
      <c r="K1051" s="66"/>
      <c r="L1051" s="238"/>
      <c r="M1051" s="238"/>
    </row>
    <row r="1052" ht="12.75" customHeight="1">
      <c r="A1052" s="238"/>
      <c r="B1052" s="235"/>
      <c r="C1052" s="235"/>
      <c r="D1052" s="236"/>
      <c r="E1052" s="235"/>
      <c r="F1052" s="235"/>
      <c r="G1052" s="237"/>
      <c r="H1052" s="235"/>
      <c r="I1052" s="235"/>
      <c r="J1052" s="235"/>
      <c r="K1052" s="66"/>
      <c r="L1052" s="238"/>
      <c r="M1052" s="238"/>
    </row>
    <row r="1053" ht="12.75" customHeight="1">
      <c r="A1053" s="238"/>
      <c r="B1053" s="235"/>
      <c r="C1053" s="235"/>
      <c r="D1053" s="236"/>
      <c r="E1053" s="235"/>
      <c r="F1053" s="235"/>
      <c r="G1053" s="237"/>
      <c r="H1053" s="235"/>
      <c r="I1053" s="235"/>
      <c r="J1053" s="235"/>
      <c r="K1053" s="66"/>
      <c r="L1053" s="238"/>
      <c r="M1053" s="238"/>
    </row>
    <row r="1054" ht="12.75" customHeight="1">
      <c r="A1054" s="238"/>
      <c r="B1054" s="235"/>
      <c r="C1054" s="235"/>
      <c r="D1054" s="236"/>
      <c r="E1054" s="235"/>
      <c r="F1054" s="235"/>
      <c r="G1054" s="237"/>
      <c r="H1054" s="235"/>
      <c r="I1054" s="235"/>
      <c r="J1054" s="235"/>
      <c r="K1054" s="66"/>
      <c r="L1054" s="238"/>
      <c r="M1054" s="238"/>
    </row>
    <row r="1055" ht="12.75" customHeight="1">
      <c r="A1055" s="238"/>
      <c r="B1055" s="235"/>
      <c r="C1055" s="235"/>
      <c r="D1055" s="236"/>
      <c r="E1055" s="235"/>
      <c r="F1055" s="235"/>
      <c r="G1055" s="237"/>
      <c r="H1055" s="235"/>
      <c r="I1055" s="235"/>
      <c r="J1055" s="235"/>
      <c r="K1055" s="66"/>
      <c r="L1055" s="238"/>
      <c r="M1055" s="238"/>
    </row>
    <row r="1056" ht="12.75" customHeight="1">
      <c r="A1056" s="238"/>
      <c r="B1056" s="235"/>
      <c r="C1056" s="235"/>
      <c r="D1056" s="236"/>
      <c r="E1056" s="235"/>
      <c r="F1056" s="235"/>
      <c r="G1056" s="237"/>
      <c r="H1056" s="235"/>
      <c r="I1056" s="235"/>
      <c r="J1056" s="235"/>
      <c r="K1056" s="66"/>
      <c r="L1056" s="238"/>
      <c r="M1056" s="238"/>
    </row>
    <row r="1057" ht="12.75" customHeight="1">
      <c r="A1057" s="238"/>
      <c r="B1057" s="235"/>
      <c r="C1057" s="235"/>
      <c r="D1057" s="236"/>
      <c r="E1057" s="235"/>
      <c r="F1057" s="235"/>
      <c r="G1057" s="237"/>
      <c r="H1057" s="235"/>
      <c r="I1057" s="235"/>
      <c r="J1057" s="235"/>
      <c r="K1057" s="66"/>
      <c r="L1057" s="238"/>
      <c r="M1057" s="238"/>
    </row>
    <row r="1058" ht="12.75" customHeight="1">
      <c r="A1058" s="238"/>
      <c r="B1058" s="235"/>
      <c r="C1058" s="235"/>
      <c r="D1058" s="236"/>
      <c r="E1058" s="235"/>
      <c r="F1058" s="235"/>
      <c r="G1058" s="237"/>
      <c r="H1058" s="235"/>
      <c r="I1058" s="235"/>
      <c r="J1058" s="235"/>
      <c r="K1058" s="66"/>
      <c r="L1058" s="238"/>
      <c r="M1058" s="238"/>
    </row>
    <row r="1059" ht="12.75" customHeight="1">
      <c r="A1059" s="238"/>
      <c r="B1059" s="235"/>
      <c r="C1059" s="235"/>
      <c r="D1059" s="236"/>
      <c r="E1059" s="235"/>
      <c r="F1059" s="235"/>
      <c r="G1059" s="237"/>
      <c r="H1059" s="235"/>
      <c r="I1059" s="235"/>
      <c r="J1059" s="235"/>
      <c r="K1059" s="66"/>
      <c r="L1059" s="238"/>
      <c r="M1059" s="238"/>
    </row>
    <row r="1060" ht="12.75" customHeight="1">
      <c r="A1060" s="238"/>
      <c r="B1060" s="235"/>
      <c r="C1060" s="235"/>
      <c r="D1060" s="236"/>
      <c r="E1060" s="235"/>
      <c r="F1060" s="235"/>
      <c r="G1060" s="237"/>
      <c r="H1060" s="235"/>
      <c r="I1060" s="235"/>
      <c r="J1060" s="235"/>
      <c r="K1060" s="66"/>
      <c r="L1060" s="238"/>
      <c r="M1060" s="238"/>
    </row>
    <row r="1061" ht="12.75" customHeight="1">
      <c r="A1061" s="238"/>
      <c r="B1061" s="235"/>
      <c r="C1061" s="235"/>
      <c r="D1061" s="236"/>
      <c r="E1061" s="235"/>
      <c r="F1061" s="235"/>
      <c r="G1061" s="237"/>
      <c r="H1061" s="235"/>
      <c r="I1061" s="235"/>
      <c r="J1061" s="235"/>
      <c r="K1061" s="66"/>
      <c r="L1061" s="238"/>
      <c r="M1061" s="238"/>
    </row>
    <row r="1062" ht="12.75" customHeight="1">
      <c r="A1062" s="238"/>
      <c r="B1062" s="235"/>
      <c r="C1062" s="235"/>
      <c r="D1062" s="236"/>
      <c r="E1062" s="235"/>
      <c r="F1062" s="235"/>
      <c r="G1062" s="237"/>
      <c r="H1062" s="235"/>
      <c r="I1062" s="235"/>
      <c r="J1062" s="235"/>
      <c r="K1062" s="66"/>
      <c r="L1062" s="238"/>
      <c r="M1062" s="238"/>
    </row>
    <row r="1063" ht="12.75" customHeight="1">
      <c r="A1063" s="238"/>
      <c r="B1063" s="235"/>
      <c r="C1063" s="235"/>
      <c r="D1063" s="236"/>
      <c r="E1063" s="235"/>
      <c r="F1063" s="235"/>
      <c r="G1063" s="237"/>
      <c r="H1063" s="235"/>
      <c r="I1063" s="235"/>
      <c r="J1063" s="235"/>
      <c r="K1063" s="66"/>
      <c r="L1063" s="238"/>
      <c r="M1063" s="238"/>
    </row>
    <row r="1064" ht="12.75" customHeight="1">
      <c r="A1064" s="238"/>
      <c r="B1064" s="235"/>
      <c r="C1064" s="235"/>
      <c r="D1064" s="236"/>
      <c r="E1064" s="235"/>
      <c r="F1064" s="235"/>
      <c r="G1064" s="237"/>
      <c r="H1064" s="235"/>
      <c r="I1064" s="235"/>
      <c r="J1064" s="235"/>
      <c r="K1064" s="66"/>
      <c r="L1064" s="238"/>
      <c r="M1064" s="238"/>
    </row>
    <row r="1065" ht="12.75" customHeight="1">
      <c r="A1065" s="238"/>
      <c r="B1065" s="235"/>
      <c r="C1065" s="235"/>
      <c r="D1065" s="236"/>
      <c r="E1065" s="235"/>
      <c r="F1065" s="235"/>
      <c r="G1065" s="237"/>
      <c r="H1065" s="235"/>
      <c r="I1065" s="235"/>
      <c r="J1065" s="235"/>
      <c r="K1065" s="66"/>
      <c r="L1065" s="238"/>
      <c r="M1065" s="238"/>
    </row>
    <row r="1066" ht="12.75" customHeight="1">
      <c r="A1066" s="238"/>
      <c r="B1066" s="235"/>
      <c r="C1066" s="235"/>
      <c r="D1066" s="236"/>
      <c r="E1066" s="235"/>
      <c r="F1066" s="235"/>
      <c r="G1066" s="237"/>
      <c r="H1066" s="235"/>
      <c r="I1066" s="235"/>
      <c r="J1066" s="235"/>
      <c r="K1066" s="66"/>
      <c r="L1066" s="238"/>
      <c r="M1066" s="238"/>
    </row>
    <row r="1067" ht="12.75" customHeight="1">
      <c r="A1067" s="238"/>
      <c r="B1067" s="235"/>
      <c r="C1067" s="235"/>
      <c r="D1067" s="236"/>
      <c r="E1067" s="235"/>
      <c r="F1067" s="235"/>
      <c r="G1067" s="237"/>
      <c r="H1067" s="235"/>
      <c r="I1067" s="235"/>
      <c r="J1067" s="235"/>
      <c r="K1067" s="66"/>
      <c r="L1067" s="238"/>
      <c r="M1067" s="238"/>
    </row>
    <row r="1068" ht="12.75" customHeight="1">
      <c r="A1068" s="238"/>
      <c r="B1068" s="235"/>
      <c r="C1068" s="235"/>
      <c r="D1068" s="236"/>
      <c r="E1068" s="235"/>
      <c r="F1068" s="235"/>
      <c r="G1068" s="237"/>
      <c r="H1068" s="235"/>
      <c r="I1068" s="235"/>
      <c r="J1068" s="235"/>
      <c r="K1068" s="66"/>
      <c r="L1068" s="238"/>
      <c r="M1068" s="238"/>
    </row>
    <row r="1069" ht="12.75" customHeight="1">
      <c r="A1069" s="238"/>
      <c r="B1069" s="235"/>
      <c r="C1069" s="235"/>
      <c r="D1069" s="236"/>
      <c r="E1069" s="235"/>
      <c r="F1069" s="235"/>
      <c r="G1069" s="237"/>
      <c r="H1069" s="235"/>
      <c r="I1069" s="235"/>
      <c r="J1069" s="235"/>
      <c r="K1069" s="66"/>
      <c r="L1069" s="238"/>
      <c r="M1069" s="238"/>
    </row>
    <row r="1070" ht="12.75" customHeight="1">
      <c r="A1070" s="238"/>
      <c r="B1070" s="235"/>
      <c r="C1070" s="235"/>
      <c r="D1070" s="236"/>
      <c r="E1070" s="235"/>
      <c r="F1070" s="235"/>
      <c r="G1070" s="237"/>
      <c r="H1070" s="235"/>
      <c r="I1070" s="235"/>
      <c r="J1070" s="235"/>
      <c r="K1070" s="66"/>
      <c r="L1070" s="238"/>
      <c r="M1070" s="238"/>
    </row>
    <row r="1071" ht="12.75" customHeight="1">
      <c r="A1071" s="238"/>
      <c r="B1071" s="235"/>
      <c r="C1071" s="235"/>
      <c r="D1071" s="236"/>
      <c r="E1071" s="235"/>
      <c r="F1071" s="235"/>
      <c r="G1071" s="237"/>
      <c r="H1071" s="235"/>
      <c r="I1071" s="235"/>
      <c r="J1071" s="235"/>
      <c r="K1071" s="66"/>
      <c r="L1071" s="238"/>
      <c r="M1071" s="238"/>
    </row>
    <row r="1072" ht="12.75" customHeight="1">
      <c r="A1072" s="238"/>
      <c r="B1072" s="235"/>
      <c r="C1072" s="235"/>
      <c r="D1072" s="236"/>
      <c r="E1072" s="235"/>
      <c r="F1072" s="235"/>
      <c r="G1072" s="237"/>
      <c r="H1072" s="235"/>
      <c r="I1072" s="235"/>
      <c r="J1072" s="235"/>
      <c r="K1072" s="66"/>
      <c r="L1072" s="238"/>
      <c r="M1072" s="238"/>
    </row>
    <row r="1073" ht="12.75" customHeight="1">
      <c r="A1073" s="238"/>
      <c r="B1073" s="235"/>
      <c r="C1073" s="235"/>
      <c r="D1073" s="236"/>
      <c r="E1073" s="235"/>
      <c r="F1073" s="235"/>
      <c r="G1073" s="237"/>
      <c r="H1073" s="235"/>
      <c r="I1073" s="235"/>
      <c r="J1073" s="235"/>
      <c r="K1073" s="66"/>
      <c r="L1073" s="238"/>
      <c r="M1073" s="238"/>
    </row>
    <row r="1074" ht="12.75" customHeight="1">
      <c r="A1074" s="238"/>
      <c r="B1074" s="235"/>
      <c r="C1074" s="235"/>
      <c r="D1074" s="236"/>
      <c r="E1074" s="235"/>
      <c r="F1074" s="235"/>
      <c r="G1074" s="237"/>
      <c r="H1074" s="235"/>
      <c r="I1074" s="235"/>
      <c r="J1074" s="235"/>
      <c r="K1074" s="66"/>
      <c r="L1074" s="238"/>
      <c r="M1074" s="238"/>
    </row>
    <row r="1075" ht="12.75" customHeight="1">
      <c r="A1075" s="238"/>
      <c r="B1075" s="235"/>
      <c r="C1075" s="235"/>
      <c r="D1075" s="236"/>
      <c r="E1075" s="235"/>
      <c r="F1075" s="235"/>
      <c r="G1075" s="237"/>
      <c r="H1075" s="235"/>
      <c r="I1075" s="235"/>
      <c r="J1075" s="235"/>
      <c r="K1075" s="66"/>
      <c r="L1075" s="238"/>
      <c r="M1075" s="238"/>
    </row>
    <row r="1076" ht="12.75" customHeight="1">
      <c r="A1076" s="238"/>
      <c r="B1076" s="235"/>
      <c r="C1076" s="235"/>
      <c r="D1076" s="236"/>
      <c r="E1076" s="235"/>
      <c r="F1076" s="235"/>
      <c r="G1076" s="237"/>
      <c r="H1076" s="235"/>
      <c r="I1076" s="235"/>
      <c r="J1076" s="235"/>
      <c r="K1076" s="66"/>
      <c r="L1076" s="238"/>
      <c r="M1076" s="238"/>
    </row>
    <row r="1077" ht="12.75" customHeight="1">
      <c r="A1077" s="238"/>
      <c r="B1077" s="235"/>
      <c r="C1077" s="235"/>
      <c r="D1077" s="236"/>
      <c r="E1077" s="235"/>
      <c r="F1077" s="235"/>
      <c r="G1077" s="237"/>
      <c r="H1077" s="235"/>
      <c r="I1077" s="235"/>
      <c r="J1077" s="235"/>
      <c r="K1077" s="66"/>
      <c r="L1077" s="238"/>
      <c r="M1077" s="238"/>
    </row>
    <row r="1078" ht="12.75" customHeight="1">
      <c r="A1078" s="238"/>
      <c r="B1078" s="235"/>
      <c r="C1078" s="235"/>
      <c r="D1078" s="236"/>
      <c r="E1078" s="235"/>
      <c r="F1078" s="235"/>
      <c r="G1078" s="237"/>
      <c r="H1078" s="235"/>
      <c r="I1078" s="235"/>
      <c r="J1078" s="235"/>
      <c r="K1078" s="66"/>
      <c r="L1078" s="238"/>
      <c r="M1078" s="238"/>
    </row>
    <row r="1079" ht="12.75" customHeight="1">
      <c r="A1079" s="238"/>
      <c r="B1079" s="235"/>
      <c r="C1079" s="235"/>
      <c r="D1079" s="236"/>
      <c r="E1079" s="235"/>
      <c r="F1079" s="235"/>
      <c r="G1079" s="237"/>
      <c r="H1079" s="235"/>
      <c r="I1079" s="235"/>
      <c r="J1079" s="235"/>
      <c r="K1079" s="66"/>
      <c r="L1079" s="238"/>
      <c r="M1079" s="238"/>
    </row>
    <row r="1080" ht="12.75" customHeight="1">
      <c r="A1080" s="238"/>
      <c r="B1080" s="235"/>
      <c r="C1080" s="235"/>
      <c r="D1080" s="236"/>
      <c r="E1080" s="235"/>
      <c r="F1080" s="235"/>
      <c r="G1080" s="237"/>
      <c r="H1080" s="235"/>
      <c r="I1080" s="235"/>
      <c r="J1080" s="235"/>
      <c r="K1080" s="66"/>
      <c r="L1080" s="238"/>
      <c r="M1080" s="238"/>
    </row>
    <row r="1081" ht="12.75" customHeight="1">
      <c r="A1081" s="238"/>
      <c r="B1081" s="235"/>
      <c r="C1081" s="235"/>
      <c r="D1081" s="236"/>
      <c r="E1081" s="235"/>
      <c r="F1081" s="235"/>
      <c r="G1081" s="237"/>
      <c r="H1081" s="235"/>
      <c r="I1081" s="235"/>
      <c r="J1081" s="235"/>
      <c r="K1081" s="66"/>
      <c r="L1081" s="238"/>
      <c r="M1081" s="238"/>
    </row>
    <row r="1082" ht="12.75" customHeight="1">
      <c r="A1082" s="238"/>
      <c r="B1082" s="235"/>
      <c r="C1082" s="235"/>
      <c r="D1082" s="236"/>
      <c r="E1082" s="235"/>
      <c r="F1082" s="235"/>
      <c r="G1082" s="237"/>
      <c r="H1082" s="235"/>
      <c r="I1082" s="235"/>
      <c r="J1082" s="235"/>
      <c r="K1082" s="66"/>
      <c r="L1082" s="238"/>
      <c r="M1082" s="238"/>
    </row>
    <row r="1083" ht="12.75" customHeight="1">
      <c r="A1083" s="238"/>
      <c r="B1083" s="235"/>
      <c r="C1083" s="235"/>
      <c r="D1083" s="236"/>
      <c r="E1083" s="235"/>
      <c r="F1083" s="235"/>
      <c r="G1083" s="237"/>
      <c r="H1083" s="235"/>
      <c r="I1083" s="235"/>
      <c r="J1083" s="235"/>
      <c r="K1083" s="66"/>
      <c r="L1083" s="238"/>
      <c r="M1083" s="238"/>
    </row>
    <row r="1084" ht="12.75" customHeight="1">
      <c r="A1084" s="238"/>
      <c r="B1084" s="235"/>
      <c r="C1084" s="235"/>
      <c r="D1084" s="236"/>
      <c r="E1084" s="235"/>
      <c r="F1084" s="235"/>
      <c r="G1084" s="237"/>
      <c r="H1084" s="235"/>
      <c r="I1084" s="235"/>
      <c r="J1084" s="235"/>
      <c r="K1084" s="66"/>
      <c r="L1084" s="238"/>
      <c r="M1084" s="238"/>
    </row>
    <row r="1085" ht="12.75" customHeight="1">
      <c r="A1085" s="238"/>
      <c r="B1085" s="235"/>
      <c r="C1085" s="235"/>
      <c r="D1085" s="236"/>
      <c r="E1085" s="235"/>
      <c r="F1085" s="235"/>
      <c r="G1085" s="237"/>
      <c r="H1085" s="235"/>
      <c r="I1085" s="235"/>
      <c r="J1085" s="235"/>
      <c r="K1085" s="66"/>
      <c r="L1085" s="238"/>
      <c r="M1085" s="238"/>
    </row>
    <row r="1086" ht="12.75" customHeight="1">
      <c r="A1086" s="238"/>
      <c r="B1086" s="235"/>
      <c r="C1086" s="235"/>
      <c r="D1086" s="236"/>
      <c r="E1086" s="235"/>
      <c r="F1086" s="235"/>
      <c r="G1086" s="237"/>
      <c r="H1086" s="235"/>
      <c r="I1086" s="235"/>
      <c r="J1086" s="235"/>
      <c r="K1086" s="66"/>
      <c r="L1086" s="238"/>
      <c r="M1086" s="238"/>
    </row>
    <row r="1087" ht="12.75" customHeight="1">
      <c r="A1087" s="238"/>
      <c r="B1087" s="235"/>
      <c r="C1087" s="235"/>
      <c r="D1087" s="236"/>
      <c r="E1087" s="235"/>
      <c r="F1087" s="235"/>
      <c r="G1087" s="237"/>
      <c r="H1087" s="235"/>
      <c r="I1087" s="235"/>
      <c r="J1087" s="235"/>
      <c r="K1087" s="66"/>
      <c r="L1087" s="238"/>
      <c r="M1087" s="238"/>
    </row>
    <row r="1088" ht="12.75" customHeight="1">
      <c r="A1088" s="238"/>
      <c r="B1088" s="235"/>
      <c r="C1088" s="235"/>
      <c r="D1088" s="236"/>
      <c r="E1088" s="235"/>
      <c r="F1088" s="235"/>
      <c r="G1088" s="237"/>
      <c r="H1088" s="235"/>
      <c r="I1088" s="235"/>
      <c r="J1088" s="235"/>
      <c r="K1088" s="66"/>
      <c r="L1088" s="238"/>
      <c r="M1088" s="238"/>
    </row>
    <row r="1089" ht="12.75" customHeight="1">
      <c r="A1089" s="238"/>
      <c r="B1089" s="235"/>
      <c r="C1089" s="235"/>
      <c r="D1089" s="236"/>
      <c r="E1089" s="235"/>
      <c r="F1089" s="235"/>
      <c r="G1089" s="237"/>
      <c r="H1089" s="235"/>
      <c r="I1089" s="235"/>
      <c r="J1089" s="235"/>
      <c r="K1089" s="66"/>
      <c r="L1089" s="238"/>
      <c r="M1089" s="238"/>
    </row>
    <row r="1090" ht="12.75" customHeight="1">
      <c r="A1090" s="238"/>
      <c r="B1090" s="235"/>
      <c r="C1090" s="235"/>
      <c r="D1090" s="236"/>
      <c r="E1090" s="235"/>
      <c r="F1090" s="235"/>
      <c r="G1090" s="237"/>
      <c r="H1090" s="235"/>
      <c r="I1090" s="235"/>
      <c r="J1090" s="235"/>
      <c r="K1090" s="66"/>
      <c r="L1090" s="238"/>
      <c r="M1090" s="238"/>
    </row>
    <row r="1091" ht="12.75" customHeight="1">
      <c r="A1091" s="238"/>
      <c r="B1091" s="235"/>
      <c r="C1091" s="235"/>
      <c r="D1091" s="236"/>
      <c r="E1091" s="235"/>
      <c r="F1091" s="235"/>
      <c r="G1091" s="237"/>
      <c r="H1091" s="235"/>
      <c r="I1091" s="235"/>
      <c r="J1091" s="235"/>
      <c r="K1091" s="66"/>
      <c r="L1091" s="238"/>
      <c r="M1091" s="238"/>
    </row>
    <row r="1092" ht="12.75" customHeight="1">
      <c r="A1092" s="238"/>
      <c r="B1092" s="235"/>
      <c r="C1092" s="235"/>
      <c r="D1092" s="236"/>
      <c r="E1092" s="235"/>
      <c r="F1092" s="235"/>
      <c r="G1092" s="237"/>
      <c r="H1092" s="235"/>
      <c r="I1092" s="235"/>
      <c r="J1092" s="235"/>
      <c r="K1092" s="66"/>
      <c r="L1092" s="238"/>
      <c r="M1092" s="238"/>
    </row>
    <row r="1093" ht="12.75" customHeight="1">
      <c r="A1093" s="238"/>
      <c r="B1093" s="235"/>
      <c r="C1093" s="235"/>
      <c r="D1093" s="236"/>
      <c r="E1093" s="235"/>
      <c r="F1093" s="235"/>
      <c r="G1093" s="237"/>
      <c r="H1093" s="235"/>
      <c r="I1093" s="235"/>
      <c r="J1093" s="235"/>
      <c r="K1093" s="66"/>
      <c r="L1093" s="238"/>
      <c r="M1093" s="238"/>
    </row>
    <row r="1094" ht="12.75" customHeight="1">
      <c r="A1094" s="238"/>
      <c r="B1094" s="235"/>
      <c r="C1094" s="235"/>
      <c r="D1094" s="236"/>
      <c r="E1094" s="235"/>
      <c r="F1094" s="235"/>
      <c r="G1094" s="237"/>
      <c r="H1094" s="235"/>
      <c r="I1094" s="235"/>
      <c r="J1094" s="235"/>
      <c r="K1094" s="66"/>
      <c r="L1094" s="238"/>
      <c r="M1094" s="238"/>
    </row>
    <row r="1095" ht="12.75" customHeight="1">
      <c r="A1095" s="238"/>
      <c r="B1095" s="235"/>
      <c r="C1095" s="235"/>
      <c r="D1095" s="236"/>
      <c r="E1095" s="235"/>
      <c r="F1095" s="235"/>
      <c r="G1095" s="237"/>
      <c r="H1095" s="235"/>
      <c r="I1095" s="235"/>
      <c r="J1095" s="235"/>
      <c r="K1095" s="66"/>
      <c r="L1095" s="238"/>
      <c r="M1095" s="238"/>
    </row>
    <row r="1096" ht="12.75" customHeight="1">
      <c r="A1096" s="238"/>
      <c r="B1096" s="235"/>
      <c r="C1096" s="235"/>
      <c r="D1096" s="236"/>
      <c r="E1096" s="235"/>
      <c r="F1096" s="235"/>
      <c r="G1096" s="237"/>
      <c r="H1096" s="235"/>
      <c r="I1096" s="235"/>
      <c r="J1096" s="235"/>
      <c r="K1096" s="66"/>
      <c r="L1096" s="238"/>
      <c r="M1096" s="238"/>
    </row>
    <row r="1097" ht="12.75" customHeight="1">
      <c r="A1097" s="238"/>
      <c r="B1097" s="235"/>
      <c r="C1097" s="235"/>
      <c r="D1097" s="236"/>
      <c r="E1097" s="235"/>
      <c r="F1097" s="235"/>
      <c r="G1097" s="237"/>
      <c r="H1097" s="235"/>
      <c r="I1097" s="235"/>
      <c r="J1097" s="235"/>
      <c r="K1097" s="66"/>
      <c r="L1097" s="238"/>
      <c r="M1097" s="238"/>
    </row>
    <row r="1098" ht="12.75" customHeight="1">
      <c r="A1098" s="238"/>
      <c r="B1098" s="235"/>
      <c r="C1098" s="235"/>
      <c r="D1098" s="236"/>
      <c r="E1098" s="235"/>
      <c r="F1098" s="235"/>
      <c r="G1098" s="237"/>
      <c r="H1098" s="235"/>
      <c r="I1098" s="235"/>
      <c r="J1098" s="235"/>
      <c r="K1098" s="66"/>
      <c r="L1098" s="238"/>
      <c r="M1098" s="238"/>
    </row>
    <row r="1099" ht="12.75" customHeight="1">
      <c r="A1099" s="238"/>
      <c r="B1099" s="235"/>
      <c r="C1099" s="235"/>
      <c r="D1099" s="236"/>
      <c r="E1099" s="235"/>
      <c r="F1099" s="235"/>
      <c r="G1099" s="237"/>
      <c r="H1099" s="235"/>
      <c r="I1099" s="235"/>
      <c r="J1099" s="235"/>
      <c r="K1099" s="66"/>
      <c r="L1099" s="238"/>
      <c r="M1099" s="238"/>
    </row>
    <row r="1100" ht="12.75" customHeight="1">
      <c r="A1100" s="238"/>
      <c r="B1100" s="235"/>
      <c r="C1100" s="235"/>
      <c r="D1100" s="236"/>
      <c r="E1100" s="235"/>
      <c r="F1100" s="235"/>
      <c r="G1100" s="237"/>
      <c r="H1100" s="235"/>
      <c r="I1100" s="235"/>
      <c r="J1100" s="235"/>
      <c r="K1100" s="66"/>
      <c r="L1100" s="238"/>
      <c r="M1100" s="238"/>
    </row>
    <row r="1101" ht="12.75" customHeight="1">
      <c r="A1101" s="238"/>
      <c r="B1101" s="235"/>
      <c r="C1101" s="235"/>
      <c r="D1101" s="236"/>
      <c r="E1101" s="235"/>
      <c r="F1101" s="235"/>
      <c r="G1101" s="237"/>
      <c r="H1101" s="235"/>
      <c r="I1101" s="235"/>
      <c r="J1101" s="235"/>
      <c r="K1101" s="66"/>
      <c r="L1101" s="238"/>
      <c r="M1101" s="238"/>
    </row>
    <row r="1102" ht="12.75" customHeight="1">
      <c r="A1102" s="238"/>
      <c r="B1102" s="235"/>
      <c r="C1102" s="235"/>
      <c r="D1102" s="236"/>
      <c r="E1102" s="235"/>
      <c r="F1102" s="235"/>
      <c r="G1102" s="237"/>
      <c r="H1102" s="235"/>
      <c r="I1102" s="235"/>
      <c r="J1102" s="235"/>
      <c r="K1102" s="66"/>
      <c r="L1102" s="238"/>
      <c r="M1102" s="238"/>
    </row>
    <row r="1103" ht="12.75" customHeight="1">
      <c r="A1103" s="238"/>
      <c r="B1103" s="235"/>
      <c r="C1103" s="235"/>
      <c r="D1103" s="236"/>
      <c r="E1103" s="235"/>
      <c r="F1103" s="235"/>
      <c r="G1103" s="237"/>
      <c r="H1103" s="235"/>
      <c r="I1103" s="235"/>
      <c r="J1103" s="235"/>
      <c r="K1103" s="66"/>
      <c r="L1103" s="238"/>
      <c r="M1103" s="238"/>
    </row>
    <row r="1104" ht="12.75" customHeight="1">
      <c r="A1104" s="238"/>
      <c r="B1104" s="235"/>
      <c r="C1104" s="235"/>
      <c r="D1104" s="236"/>
      <c r="E1104" s="235"/>
      <c r="F1104" s="235"/>
      <c r="G1104" s="237"/>
      <c r="H1104" s="235"/>
      <c r="I1104" s="235"/>
      <c r="J1104" s="235"/>
      <c r="K1104" s="66"/>
      <c r="L1104" s="238"/>
      <c r="M1104" s="238"/>
    </row>
    <row r="1105" ht="12.75" customHeight="1">
      <c r="A1105" s="238"/>
      <c r="B1105" s="235"/>
      <c r="C1105" s="235"/>
      <c r="D1105" s="236"/>
      <c r="E1105" s="235"/>
      <c r="F1105" s="235"/>
      <c r="G1105" s="237"/>
      <c r="H1105" s="235"/>
      <c r="I1105" s="235"/>
      <c r="J1105" s="235"/>
      <c r="K1105" s="66"/>
      <c r="L1105" s="238"/>
      <c r="M1105" s="238"/>
    </row>
    <row r="1106" ht="12.75" customHeight="1">
      <c r="A1106" s="238"/>
      <c r="B1106" s="235"/>
      <c r="C1106" s="235"/>
      <c r="D1106" s="236"/>
      <c r="E1106" s="235"/>
      <c r="F1106" s="235"/>
      <c r="G1106" s="237"/>
      <c r="H1106" s="235"/>
      <c r="I1106" s="235"/>
      <c r="J1106" s="235"/>
      <c r="K1106" s="66"/>
      <c r="L1106" s="238"/>
      <c r="M1106" s="238"/>
    </row>
    <row r="1107" ht="12.75" customHeight="1">
      <c r="A1107" s="238"/>
      <c r="B1107" s="235"/>
      <c r="C1107" s="235"/>
      <c r="D1107" s="236"/>
      <c r="E1107" s="235"/>
      <c r="F1107" s="235"/>
      <c r="G1107" s="237"/>
      <c r="H1107" s="235"/>
      <c r="I1107" s="235"/>
      <c r="J1107" s="235"/>
      <c r="K1107" s="66"/>
      <c r="L1107" s="238"/>
      <c r="M1107" s="238"/>
    </row>
    <row r="1108" ht="12.75" customHeight="1">
      <c r="A1108" s="238"/>
      <c r="B1108" s="235"/>
      <c r="C1108" s="235"/>
      <c r="D1108" s="236"/>
      <c r="E1108" s="235"/>
      <c r="F1108" s="235"/>
      <c r="G1108" s="237"/>
      <c r="H1108" s="235"/>
      <c r="I1108" s="235"/>
      <c r="J1108" s="235"/>
      <c r="K1108" s="66"/>
      <c r="L1108" s="238"/>
      <c r="M1108" s="238"/>
    </row>
    <row r="1109" ht="12.75" customHeight="1">
      <c r="A1109" s="238"/>
      <c r="B1109" s="235"/>
      <c r="C1109" s="235"/>
      <c r="D1109" s="236"/>
      <c r="E1109" s="235"/>
      <c r="F1109" s="235"/>
      <c r="G1109" s="237"/>
      <c r="H1109" s="235"/>
      <c r="I1109" s="235"/>
      <c r="J1109" s="235"/>
      <c r="K1109" s="66"/>
      <c r="L1109" s="238"/>
      <c r="M1109" s="238"/>
    </row>
    <row r="1110" ht="12.75" customHeight="1">
      <c r="A1110" s="238"/>
      <c r="B1110" s="235"/>
      <c r="C1110" s="235"/>
      <c r="D1110" s="236"/>
      <c r="E1110" s="235"/>
      <c r="F1110" s="235"/>
      <c r="G1110" s="237"/>
      <c r="H1110" s="235"/>
      <c r="I1110" s="235"/>
      <c r="J1110" s="235"/>
      <c r="K1110" s="66"/>
      <c r="L1110" s="238"/>
      <c r="M1110" s="238"/>
    </row>
    <row r="1111" ht="12.75" customHeight="1">
      <c r="A1111" s="238"/>
      <c r="B1111" s="235"/>
      <c r="C1111" s="235"/>
      <c r="D1111" s="236"/>
      <c r="E1111" s="235"/>
      <c r="F1111" s="235"/>
      <c r="G1111" s="237"/>
      <c r="H1111" s="235"/>
      <c r="I1111" s="235"/>
      <c r="J1111" s="235"/>
      <c r="K1111" s="66"/>
      <c r="L1111" s="238"/>
      <c r="M1111" s="238"/>
    </row>
    <row r="1112" ht="12.75" customHeight="1">
      <c r="A1112" s="238"/>
      <c r="B1112" s="235"/>
      <c r="C1112" s="235"/>
      <c r="D1112" s="236"/>
      <c r="E1112" s="235"/>
      <c r="F1112" s="235"/>
      <c r="G1112" s="237"/>
      <c r="H1112" s="235"/>
      <c r="I1112" s="235"/>
      <c r="J1112" s="235"/>
      <c r="K1112" s="66"/>
      <c r="L1112" s="238"/>
      <c r="M1112" s="238"/>
    </row>
    <row r="1113" ht="12.75" customHeight="1">
      <c r="A1113" s="238"/>
      <c r="B1113" s="235"/>
      <c r="C1113" s="235"/>
      <c r="D1113" s="236"/>
      <c r="E1113" s="235"/>
      <c r="F1113" s="235"/>
      <c r="G1113" s="237"/>
      <c r="H1113" s="235"/>
      <c r="I1113" s="235"/>
      <c r="J1113" s="235"/>
      <c r="K1113" s="66"/>
      <c r="L1113" s="238"/>
      <c r="M1113" s="238"/>
    </row>
    <row r="1114" ht="12.75" customHeight="1">
      <c r="A1114" s="238"/>
      <c r="B1114" s="235"/>
      <c r="C1114" s="235"/>
      <c r="D1114" s="236"/>
      <c r="E1114" s="235"/>
      <c r="F1114" s="235"/>
      <c r="G1114" s="237"/>
      <c r="H1114" s="235"/>
      <c r="I1114" s="235"/>
      <c r="J1114" s="235"/>
      <c r="K1114" s="66"/>
      <c r="L1114" s="238"/>
      <c r="M1114" s="238"/>
    </row>
    <row r="1115" ht="12.75" customHeight="1">
      <c r="A1115" s="238"/>
      <c r="B1115" s="235"/>
      <c r="C1115" s="235"/>
      <c r="D1115" s="236"/>
      <c r="E1115" s="235"/>
      <c r="F1115" s="235"/>
      <c r="G1115" s="237"/>
      <c r="H1115" s="235"/>
      <c r="I1115" s="235"/>
      <c r="J1115" s="235"/>
      <c r="K1115" s="66"/>
      <c r="L1115" s="238"/>
      <c r="M1115" s="238"/>
    </row>
    <row r="1116" ht="12.75" customHeight="1">
      <c r="A1116" s="238"/>
      <c r="B1116" s="235"/>
      <c r="C1116" s="235"/>
      <c r="D1116" s="236"/>
      <c r="E1116" s="235"/>
      <c r="F1116" s="235"/>
      <c r="G1116" s="237"/>
      <c r="H1116" s="235"/>
      <c r="I1116" s="235"/>
      <c r="J1116" s="235"/>
      <c r="K1116" s="66"/>
      <c r="L1116" s="238"/>
      <c r="M1116" s="238"/>
    </row>
    <row r="1117" ht="12.75" customHeight="1">
      <c r="A1117" s="238"/>
      <c r="B1117" s="235"/>
      <c r="C1117" s="235"/>
      <c r="D1117" s="236"/>
      <c r="E1117" s="235"/>
      <c r="F1117" s="235"/>
      <c r="G1117" s="237"/>
      <c r="H1117" s="235"/>
      <c r="I1117" s="235"/>
      <c r="J1117" s="235"/>
      <c r="K1117" s="66"/>
      <c r="L1117" s="238"/>
      <c r="M1117" s="238"/>
    </row>
    <row r="1118" ht="12.75" customHeight="1">
      <c r="A1118" s="238"/>
      <c r="B1118" s="235"/>
      <c r="C1118" s="235"/>
      <c r="D1118" s="236"/>
      <c r="E1118" s="235"/>
      <c r="F1118" s="235"/>
      <c r="G1118" s="237"/>
      <c r="H1118" s="235"/>
      <c r="I1118" s="235"/>
      <c r="J1118" s="235"/>
      <c r="K1118" s="66"/>
      <c r="L1118" s="238"/>
      <c r="M1118" s="238"/>
    </row>
    <row r="1119" ht="12.75" customHeight="1">
      <c r="A1119" s="238"/>
      <c r="B1119" s="235"/>
      <c r="C1119" s="235"/>
      <c r="D1119" s="236"/>
      <c r="E1119" s="235"/>
      <c r="F1119" s="235"/>
      <c r="G1119" s="237"/>
      <c r="H1119" s="235"/>
      <c r="I1119" s="235"/>
      <c r="J1119" s="235"/>
      <c r="K1119" s="66"/>
      <c r="L1119" s="238"/>
      <c r="M1119" s="238"/>
    </row>
    <row r="1120" ht="12.75" customHeight="1">
      <c r="A1120" s="238"/>
      <c r="B1120" s="235"/>
      <c r="C1120" s="235"/>
      <c r="D1120" s="236"/>
      <c r="E1120" s="235"/>
      <c r="F1120" s="235"/>
      <c r="G1120" s="237"/>
      <c r="H1120" s="235"/>
      <c r="I1120" s="235"/>
      <c r="J1120" s="235"/>
      <c r="K1120" s="66"/>
      <c r="L1120" s="238"/>
      <c r="M1120" s="238"/>
    </row>
    <row r="1121" ht="12.75" customHeight="1">
      <c r="A1121" s="238"/>
      <c r="B1121" s="235"/>
      <c r="C1121" s="235"/>
      <c r="D1121" s="236"/>
      <c r="E1121" s="235"/>
      <c r="F1121" s="235"/>
      <c r="G1121" s="237"/>
      <c r="H1121" s="235"/>
      <c r="I1121" s="235"/>
      <c r="J1121" s="235"/>
      <c r="K1121" s="66"/>
      <c r="L1121" s="238"/>
      <c r="M1121" s="238"/>
    </row>
    <row r="1122" ht="12.75" customHeight="1">
      <c r="A1122" s="238"/>
      <c r="B1122" s="235"/>
      <c r="C1122" s="235"/>
      <c r="D1122" s="236"/>
      <c r="E1122" s="235"/>
      <c r="F1122" s="235"/>
      <c r="G1122" s="237"/>
      <c r="H1122" s="235"/>
      <c r="I1122" s="235"/>
      <c r="J1122" s="235"/>
      <c r="K1122" s="66"/>
      <c r="L1122" s="238"/>
      <c r="M1122" s="238"/>
    </row>
    <row r="1123" ht="12.75" customHeight="1">
      <c r="A1123" s="238"/>
      <c r="B1123" s="235"/>
      <c r="C1123" s="235"/>
      <c r="D1123" s="236"/>
      <c r="E1123" s="235"/>
      <c r="F1123" s="235"/>
      <c r="G1123" s="237"/>
      <c r="H1123" s="235"/>
      <c r="I1123" s="235"/>
      <c r="J1123" s="235"/>
      <c r="K1123" s="66"/>
      <c r="L1123" s="238"/>
      <c r="M1123" s="238"/>
    </row>
    <row r="1124" ht="12.75" customHeight="1">
      <c r="A1124" s="238"/>
      <c r="B1124" s="235"/>
      <c r="C1124" s="235"/>
      <c r="D1124" s="236"/>
      <c r="E1124" s="235"/>
      <c r="F1124" s="235"/>
      <c r="G1124" s="237"/>
      <c r="H1124" s="235"/>
      <c r="I1124" s="235"/>
      <c r="J1124" s="235"/>
      <c r="K1124" s="66"/>
      <c r="L1124" s="238"/>
      <c r="M1124" s="238"/>
    </row>
    <row r="1125" ht="12.75" customHeight="1">
      <c r="A1125" s="238"/>
      <c r="B1125" s="235"/>
      <c r="C1125" s="235"/>
      <c r="D1125" s="236"/>
      <c r="E1125" s="235"/>
      <c r="F1125" s="235"/>
      <c r="G1125" s="237"/>
      <c r="H1125" s="235"/>
      <c r="I1125" s="235"/>
      <c r="J1125" s="235"/>
      <c r="K1125" s="66"/>
      <c r="L1125" s="238"/>
      <c r="M1125" s="238"/>
    </row>
    <row r="1126" ht="12.75" customHeight="1">
      <c r="A1126" s="238"/>
      <c r="B1126" s="235"/>
      <c r="C1126" s="235"/>
      <c r="D1126" s="236"/>
      <c r="E1126" s="235"/>
      <c r="F1126" s="235"/>
      <c r="G1126" s="237"/>
      <c r="H1126" s="235"/>
      <c r="I1126" s="235"/>
      <c r="J1126" s="235"/>
      <c r="K1126" s="66"/>
      <c r="L1126" s="238"/>
      <c r="M1126" s="238"/>
    </row>
    <row r="1127" ht="12.75" customHeight="1">
      <c r="A1127" s="238"/>
      <c r="B1127" s="235"/>
      <c r="C1127" s="235"/>
      <c r="D1127" s="236"/>
      <c r="E1127" s="235"/>
      <c r="F1127" s="235"/>
      <c r="G1127" s="237"/>
      <c r="H1127" s="235"/>
      <c r="I1127" s="235"/>
      <c r="J1127" s="235"/>
      <c r="K1127" s="66"/>
      <c r="L1127" s="238"/>
      <c r="M1127" s="238"/>
    </row>
    <row r="1128" ht="12.75" customHeight="1">
      <c r="A1128" s="238"/>
      <c r="B1128" s="235"/>
      <c r="C1128" s="235"/>
      <c r="D1128" s="236"/>
      <c r="E1128" s="235"/>
      <c r="F1128" s="235"/>
      <c r="G1128" s="237"/>
      <c r="H1128" s="235"/>
      <c r="I1128" s="235"/>
      <c r="J1128" s="235"/>
      <c r="K1128" s="66"/>
      <c r="L1128" s="238"/>
      <c r="M1128" s="238"/>
    </row>
    <row r="1129" ht="12.75" customHeight="1">
      <c r="A1129" s="238"/>
      <c r="B1129" s="235"/>
      <c r="C1129" s="235"/>
      <c r="D1129" s="236"/>
      <c r="E1129" s="235"/>
      <c r="F1129" s="235"/>
      <c r="G1129" s="237"/>
      <c r="H1129" s="235"/>
      <c r="I1129" s="235"/>
      <c r="J1129" s="235"/>
      <c r="K1129" s="66"/>
      <c r="L1129" s="238"/>
      <c r="M1129" s="238"/>
    </row>
    <row r="1130" ht="12.75" customHeight="1">
      <c r="A1130" s="238"/>
      <c r="B1130" s="235"/>
      <c r="C1130" s="235"/>
      <c r="D1130" s="236"/>
      <c r="E1130" s="235"/>
      <c r="F1130" s="235"/>
      <c r="G1130" s="237"/>
      <c r="H1130" s="235"/>
      <c r="I1130" s="235"/>
      <c r="J1130" s="235"/>
      <c r="K1130" s="66"/>
      <c r="L1130" s="238"/>
      <c r="M1130" s="238"/>
    </row>
    <row r="1131" ht="12.75" customHeight="1">
      <c r="A1131" s="238"/>
      <c r="B1131" s="235"/>
      <c r="C1131" s="235"/>
      <c r="D1131" s="236"/>
      <c r="E1131" s="235"/>
      <c r="F1131" s="235"/>
      <c r="G1131" s="237"/>
      <c r="H1131" s="235"/>
      <c r="I1131" s="235"/>
      <c r="J1131" s="235"/>
      <c r="K1131" s="66"/>
      <c r="L1131" s="238"/>
      <c r="M1131" s="238"/>
    </row>
    <row r="1132" ht="12.75" customHeight="1">
      <c r="A1132" s="238"/>
      <c r="B1132" s="235"/>
      <c r="C1132" s="235"/>
      <c r="D1132" s="236"/>
      <c r="E1132" s="235"/>
      <c r="F1132" s="235"/>
      <c r="G1132" s="237"/>
      <c r="H1132" s="235"/>
      <c r="I1132" s="235"/>
      <c r="J1132" s="235"/>
      <c r="K1132" s="66"/>
      <c r="L1132" s="238"/>
      <c r="M1132" s="238"/>
    </row>
    <row r="1133" ht="12.75" customHeight="1">
      <c r="A1133" s="238"/>
      <c r="B1133" s="235"/>
      <c r="C1133" s="235"/>
      <c r="D1133" s="236"/>
      <c r="E1133" s="235"/>
      <c r="F1133" s="235"/>
      <c r="G1133" s="237"/>
      <c r="H1133" s="235"/>
      <c r="I1133" s="235"/>
      <c r="J1133" s="235"/>
      <c r="K1133" s="66"/>
      <c r="L1133" s="238"/>
      <c r="M1133" s="238"/>
    </row>
    <row r="1134" ht="12.75" customHeight="1">
      <c r="A1134" s="238"/>
      <c r="B1134" s="235"/>
      <c r="C1134" s="235"/>
      <c r="D1134" s="236"/>
      <c r="E1134" s="235"/>
      <c r="F1134" s="235"/>
      <c r="G1134" s="237"/>
      <c r="H1134" s="235"/>
      <c r="I1134" s="235"/>
      <c r="J1134" s="235"/>
      <c r="K1134" s="66"/>
      <c r="L1134" s="238"/>
      <c r="M1134" s="238"/>
    </row>
    <row r="1135" ht="12.75" customHeight="1">
      <c r="A1135" s="238"/>
      <c r="B1135" s="235"/>
      <c r="C1135" s="235"/>
      <c r="D1135" s="236"/>
      <c r="E1135" s="235"/>
      <c r="F1135" s="235"/>
      <c r="G1135" s="237"/>
      <c r="H1135" s="235"/>
      <c r="I1135" s="235"/>
      <c r="J1135" s="235"/>
      <c r="K1135" s="66"/>
      <c r="L1135" s="238"/>
      <c r="M1135" s="238"/>
    </row>
    <row r="1136" ht="12.75" customHeight="1">
      <c r="A1136" s="238"/>
      <c r="B1136" s="235"/>
      <c r="C1136" s="235"/>
      <c r="D1136" s="236"/>
      <c r="E1136" s="235"/>
      <c r="F1136" s="235"/>
      <c r="G1136" s="237"/>
      <c r="H1136" s="235"/>
      <c r="I1136" s="235"/>
      <c r="J1136" s="235"/>
      <c r="K1136" s="66"/>
      <c r="L1136" s="238"/>
      <c r="M1136" s="238"/>
    </row>
    <row r="1137" ht="12.75" customHeight="1">
      <c r="A1137" s="238"/>
      <c r="B1137" s="235"/>
      <c r="C1137" s="235"/>
      <c r="D1137" s="236"/>
      <c r="E1137" s="235"/>
      <c r="F1137" s="235"/>
      <c r="G1137" s="237"/>
      <c r="H1137" s="235"/>
      <c r="I1137" s="235"/>
      <c r="J1137" s="235"/>
      <c r="K1137" s="66"/>
      <c r="L1137" s="238"/>
      <c r="M1137" s="238"/>
    </row>
    <row r="1138" ht="12.75" customHeight="1">
      <c r="A1138" s="238"/>
      <c r="B1138" s="235"/>
      <c r="C1138" s="235"/>
      <c r="D1138" s="236"/>
      <c r="E1138" s="235"/>
      <c r="F1138" s="235"/>
      <c r="G1138" s="237"/>
      <c r="H1138" s="235"/>
      <c r="I1138" s="235"/>
      <c r="J1138" s="235"/>
      <c r="K1138" s="66"/>
      <c r="L1138" s="238"/>
      <c r="M1138" s="238"/>
    </row>
    <row r="1139" ht="12.75" customHeight="1">
      <c r="A1139" s="238"/>
      <c r="B1139" s="235"/>
      <c r="C1139" s="235"/>
      <c r="D1139" s="236"/>
      <c r="E1139" s="235"/>
      <c r="F1139" s="235"/>
      <c r="G1139" s="237"/>
      <c r="H1139" s="235"/>
      <c r="I1139" s="235"/>
      <c r="J1139" s="235"/>
      <c r="K1139" s="66"/>
      <c r="L1139" s="238"/>
      <c r="M1139" s="238"/>
    </row>
    <row r="1140" ht="12.75" customHeight="1">
      <c r="A1140" s="238"/>
      <c r="B1140" s="235"/>
      <c r="C1140" s="235"/>
      <c r="D1140" s="236"/>
      <c r="E1140" s="235"/>
      <c r="F1140" s="235"/>
      <c r="G1140" s="237"/>
      <c r="H1140" s="235"/>
      <c r="I1140" s="235"/>
      <c r="J1140" s="235"/>
      <c r="K1140" s="66"/>
      <c r="L1140" s="238"/>
      <c r="M1140" s="238"/>
    </row>
    <row r="1141" ht="12.75" customHeight="1">
      <c r="A1141" s="238"/>
      <c r="B1141" s="235"/>
      <c r="C1141" s="235"/>
      <c r="D1141" s="236"/>
      <c r="E1141" s="235"/>
      <c r="F1141" s="235"/>
      <c r="G1141" s="237"/>
      <c r="H1141" s="235"/>
      <c r="I1141" s="235"/>
      <c r="J1141" s="235"/>
      <c r="K1141" s="66"/>
      <c r="L1141" s="238"/>
      <c r="M1141" s="238"/>
    </row>
    <row r="1142" ht="12.75" customHeight="1">
      <c r="A1142" s="238"/>
      <c r="B1142" s="235"/>
      <c r="C1142" s="235"/>
      <c r="D1142" s="236"/>
      <c r="E1142" s="235"/>
      <c r="F1142" s="235"/>
      <c r="G1142" s="237"/>
      <c r="H1142" s="235"/>
      <c r="I1142" s="235"/>
      <c r="J1142" s="235"/>
      <c r="K1142" s="66"/>
      <c r="L1142" s="238"/>
      <c r="M1142" s="238"/>
    </row>
    <row r="1143" ht="12.75" customHeight="1">
      <c r="A1143" s="238"/>
      <c r="B1143" s="235"/>
      <c r="C1143" s="235"/>
      <c r="D1143" s="236"/>
      <c r="E1143" s="235"/>
      <c r="F1143" s="235"/>
      <c r="G1143" s="237"/>
      <c r="H1143" s="235"/>
      <c r="I1143" s="235"/>
      <c r="J1143" s="235"/>
      <c r="K1143" s="66"/>
      <c r="L1143" s="238"/>
      <c r="M1143" s="238"/>
    </row>
    <row r="1144" ht="12.75" customHeight="1">
      <c r="A1144" s="238"/>
      <c r="B1144" s="235"/>
      <c r="C1144" s="235"/>
      <c r="D1144" s="236"/>
      <c r="E1144" s="235"/>
      <c r="F1144" s="235"/>
      <c r="G1144" s="237"/>
      <c r="H1144" s="235"/>
      <c r="I1144" s="235"/>
      <c r="J1144" s="235"/>
      <c r="K1144" s="66"/>
      <c r="L1144" s="238"/>
      <c r="M1144" s="238"/>
    </row>
    <row r="1145" ht="12.75" customHeight="1">
      <c r="A1145" s="238"/>
      <c r="B1145" s="235"/>
      <c r="C1145" s="235"/>
      <c r="D1145" s="236"/>
      <c r="E1145" s="235"/>
      <c r="F1145" s="235"/>
      <c r="G1145" s="237"/>
      <c r="H1145" s="235"/>
      <c r="I1145" s="235"/>
      <c r="J1145" s="235"/>
      <c r="K1145" s="66"/>
      <c r="L1145" s="238"/>
      <c r="M1145" s="238"/>
    </row>
    <row r="1146" ht="12.75" customHeight="1">
      <c r="A1146" s="238"/>
      <c r="B1146" s="235"/>
      <c r="C1146" s="235"/>
      <c r="D1146" s="236"/>
      <c r="E1146" s="235"/>
      <c r="F1146" s="235"/>
      <c r="G1146" s="237"/>
      <c r="H1146" s="235"/>
      <c r="I1146" s="235"/>
      <c r="J1146" s="235"/>
      <c r="K1146" s="66"/>
      <c r="L1146" s="238"/>
      <c r="M1146" s="238"/>
    </row>
    <row r="1147" ht="12.75" customHeight="1">
      <c r="A1147" s="238"/>
      <c r="B1147" s="235"/>
      <c r="C1147" s="235"/>
      <c r="D1147" s="236"/>
      <c r="E1147" s="235"/>
      <c r="F1147" s="235"/>
      <c r="G1147" s="237"/>
      <c r="H1147" s="235"/>
      <c r="I1147" s="235"/>
      <c r="J1147" s="235"/>
      <c r="K1147" s="66"/>
      <c r="L1147" s="238"/>
      <c r="M1147" s="238"/>
    </row>
    <row r="1148" ht="12.75" customHeight="1">
      <c r="A1148" s="238"/>
      <c r="B1148" s="235"/>
      <c r="C1148" s="235"/>
      <c r="D1148" s="236"/>
      <c r="E1148" s="235"/>
      <c r="F1148" s="235"/>
      <c r="G1148" s="237"/>
      <c r="H1148" s="235"/>
      <c r="I1148" s="235"/>
      <c r="J1148" s="235"/>
      <c r="K1148" s="66"/>
      <c r="L1148" s="238"/>
      <c r="M1148" s="238"/>
    </row>
    <row r="1149" ht="12.75" customHeight="1">
      <c r="A1149" s="238"/>
      <c r="B1149" s="235"/>
      <c r="C1149" s="235"/>
      <c r="D1149" s="236"/>
      <c r="E1149" s="235"/>
      <c r="F1149" s="235"/>
      <c r="G1149" s="237"/>
      <c r="H1149" s="235"/>
      <c r="I1149" s="235"/>
      <c r="J1149" s="235"/>
      <c r="K1149" s="66"/>
      <c r="L1149" s="238"/>
      <c r="M1149" s="238"/>
    </row>
    <row r="1150" ht="12.75" customHeight="1">
      <c r="A1150" s="238"/>
      <c r="B1150" s="235"/>
      <c r="C1150" s="235"/>
      <c r="D1150" s="236"/>
      <c r="E1150" s="235"/>
      <c r="F1150" s="235"/>
      <c r="G1150" s="237"/>
      <c r="H1150" s="235"/>
      <c r="I1150" s="235"/>
      <c r="J1150" s="235"/>
      <c r="K1150" s="66"/>
      <c r="L1150" s="238"/>
      <c r="M1150" s="238"/>
    </row>
    <row r="1151" ht="12.75" customHeight="1">
      <c r="A1151" s="238"/>
      <c r="B1151" s="235"/>
      <c r="C1151" s="235"/>
      <c r="D1151" s="236"/>
      <c r="E1151" s="235"/>
      <c r="F1151" s="235"/>
      <c r="G1151" s="237"/>
      <c r="H1151" s="235"/>
      <c r="I1151" s="235"/>
      <c r="J1151" s="235"/>
      <c r="K1151" s="66"/>
      <c r="L1151" s="238"/>
      <c r="M1151" s="238"/>
    </row>
    <row r="1152" ht="12.75" customHeight="1">
      <c r="A1152" s="238"/>
      <c r="B1152" s="235"/>
      <c r="C1152" s="235"/>
      <c r="D1152" s="236"/>
      <c r="E1152" s="235"/>
      <c r="F1152" s="235"/>
      <c r="G1152" s="237"/>
      <c r="H1152" s="235"/>
      <c r="I1152" s="235"/>
      <c r="J1152" s="235"/>
      <c r="K1152" s="66"/>
      <c r="L1152" s="238"/>
      <c r="M1152" s="238"/>
    </row>
    <row r="1153" ht="12.75" customHeight="1">
      <c r="A1153" s="238"/>
      <c r="B1153" s="235"/>
      <c r="C1153" s="235"/>
      <c r="D1153" s="236"/>
      <c r="E1153" s="235"/>
      <c r="F1153" s="235"/>
      <c r="G1153" s="237"/>
      <c r="H1153" s="235"/>
      <c r="I1153" s="235"/>
      <c r="J1153" s="235"/>
      <c r="K1153" s="66"/>
      <c r="L1153" s="238"/>
      <c r="M1153" s="238"/>
    </row>
    <row r="1154" ht="12.75" customHeight="1">
      <c r="A1154" s="238"/>
      <c r="B1154" s="235"/>
      <c r="C1154" s="235"/>
      <c r="D1154" s="236"/>
      <c r="E1154" s="235"/>
      <c r="F1154" s="235"/>
      <c r="G1154" s="237"/>
      <c r="H1154" s="235"/>
      <c r="I1154" s="235"/>
      <c r="J1154" s="235"/>
      <c r="K1154" s="66"/>
      <c r="L1154" s="238"/>
      <c r="M1154" s="238"/>
    </row>
    <row r="1155" ht="12.75" customHeight="1">
      <c r="A1155" s="238"/>
      <c r="B1155" s="235"/>
      <c r="C1155" s="235"/>
      <c r="D1155" s="236"/>
      <c r="E1155" s="235"/>
      <c r="F1155" s="235"/>
      <c r="G1155" s="237"/>
      <c r="H1155" s="235"/>
      <c r="I1155" s="235"/>
      <c r="J1155" s="235"/>
      <c r="K1155" s="66"/>
      <c r="L1155" s="238"/>
      <c r="M1155" s="238"/>
    </row>
    <row r="1156" ht="12.75" customHeight="1">
      <c r="A1156" s="238"/>
      <c r="B1156" s="235"/>
      <c r="C1156" s="235"/>
      <c r="D1156" s="236"/>
      <c r="E1156" s="235"/>
      <c r="F1156" s="235"/>
      <c r="G1156" s="237"/>
      <c r="H1156" s="235"/>
      <c r="I1156" s="235"/>
      <c r="J1156" s="235"/>
      <c r="K1156" s="66"/>
      <c r="L1156" s="238"/>
      <c r="M1156" s="238"/>
    </row>
    <row r="1157" ht="12.75" customHeight="1">
      <c r="A1157" s="238"/>
      <c r="B1157" s="235"/>
      <c r="C1157" s="235"/>
      <c r="D1157" s="236"/>
      <c r="E1157" s="235"/>
      <c r="F1157" s="235"/>
      <c r="G1157" s="237"/>
      <c r="H1157" s="235"/>
      <c r="I1157" s="235"/>
      <c r="J1157" s="235"/>
      <c r="K1157" s="66"/>
      <c r="L1157" s="238"/>
      <c r="M1157" s="238"/>
    </row>
    <row r="1158" ht="12.75" customHeight="1">
      <c r="A1158" s="238"/>
      <c r="B1158" s="235"/>
      <c r="C1158" s="235"/>
      <c r="D1158" s="236"/>
      <c r="E1158" s="235"/>
      <c r="F1158" s="235"/>
      <c r="G1158" s="237"/>
      <c r="H1158" s="235"/>
      <c r="I1158" s="235"/>
      <c r="J1158" s="235"/>
      <c r="K1158" s="66"/>
      <c r="L1158" s="238"/>
      <c r="M1158" s="238"/>
    </row>
    <row r="1159" ht="12.75" customHeight="1">
      <c r="A1159" s="238"/>
      <c r="B1159" s="235"/>
      <c r="C1159" s="235"/>
      <c r="D1159" s="236"/>
      <c r="E1159" s="235"/>
      <c r="F1159" s="235"/>
      <c r="G1159" s="237"/>
      <c r="H1159" s="235"/>
      <c r="I1159" s="235"/>
      <c r="J1159" s="235"/>
      <c r="K1159" s="66"/>
      <c r="L1159" s="238"/>
      <c r="M1159" s="238"/>
    </row>
    <row r="1160" ht="12.75" customHeight="1">
      <c r="A1160" s="238"/>
      <c r="B1160" s="235"/>
      <c r="C1160" s="235"/>
      <c r="D1160" s="236"/>
      <c r="E1160" s="235"/>
      <c r="F1160" s="235"/>
      <c r="G1160" s="237"/>
      <c r="H1160" s="235"/>
      <c r="I1160" s="235"/>
      <c r="J1160" s="235"/>
      <c r="K1160" s="66"/>
      <c r="L1160" s="238"/>
      <c r="M1160" s="238"/>
    </row>
    <row r="1161" ht="12.75" customHeight="1">
      <c r="A1161" s="238"/>
      <c r="B1161" s="235"/>
      <c r="C1161" s="235"/>
      <c r="D1161" s="236"/>
      <c r="E1161" s="235"/>
      <c r="F1161" s="235"/>
      <c r="G1161" s="237"/>
      <c r="H1161" s="235"/>
      <c r="I1161" s="235"/>
      <c r="J1161" s="235"/>
      <c r="K1161" s="66"/>
      <c r="L1161" s="238"/>
      <c r="M1161" s="238"/>
    </row>
    <row r="1162" ht="12.75" customHeight="1">
      <c r="A1162" s="238"/>
      <c r="B1162" s="235"/>
      <c r="C1162" s="235"/>
      <c r="D1162" s="236"/>
      <c r="E1162" s="235"/>
      <c r="F1162" s="235"/>
      <c r="G1162" s="237"/>
      <c r="H1162" s="235"/>
      <c r="I1162" s="235"/>
      <c r="J1162" s="235"/>
      <c r="K1162" s="66"/>
      <c r="L1162" s="238"/>
      <c r="M1162" s="238"/>
    </row>
    <row r="1163" ht="12.75" customHeight="1">
      <c r="A1163" s="238"/>
      <c r="B1163" s="235"/>
      <c r="C1163" s="235"/>
      <c r="D1163" s="236"/>
      <c r="E1163" s="235"/>
      <c r="F1163" s="235"/>
      <c r="G1163" s="237"/>
      <c r="H1163" s="235"/>
      <c r="I1163" s="235"/>
      <c r="J1163" s="235"/>
      <c r="K1163" s="66"/>
      <c r="L1163" s="238"/>
      <c r="M1163" s="238"/>
    </row>
    <row r="1164" ht="12.75" customHeight="1">
      <c r="A1164" s="238"/>
      <c r="B1164" s="235"/>
      <c r="C1164" s="235"/>
      <c r="D1164" s="236"/>
      <c r="E1164" s="235"/>
      <c r="F1164" s="235"/>
      <c r="G1164" s="237"/>
      <c r="H1164" s="235"/>
      <c r="I1164" s="235"/>
      <c r="J1164" s="235"/>
      <c r="K1164" s="66"/>
      <c r="L1164" s="238"/>
      <c r="M1164" s="238"/>
    </row>
    <row r="1165" ht="12.75" customHeight="1">
      <c r="A1165" s="238"/>
      <c r="B1165" s="235"/>
      <c r="C1165" s="235"/>
      <c r="D1165" s="236"/>
      <c r="E1165" s="235"/>
      <c r="F1165" s="235"/>
      <c r="G1165" s="237"/>
      <c r="H1165" s="235"/>
      <c r="I1165" s="235"/>
      <c r="J1165" s="235"/>
      <c r="K1165" s="66"/>
      <c r="L1165" s="238"/>
      <c r="M1165" s="238"/>
    </row>
    <row r="1166" ht="12.75" customHeight="1">
      <c r="A1166" s="238"/>
      <c r="B1166" s="235"/>
      <c r="C1166" s="235"/>
      <c r="D1166" s="236"/>
      <c r="E1166" s="235"/>
      <c r="F1166" s="235"/>
      <c r="G1166" s="237"/>
      <c r="H1166" s="235"/>
      <c r="I1166" s="235"/>
      <c r="J1166" s="235"/>
      <c r="K1166" s="66"/>
      <c r="L1166" s="238"/>
      <c r="M1166" s="238"/>
    </row>
    <row r="1167" ht="12.75" customHeight="1">
      <c r="A1167" s="238"/>
      <c r="B1167" s="235"/>
      <c r="C1167" s="235"/>
      <c r="D1167" s="236"/>
      <c r="E1167" s="235"/>
      <c r="F1167" s="235"/>
      <c r="G1167" s="237"/>
      <c r="H1167" s="235"/>
      <c r="I1167" s="235"/>
      <c r="J1167" s="235"/>
      <c r="K1167" s="66"/>
      <c r="L1167" s="238"/>
      <c r="M1167" s="238"/>
    </row>
    <row r="1168" ht="12.75" customHeight="1">
      <c r="A1168" s="238"/>
      <c r="B1168" s="235"/>
      <c r="C1168" s="235"/>
      <c r="D1168" s="236"/>
      <c r="E1168" s="235"/>
      <c r="F1168" s="235"/>
      <c r="G1168" s="237"/>
      <c r="H1168" s="235"/>
      <c r="I1168" s="235"/>
      <c r="J1168" s="235"/>
      <c r="K1168" s="66"/>
      <c r="L1168" s="238"/>
      <c r="M1168" s="238"/>
    </row>
    <row r="1169" ht="12.75" customHeight="1">
      <c r="A1169" s="238"/>
      <c r="B1169" s="235"/>
      <c r="C1169" s="235"/>
      <c r="D1169" s="236"/>
      <c r="E1169" s="235"/>
      <c r="F1169" s="235"/>
      <c r="G1169" s="237"/>
      <c r="H1169" s="235"/>
      <c r="I1169" s="235"/>
      <c r="J1169" s="235"/>
      <c r="K1169" s="66"/>
      <c r="L1169" s="238"/>
      <c r="M1169" s="238"/>
    </row>
    <row r="1170" ht="12.75" customHeight="1">
      <c r="A1170" s="238"/>
      <c r="B1170" s="235"/>
      <c r="C1170" s="235"/>
      <c r="D1170" s="236"/>
      <c r="E1170" s="235"/>
      <c r="F1170" s="235"/>
      <c r="G1170" s="237"/>
      <c r="H1170" s="235"/>
      <c r="I1170" s="235"/>
      <c r="J1170" s="235"/>
      <c r="K1170" s="66"/>
      <c r="L1170" s="238"/>
      <c r="M1170" s="238"/>
    </row>
    <row r="1171" ht="12.75" customHeight="1">
      <c r="A1171" s="238"/>
      <c r="B1171" s="235"/>
      <c r="C1171" s="235"/>
      <c r="D1171" s="236"/>
      <c r="E1171" s="235"/>
      <c r="F1171" s="235"/>
      <c r="G1171" s="237"/>
      <c r="H1171" s="235"/>
      <c r="I1171" s="235"/>
      <c r="J1171" s="235"/>
      <c r="K1171" s="66"/>
      <c r="L1171" s="238"/>
      <c r="M1171" s="238"/>
    </row>
    <row r="1172" ht="12.75" customHeight="1">
      <c r="A1172" s="238"/>
      <c r="B1172" s="235"/>
      <c r="C1172" s="235"/>
      <c r="D1172" s="236"/>
      <c r="E1172" s="235"/>
      <c r="F1172" s="235"/>
      <c r="G1172" s="237"/>
      <c r="H1172" s="235"/>
      <c r="I1172" s="235"/>
      <c r="J1172" s="235"/>
      <c r="K1172" s="66"/>
      <c r="L1172" s="238"/>
      <c r="M1172" s="238"/>
    </row>
    <row r="1173" ht="12.75" customHeight="1">
      <c r="A1173" s="238"/>
      <c r="B1173" s="235"/>
      <c r="C1173" s="235"/>
      <c r="D1173" s="236"/>
      <c r="E1173" s="235"/>
      <c r="F1173" s="235"/>
      <c r="G1173" s="237"/>
      <c r="H1173" s="235"/>
      <c r="I1173" s="235"/>
      <c r="J1173" s="235"/>
      <c r="K1173" s="66"/>
      <c r="L1173" s="238"/>
      <c r="M1173" s="238"/>
    </row>
    <row r="1174" ht="12.75" customHeight="1">
      <c r="A1174" s="238"/>
      <c r="B1174" s="235"/>
      <c r="C1174" s="235"/>
      <c r="D1174" s="236"/>
      <c r="E1174" s="235"/>
      <c r="F1174" s="235"/>
      <c r="G1174" s="237"/>
      <c r="H1174" s="235"/>
      <c r="I1174" s="235"/>
      <c r="J1174" s="235"/>
      <c r="K1174" s="66"/>
      <c r="L1174" s="238"/>
      <c r="M1174" s="238"/>
    </row>
    <row r="1175" ht="12.75" customHeight="1">
      <c r="A1175" s="238"/>
      <c r="B1175" s="235"/>
      <c r="C1175" s="235"/>
      <c r="D1175" s="236"/>
      <c r="E1175" s="235"/>
      <c r="F1175" s="235"/>
      <c r="G1175" s="237"/>
      <c r="H1175" s="235"/>
      <c r="I1175" s="235"/>
      <c r="J1175" s="235"/>
      <c r="K1175" s="66"/>
      <c r="L1175" s="238"/>
      <c r="M1175" s="238"/>
    </row>
    <row r="1176" ht="12.75" customHeight="1">
      <c r="A1176" s="238"/>
      <c r="B1176" s="235"/>
      <c r="C1176" s="235"/>
      <c r="D1176" s="236"/>
      <c r="E1176" s="235"/>
      <c r="F1176" s="235"/>
      <c r="G1176" s="237"/>
      <c r="H1176" s="235"/>
      <c r="I1176" s="235"/>
      <c r="J1176" s="235"/>
      <c r="K1176" s="66"/>
      <c r="L1176" s="238"/>
      <c r="M1176" s="238"/>
    </row>
    <row r="1177" ht="12.75" customHeight="1">
      <c r="A1177" s="238"/>
      <c r="B1177" s="235"/>
      <c r="C1177" s="235"/>
      <c r="D1177" s="236"/>
      <c r="E1177" s="235"/>
      <c r="F1177" s="235"/>
      <c r="G1177" s="237"/>
      <c r="H1177" s="235"/>
      <c r="I1177" s="235"/>
      <c r="J1177" s="235"/>
      <c r="K1177" s="66"/>
      <c r="L1177" s="238"/>
      <c r="M1177" s="238"/>
    </row>
    <row r="1178" ht="12.75" customHeight="1">
      <c r="A1178" s="238"/>
      <c r="B1178" s="235"/>
      <c r="C1178" s="235"/>
      <c r="D1178" s="236"/>
      <c r="E1178" s="235"/>
      <c r="F1178" s="235"/>
      <c r="G1178" s="237"/>
      <c r="H1178" s="235"/>
      <c r="I1178" s="235"/>
      <c r="J1178" s="235"/>
      <c r="K1178" s="66"/>
      <c r="L1178" s="238"/>
      <c r="M1178" s="238"/>
    </row>
    <row r="1179" ht="12.75" customHeight="1">
      <c r="A1179" s="238"/>
      <c r="B1179" s="235"/>
      <c r="C1179" s="235"/>
      <c r="D1179" s="236"/>
      <c r="E1179" s="235"/>
      <c r="F1179" s="235"/>
      <c r="G1179" s="237"/>
      <c r="H1179" s="235"/>
      <c r="I1179" s="235"/>
      <c r="J1179" s="235"/>
      <c r="K1179" s="66"/>
      <c r="L1179" s="238"/>
      <c r="M1179" s="238"/>
    </row>
    <row r="1180" ht="12.75" customHeight="1">
      <c r="A1180" s="238"/>
      <c r="B1180" s="235"/>
      <c r="C1180" s="235"/>
      <c r="D1180" s="236"/>
      <c r="E1180" s="235"/>
      <c r="F1180" s="235"/>
      <c r="G1180" s="237"/>
      <c r="H1180" s="235"/>
      <c r="I1180" s="235"/>
      <c r="J1180" s="235"/>
      <c r="K1180" s="66"/>
      <c r="L1180" s="238"/>
      <c r="M1180" s="238"/>
    </row>
    <row r="1181" ht="12.75" customHeight="1">
      <c r="A1181" s="238"/>
      <c r="B1181" s="235"/>
      <c r="C1181" s="235"/>
      <c r="D1181" s="236"/>
      <c r="E1181" s="235"/>
      <c r="F1181" s="235"/>
      <c r="G1181" s="237"/>
      <c r="H1181" s="235"/>
      <c r="I1181" s="235"/>
      <c r="J1181" s="235"/>
      <c r="K1181" s="66"/>
      <c r="L1181" s="238"/>
      <c r="M1181" s="238"/>
    </row>
    <row r="1182" ht="12.75" customHeight="1">
      <c r="A1182" s="238"/>
      <c r="B1182" s="235"/>
      <c r="C1182" s="235"/>
      <c r="D1182" s="236"/>
      <c r="E1182" s="235"/>
      <c r="F1182" s="235"/>
      <c r="G1182" s="237"/>
      <c r="H1182" s="235"/>
      <c r="I1182" s="235"/>
      <c r="J1182" s="235"/>
      <c r="K1182" s="66"/>
      <c r="L1182" s="238"/>
      <c r="M1182" s="238"/>
    </row>
    <row r="1183" ht="12.75" customHeight="1">
      <c r="A1183" s="238"/>
      <c r="B1183" s="235"/>
      <c r="C1183" s="235"/>
      <c r="D1183" s="236"/>
      <c r="E1183" s="235"/>
      <c r="F1183" s="235"/>
      <c r="G1183" s="237"/>
      <c r="H1183" s="235"/>
      <c r="I1183" s="235"/>
      <c r="J1183" s="235"/>
      <c r="K1183" s="66"/>
      <c r="L1183" s="238"/>
      <c r="M1183" s="238"/>
    </row>
    <row r="1184" ht="12.75" customHeight="1">
      <c r="A1184" s="238"/>
      <c r="B1184" s="235"/>
      <c r="C1184" s="235"/>
      <c r="D1184" s="236"/>
      <c r="E1184" s="235"/>
      <c r="F1184" s="235"/>
      <c r="G1184" s="237"/>
      <c r="H1184" s="235"/>
      <c r="I1184" s="235"/>
      <c r="J1184" s="235"/>
      <c r="K1184" s="66"/>
      <c r="L1184" s="238"/>
      <c r="M1184" s="238"/>
    </row>
    <row r="1185" ht="12.75" customHeight="1">
      <c r="A1185" s="238"/>
      <c r="B1185" s="235"/>
      <c r="C1185" s="235"/>
      <c r="D1185" s="236"/>
      <c r="E1185" s="235"/>
      <c r="F1185" s="235"/>
      <c r="G1185" s="237"/>
      <c r="H1185" s="235"/>
      <c r="I1185" s="235"/>
      <c r="J1185" s="235"/>
      <c r="K1185" s="66"/>
      <c r="L1185" s="238"/>
      <c r="M1185" s="238"/>
    </row>
    <row r="1186" ht="12.75" customHeight="1">
      <c r="A1186" s="238"/>
      <c r="B1186" s="235"/>
      <c r="C1186" s="235"/>
      <c r="D1186" s="236"/>
      <c r="E1186" s="235"/>
      <c r="F1186" s="235"/>
      <c r="G1186" s="237"/>
      <c r="H1186" s="235"/>
      <c r="I1186" s="235"/>
      <c r="J1186" s="235"/>
      <c r="K1186" s="66"/>
      <c r="L1186" s="238"/>
      <c r="M1186" s="238"/>
    </row>
    <row r="1187" ht="12.75" customHeight="1">
      <c r="A1187" s="238"/>
      <c r="B1187" s="235"/>
      <c r="C1187" s="235"/>
      <c r="D1187" s="236"/>
      <c r="E1187" s="235"/>
      <c r="F1187" s="235"/>
      <c r="G1187" s="237"/>
      <c r="H1187" s="235"/>
      <c r="I1187" s="235"/>
      <c r="J1187" s="235"/>
      <c r="K1187" s="66"/>
      <c r="L1187" s="238"/>
      <c r="M1187" s="238"/>
    </row>
    <row r="1188" ht="12.75" customHeight="1">
      <c r="A1188" s="238"/>
      <c r="B1188" s="235"/>
      <c r="C1188" s="235"/>
      <c r="D1188" s="236"/>
      <c r="E1188" s="235"/>
      <c r="F1188" s="235"/>
      <c r="G1188" s="237"/>
      <c r="H1188" s="235"/>
      <c r="I1188" s="235"/>
      <c r="J1188" s="235"/>
      <c r="K1188" s="66"/>
      <c r="L1188" s="238"/>
      <c r="M1188" s="238"/>
    </row>
    <row r="1189" ht="12.75" customHeight="1">
      <c r="A1189" s="238"/>
      <c r="B1189" s="235"/>
      <c r="C1189" s="235"/>
      <c r="D1189" s="236"/>
      <c r="E1189" s="235"/>
      <c r="F1189" s="235"/>
      <c r="G1189" s="237"/>
      <c r="H1189" s="235"/>
      <c r="I1189" s="235"/>
      <c r="J1189" s="235"/>
      <c r="K1189" s="66"/>
      <c r="L1189" s="238"/>
      <c r="M1189" s="238"/>
    </row>
    <row r="1190" ht="12.75" customHeight="1">
      <c r="A1190" s="238"/>
      <c r="B1190" s="235"/>
      <c r="C1190" s="235"/>
      <c r="D1190" s="236"/>
      <c r="E1190" s="235"/>
      <c r="F1190" s="235"/>
      <c r="G1190" s="237"/>
      <c r="H1190" s="235"/>
      <c r="I1190" s="235"/>
      <c r="J1190" s="235"/>
      <c r="K1190" s="66"/>
      <c r="L1190" s="238"/>
      <c r="M1190" s="238"/>
    </row>
    <row r="1191" ht="12.75" customHeight="1">
      <c r="A1191" s="238"/>
      <c r="B1191" s="235"/>
      <c r="C1191" s="235"/>
      <c r="D1191" s="236"/>
      <c r="E1191" s="235"/>
      <c r="F1191" s="235"/>
      <c r="G1191" s="237"/>
      <c r="H1191" s="235"/>
      <c r="I1191" s="235"/>
      <c r="J1191" s="235"/>
      <c r="K1191" s="66"/>
      <c r="L1191" s="238"/>
      <c r="M1191" s="238"/>
    </row>
    <row r="1192" ht="12.75" customHeight="1">
      <c r="A1192" s="238"/>
      <c r="B1192" s="235"/>
      <c r="C1192" s="235"/>
      <c r="D1192" s="236"/>
      <c r="E1192" s="235"/>
      <c r="F1192" s="235"/>
      <c r="G1192" s="237"/>
      <c r="H1192" s="235"/>
      <c r="I1192" s="235"/>
      <c r="J1192" s="235"/>
      <c r="K1192" s="66"/>
      <c r="L1192" s="238"/>
      <c r="M1192" s="238"/>
    </row>
    <row r="1193" ht="12.75" customHeight="1">
      <c r="A1193" s="238"/>
      <c r="B1193" s="235"/>
      <c r="C1193" s="235"/>
      <c r="D1193" s="236"/>
      <c r="E1193" s="235"/>
      <c r="F1193" s="235"/>
      <c r="G1193" s="237"/>
      <c r="H1193" s="235"/>
      <c r="I1193" s="235"/>
      <c r="J1193" s="235"/>
      <c r="K1193" s="66"/>
      <c r="L1193" s="238"/>
      <c r="M1193" s="238"/>
    </row>
    <row r="1194" ht="12.75" customHeight="1">
      <c r="A1194" s="238"/>
      <c r="B1194" s="235"/>
      <c r="C1194" s="235"/>
      <c r="D1194" s="236"/>
      <c r="E1194" s="235"/>
      <c r="F1194" s="235"/>
      <c r="G1194" s="237"/>
      <c r="H1194" s="235"/>
      <c r="I1194" s="235"/>
      <c r="J1194" s="235"/>
      <c r="K1194" s="66"/>
      <c r="L1194" s="238"/>
      <c r="M1194" s="238"/>
    </row>
    <row r="1195" ht="12.75" customHeight="1">
      <c r="A1195" s="238"/>
      <c r="B1195" s="235"/>
      <c r="C1195" s="235"/>
      <c r="D1195" s="236"/>
      <c r="E1195" s="235"/>
      <c r="F1195" s="235"/>
      <c r="G1195" s="237"/>
      <c r="H1195" s="235"/>
      <c r="I1195" s="235"/>
      <c r="J1195" s="235"/>
      <c r="K1195" s="66"/>
      <c r="L1195" s="238"/>
      <c r="M1195" s="238"/>
    </row>
    <row r="1196" ht="12.75" customHeight="1">
      <c r="A1196" s="238"/>
      <c r="B1196" s="235"/>
      <c r="C1196" s="235"/>
      <c r="D1196" s="236"/>
      <c r="E1196" s="235"/>
      <c r="F1196" s="235"/>
      <c r="G1196" s="237"/>
      <c r="H1196" s="235"/>
      <c r="I1196" s="235"/>
      <c r="J1196" s="235"/>
      <c r="K1196" s="66"/>
      <c r="L1196" s="238"/>
      <c r="M1196" s="238"/>
    </row>
    <row r="1197" ht="12.75" customHeight="1">
      <c r="A1197" s="238"/>
      <c r="B1197" s="235"/>
      <c r="C1197" s="235"/>
      <c r="D1197" s="236"/>
      <c r="E1197" s="235"/>
      <c r="F1197" s="235"/>
      <c r="G1197" s="237"/>
      <c r="H1197" s="235"/>
      <c r="I1197" s="235"/>
      <c r="J1197" s="235"/>
      <c r="K1197" s="66"/>
      <c r="L1197" s="238"/>
      <c r="M1197" s="238"/>
    </row>
    <row r="1198" ht="12.75" customHeight="1">
      <c r="A1198" s="238"/>
      <c r="B1198" s="235"/>
      <c r="C1198" s="235"/>
      <c r="D1198" s="236"/>
      <c r="E1198" s="235"/>
      <c r="F1198" s="235"/>
      <c r="G1198" s="237"/>
      <c r="H1198" s="235"/>
      <c r="I1198" s="235"/>
      <c r="J1198" s="235"/>
      <c r="K1198" s="66"/>
      <c r="L1198" s="238"/>
      <c r="M1198" s="238"/>
    </row>
    <row r="1199" ht="12.75" customHeight="1">
      <c r="A1199" s="238"/>
      <c r="B1199" s="235"/>
      <c r="C1199" s="235"/>
      <c r="D1199" s="236"/>
      <c r="E1199" s="235"/>
      <c r="F1199" s="235"/>
      <c r="G1199" s="237"/>
      <c r="H1199" s="235"/>
      <c r="I1199" s="235"/>
      <c r="J1199" s="235"/>
      <c r="K1199" s="66"/>
      <c r="L1199" s="238"/>
      <c r="M1199" s="238"/>
    </row>
    <row r="1200" ht="12.75" customHeight="1">
      <c r="A1200" s="238"/>
      <c r="B1200" s="235"/>
      <c r="C1200" s="235"/>
      <c r="D1200" s="236"/>
      <c r="E1200" s="235"/>
      <c r="F1200" s="235"/>
      <c r="G1200" s="237"/>
      <c r="H1200" s="235"/>
      <c r="I1200" s="235"/>
      <c r="J1200" s="235"/>
      <c r="K1200" s="66"/>
      <c r="L1200" s="238"/>
      <c r="M1200" s="238"/>
    </row>
    <row r="1201" ht="12.75" customHeight="1">
      <c r="A1201" s="238"/>
      <c r="B1201" s="235"/>
      <c r="C1201" s="235"/>
      <c r="D1201" s="236"/>
      <c r="E1201" s="235"/>
      <c r="F1201" s="235"/>
      <c r="G1201" s="237"/>
      <c r="H1201" s="235"/>
      <c r="I1201" s="235"/>
      <c r="J1201" s="235"/>
      <c r="K1201" s="66"/>
      <c r="L1201" s="238"/>
      <c r="M1201" s="238"/>
    </row>
    <row r="1202" ht="12.75" customHeight="1">
      <c r="A1202" s="238"/>
      <c r="B1202" s="235"/>
      <c r="C1202" s="235"/>
      <c r="D1202" s="236"/>
      <c r="E1202" s="235"/>
      <c r="F1202" s="235"/>
      <c r="G1202" s="237"/>
      <c r="H1202" s="235"/>
      <c r="I1202" s="235"/>
      <c r="J1202" s="235"/>
      <c r="K1202" s="66"/>
      <c r="L1202" s="238"/>
      <c r="M1202" s="238"/>
    </row>
    <row r="1203" ht="12.75" customHeight="1">
      <c r="A1203" s="238"/>
      <c r="B1203" s="235"/>
      <c r="C1203" s="235"/>
      <c r="D1203" s="236"/>
      <c r="E1203" s="235"/>
      <c r="F1203" s="235"/>
      <c r="G1203" s="237"/>
      <c r="H1203" s="235"/>
      <c r="I1203" s="235"/>
      <c r="J1203" s="235"/>
      <c r="K1203" s="66"/>
      <c r="L1203" s="238"/>
      <c r="M1203" s="238"/>
    </row>
    <row r="1204" ht="12.75" customHeight="1">
      <c r="A1204" s="238"/>
      <c r="B1204" s="235"/>
      <c r="C1204" s="235"/>
      <c r="D1204" s="236"/>
      <c r="E1204" s="235"/>
      <c r="F1204" s="235"/>
      <c r="G1204" s="237"/>
      <c r="H1204" s="235"/>
      <c r="I1204" s="235"/>
      <c r="J1204" s="235"/>
      <c r="K1204" s="66"/>
      <c r="L1204" s="238"/>
      <c r="M1204" s="238"/>
    </row>
    <row r="1205" ht="12.75" customHeight="1">
      <c r="A1205" s="238"/>
      <c r="B1205" s="235"/>
      <c r="C1205" s="235"/>
      <c r="D1205" s="236"/>
      <c r="E1205" s="235"/>
      <c r="F1205" s="235"/>
      <c r="G1205" s="237"/>
      <c r="H1205" s="235"/>
      <c r="I1205" s="235"/>
      <c r="J1205" s="235"/>
      <c r="K1205" s="66"/>
      <c r="L1205" s="238"/>
      <c r="M1205" s="238"/>
    </row>
    <row r="1206" ht="12.75" customHeight="1">
      <c r="A1206" s="238"/>
      <c r="B1206" s="235"/>
      <c r="C1206" s="235"/>
      <c r="D1206" s="236"/>
      <c r="E1206" s="235"/>
      <c r="F1206" s="235"/>
      <c r="G1206" s="237"/>
      <c r="H1206" s="235"/>
      <c r="I1206" s="235"/>
      <c r="J1206" s="235"/>
      <c r="K1206" s="66"/>
      <c r="L1206" s="238"/>
      <c r="M1206" s="238"/>
    </row>
    <row r="1207" ht="12.75" customHeight="1">
      <c r="A1207" s="238"/>
      <c r="B1207" s="235"/>
      <c r="C1207" s="235"/>
      <c r="D1207" s="236"/>
      <c r="E1207" s="235"/>
      <c r="F1207" s="235"/>
      <c r="G1207" s="237"/>
      <c r="H1207" s="235"/>
      <c r="I1207" s="235"/>
      <c r="J1207" s="235"/>
      <c r="K1207" s="66"/>
      <c r="L1207" s="238"/>
      <c r="M1207" s="238"/>
    </row>
    <row r="1208" ht="12.75" customHeight="1">
      <c r="A1208" s="238"/>
      <c r="B1208" s="235"/>
      <c r="C1208" s="235"/>
      <c r="D1208" s="236"/>
      <c r="E1208" s="235"/>
      <c r="F1208" s="235"/>
      <c r="G1208" s="237"/>
      <c r="H1208" s="235"/>
      <c r="I1208" s="235"/>
      <c r="J1208" s="235"/>
      <c r="K1208" s="66"/>
      <c r="L1208" s="238"/>
      <c r="M1208" s="238"/>
    </row>
    <row r="1209" ht="12.75" customHeight="1">
      <c r="A1209" s="238"/>
      <c r="B1209" s="235"/>
      <c r="C1209" s="235"/>
      <c r="D1209" s="236"/>
      <c r="E1209" s="235"/>
      <c r="F1209" s="235"/>
      <c r="G1209" s="237"/>
      <c r="H1209" s="235"/>
      <c r="I1209" s="235"/>
      <c r="J1209" s="235"/>
      <c r="K1209" s="66"/>
      <c r="L1209" s="238"/>
      <c r="M1209" s="238"/>
    </row>
    <row r="1210" ht="12.75" customHeight="1">
      <c r="A1210" s="238"/>
      <c r="B1210" s="235"/>
      <c r="C1210" s="235"/>
      <c r="D1210" s="236"/>
      <c r="E1210" s="235"/>
      <c r="F1210" s="235"/>
      <c r="G1210" s="237"/>
      <c r="H1210" s="235"/>
      <c r="I1210" s="235"/>
      <c r="J1210" s="235"/>
      <c r="K1210" s="66"/>
      <c r="L1210" s="238"/>
      <c r="M1210" s="238"/>
    </row>
    <row r="1211" ht="12.75" customHeight="1">
      <c r="A1211" s="238"/>
      <c r="B1211" s="235"/>
      <c r="C1211" s="235"/>
      <c r="D1211" s="236"/>
      <c r="E1211" s="235"/>
      <c r="F1211" s="235"/>
      <c r="G1211" s="237"/>
      <c r="H1211" s="235"/>
      <c r="I1211" s="235"/>
      <c r="J1211" s="235"/>
      <c r="K1211" s="66"/>
      <c r="L1211" s="238"/>
      <c r="M1211" s="238"/>
    </row>
    <row r="1212" ht="12.75" customHeight="1">
      <c r="A1212" s="238"/>
      <c r="B1212" s="235"/>
      <c r="C1212" s="235"/>
      <c r="D1212" s="236"/>
      <c r="E1212" s="235"/>
      <c r="F1212" s="235"/>
      <c r="G1212" s="237"/>
      <c r="H1212" s="235"/>
      <c r="I1212" s="235"/>
      <c r="J1212" s="235"/>
      <c r="K1212" s="66"/>
      <c r="L1212" s="238"/>
      <c r="M1212" s="238"/>
    </row>
    <row r="1213" ht="12.75" customHeight="1">
      <c r="A1213" s="238"/>
      <c r="B1213" s="235"/>
      <c r="C1213" s="235"/>
      <c r="D1213" s="236"/>
      <c r="E1213" s="235"/>
      <c r="F1213" s="235"/>
      <c r="G1213" s="237"/>
      <c r="H1213" s="235"/>
      <c r="I1213" s="235"/>
      <c r="J1213" s="235"/>
      <c r="K1213" s="66"/>
      <c r="L1213" s="238"/>
      <c r="M1213" s="238"/>
    </row>
    <row r="1214" ht="12.75" customHeight="1">
      <c r="A1214" s="238"/>
      <c r="B1214" s="235"/>
      <c r="C1214" s="235"/>
      <c r="D1214" s="236"/>
      <c r="E1214" s="235"/>
      <c r="F1214" s="235"/>
      <c r="G1214" s="237"/>
      <c r="H1214" s="235"/>
      <c r="I1214" s="235"/>
      <c r="J1214" s="235"/>
      <c r="K1214" s="66"/>
      <c r="L1214" s="238"/>
      <c r="M1214" s="238"/>
    </row>
    <row r="1215" ht="12.75" customHeight="1">
      <c r="A1215" s="238"/>
      <c r="B1215" s="235"/>
      <c r="C1215" s="235"/>
      <c r="D1215" s="236"/>
      <c r="E1215" s="235"/>
      <c r="F1215" s="235"/>
      <c r="G1215" s="237"/>
      <c r="H1215" s="235"/>
      <c r="I1215" s="235"/>
      <c r="J1215" s="235"/>
      <c r="K1215" s="66"/>
      <c r="L1215" s="238"/>
      <c r="M1215" s="238"/>
    </row>
    <row r="1216" ht="12.75" customHeight="1">
      <c r="A1216" s="238"/>
      <c r="B1216" s="235"/>
      <c r="C1216" s="235"/>
      <c r="D1216" s="236"/>
      <c r="E1216" s="235"/>
      <c r="F1216" s="235"/>
      <c r="G1216" s="237"/>
      <c r="H1216" s="235"/>
      <c r="I1216" s="235"/>
      <c r="J1216" s="235"/>
      <c r="K1216" s="66"/>
      <c r="L1216" s="238"/>
      <c r="M1216" s="238"/>
    </row>
    <row r="1217" ht="12.75" customHeight="1">
      <c r="A1217" s="238"/>
      <c r="B1217" s="235"/>
      <c r="C1217" s="235"/>
      <c r="D1217" s="236"/>
      <c r="E1217" s="235"/>
      <c r="F1217" s="235"/>
      <c r="G1217" s="237"/>
      <c r="H1217" s="235"/>
      <c r="I1217" s="235"/>
      <c r="J1217" s="235"/>
      <c r="K1217" s="66"/>
      <c r="L1217" s="238"/>
      <c r="M1217" s="238"/>
    </row>
    <row r="1218" ht="12.75" customHeight="1">
      <c r="A1218" s="238"/>
      <c r="B1218" s="235"/>
      <c r="C1218" s="235"/>
      <c r="D1218" s="236"/>
      <c r="E1218" s="235"/>
      <c r="F1218" s="235"/>
      <c r="G1218" s="237"/>
      <c r="H1218" s="235"/>
      <c r="I1218" s="235"/>
      <c r="J1218" s="235"/>
      <c r="K1218" s="66"/>
      <c r="L1218" s="238"/>
      <c r="M1218" s="238"/>
    </row>
    <row r="1219" ht="12.75" customHeight="1">
      <c r="A1219" s="238"/>
      <c r="B1219" s="235"/>
      <c r="C1219" s="235"/>
      <c r="D1219" s="236"/>
      <c r="E1219" s="235"/>
      <c r="F1219" s="235"/>
      <c r="G1219" s="237"/>
      <c r="H1219" s="235"/>
      <c r="I1219" s="235"/>
      <c r="J1219" s="235"/>
      <c r="K1219" s="66"/>
      <c r="L1219" s="238"/>
      <c r="M1219" s="238"/>
    </row>
    <row r="1220" ht="12.75" customHeight="1">
      <c r="A1220" s="238"/>
      <c r="B1220" s="235"/>
      <c r="C1220" s="235"/>
      <c r="D1220" s="236"/>
      <c r="E1220" s="235"/>
      <c r="F1220" s="235"/>
      <c r="G1220" s="237"/>
      <c r="H1220" s="235"/>
      <c r="I1220" s="235"/>
      <c r="J1220" s="235"/>
      <c r="K1220" s="66"/>
      <c r="L1220" s="238"/>
      <c r="M1220" s="238"/>
    </row>
    <row r="1221" ht="12.75" customHeight="1">
      <c r="A1221" s="238"/>
      <c r="B1221" s="235"/>
      <c r="C1221" s="235"/>
      <c r="D1221" s="236"/>
      <c r="E1221" s="235"/>
      <c r="F1221" s="235"/>
      <c r="G1221" s="237"/>
      <c r="H1221" s="235"/>
      <c r="I1221" s="235"/>
      <c r="J1221" s="235"/>
      <c r="K1221" s="66"/>
      <c r="L1221" s="238"/>
      <c r="M1221" s="238"/>
    </row>
    <row r="1222" ht="12.75" customHeight="1">
      <c r="A1222" s="238"/>
      <c r="B1222" s="235"/>
      <c r="C1222" s="235"/>
      <c r="D1222" s="236"/>
      <c r="E1222" s="235"/>
      <c r="F1222" s="235"/>
      <c r="G1222" s="237"/>
      <c r="H1222" s="235"/>
      <c r="I1222" s="235"/>
      <c r="J1222" s="235"/>
      <c r="K1222" s="66"/>
      <c r="L1222" s="238"/>
      <c r="M1222" s="238"/>
    </row>
    <row r="1223" ht="12.75" customHeight="1">
      <c r="A1223" s="238"/>
      <c r="B1223" s="235"/>
      <c r="C1223" s="235"/>
      <c r="D1223" s="236"/>
      <c r="E1223" s="235"/>
      <c r="F1223" s="235"/>
      <c r="G1223" s="237"/>
      <c r="H1223" s="235"/>
      <c r="I1223" s="235"/>
      <c r="J1223" s="235"/>
      <c r="K1223" s="66"/>
      <c r="L1223" s="238"/>
      <c r="M1223" s="238"/>
    </row>
    <row r="1224" ht="12.75" customHeight="1">
      <c r="A1224" s="238"/>
      <c r="B1224" s="235"/>
      <c r="C1224" s="235"/>
      <c r="D1224" s="236"/>
      <c r="E1224" s="235"/>
      <c r="F1224" s="235"/>
      <c r="G1224" s="237"/>
      <c r="H1224" s="235"/>
      <c r="I1224" s="235"/>
      <c r="J1224" s="235"/>
      <c r="K1224" s="66"/>
      <c r="L1224" s="238"/>
      <c r="M1224" s="238"/>
    </row>
    <row r="1225" ht="12.75" customHeight="1">
      <c r="A1225" s="238"/>
      <c r="B1225" s="235"/>
      <c r="C1225" s="235"/>
      <c r="D1225" s="236"/>
      <c r="E1225" s="235"/>
      <c r="F1225" s="235"/>
      <c r="G1225" s="237"/>
      <c r="H1225" s="235"/>
      <c r="I1225" s="235"/>
      <c r="J1225" s="235"/>
      <c r="K1225" s="66"/>
      <c r="L1225" s="238"/>
      <c r="M1225" s="238"/>
    </row>
    <row r="1226" ht="12.75" customHeight="1">
      <c r="A1226" s="238"/>
      <c r="B1226" s="235"/>
      <c r="C1226" s="235"/>
      <c r="D1226" s="236"/>
      <c r="E1226" s="235"/>
      <c r="F1226" s="235"/>
      <c r="G1226" s="237"/>
      <c r="H1226" s="235"/>
      <c r="I1226" s="235"/>
      <c r="J1226" s="235"/>
      <c r="K1226" s="66"/>
      <c r="L1226" s="238"/>
      <c r="M1226" s="238"/>
    </row>
    <row r="1227" ht="12.75" customHeight="1">
      <c r="A1227" s="238"/>
      <c r="B1227" s="235"/>
      <c r="C1227" s="235"/>
      <c r="D1227" s="236"/>
      <c r="E1227" s="235"/>
      <c r="F1227" s="235"/>
      <c r="G1227" s="237"/>
      <c r="H1227" s="235"/>
      <c r="I1227" s="235"/>
      <c r="J1227" s="235"/>
      <c r="K1227" s="66"/>
      <c r="L1227" s="238"/>
      <c r="M1227" s="238"/>
    </row>
    <row r="1228" ht="12.75" customHeight="1">
      <c r="A1228" s="238"/>
      <c r="B1228" s="235"/>
      <c r="C1228" s="235"/>
      <c r="D1228" s="236"/>
      <c r="E1228" s="235"/>
      <c r="F1228" s="235"/>
      <c r="G1228" s="237"/>
      <c r="H1228" s="235"/>
      <c r="I1228" s="235"/>
      <c r="J1228" s="235"/>
      <c r="K1228" s="66"/>
      <c r="L1228" s="238"/>
      <c r="M1228" s="238"/>
    </row>
    <row r="1229" ht="12.75" customHeight="1">
      <c r="A1229" s="238"/>
      <c r="B1229" s="235"/>
      <c r="C1229" s="235"/>
      <c r="D1229" s="236"/>
      <c r="E1229" s="235"/>
      <c r="F1229" s="235"/>
      <c r="G1229" s="237"/>
      <c r="H1229" s="235"/>
      <c r="I1229" s="235"/>
      <c r="J1229" s="235"/>
      <c r="K1229" s="66"/>
      <c r="L1229" s="238"/>
      <c r="M1229" s="238"/>
    </row>
    <row r="1230" ht="12.75" customHeight="1">
      <c r="A1230" s="238"/>
      <c r="B1230" s="235"/>
      <c r="C1230" s="235"/>
      <c r="D1230" s="236"/>
      <c r="E1230" s="235"/>
      <c r="F1230" s="235"/>
      <c r="G1230" s="237"/>
      <c r="H1230" s="235"/>
      <c r="I1230" s="235"/>
      <c r="J1230" s="235"/>
      <c r="K1230" s="66"/>
      <c r="L1230" s="238"/>
      <c r="M1230" s="238"/>
    </row>
    <row r="1231" ht="12.75" customHeight="1">
      <c r="A1231" s="238"/>
      <c r="B1231" s="235"/>
      <c r="C1231" s="235"/>
      <c r="D1231" s="236"/>
      <c r="E1231" s="235"/>
      <c r="F1231" s="235"/>
      <c r="G1231" s="237"/>
      <c r="H1231" s="235"/>
      <c r="I1231" s="235"/>
      <c r="J1231" s="235"/>
      <c r="K1231" s="66"/>
      <c r="L1231" s="238"/>
      <c r="M1231" s="238"/>
    </row>
    <row r="1232" ht="12.75" customHeight="1">
      <c r="A1232" s="238"/>
      <c r="B1232" s="235"/>
      <c r="C1232" s="235"/>
      <c r="D1232" s="236"/>
      <c r="E1232" s="235"/>
      <c r="F1232" s="235"/>
      <c r="G1232" s="237"/>
      <c r="H1232" s="235"/>
      <c r="I1232" s="235"/>
      <c r="J1232" s="235"/>
      <c r="K1232" s="66"/>
      <c r="L1232" s="238"/>
      <c r="M1232" s="238"/>
    </row>
    <row r="1233" ht="12.75" customHeight="1">
      <c r="A1233" s="238"/>
      <c r="B1233" s="235"/>
      <c r="C1233" s="235"/>
      <c r="D1233" s="236"/>
      <c r="E1233" s="235"/>
      <c r="F1233" s="235"/>
      <c r="G1233" s="237"/>
      <c r="H1233" s="235"/>
      <c r="I1233" s="235"/>
      <c r="J1233" s="235"/>
      <c r="K1233" s="66"/>
      <c r="L1233" s="238"/>
      <c r="M1233" s="238"/>
    </row>
    <row r="1234" ht="12.75" customHeight="1">
      <c r="A1234" s="238"/>
      <c r="B1234" s="235"/>
      <c r="C1234" s="235"/>
      <c r="D1234" s="236"/>
      <c r="E1234" s="235"/>
      <c r="F1234" s="235"/>
      <c r="G1234" s="237"/>
      <c r="H1234" s="235"/>
      <c r="I1234" s="235"/>
      <c r="J1234" s="235"/>
      <c r="K1234" s="66"/>
      <c r="L1234" s="238"/>
      <c r="M1234" s="238"/>
    </row>
    <row r="1235" ht="12.75" customHeight="1">
      <c r="A1235" s="238"/>
      <c r="B1235" s="235"/>
      <c r="C1235" s="235"/>
      <c r="D1235" s="236"/>
      <c r="E1235" s="235"/>
      <c r="F1235" s="235"/>
      <c r="G1235" s="237"/>
      <c r="H1235" s="235"/>
      <c r="I1235" s="235"/>
      <c r="J1235" s="235"/>
      <c r="K1235" s="66"/>
      <c r="L1235" s="238"/>
      <c r="M1235" s="238"/>
    </row>
    <row r="1236" ht="12.75" customHeight="1">
      <c r="A1236" s="238"/>
      <c r="B1236" s="235"/>
      <c r="C1236" s="235"/>
      <c r="D1236" s="236"/>
      <c r="E1236" s="235"/>
      <c r="F1236" s="235"/>
      <c r="G1236" s="237"/>
      <c r="H1236" s="235"/>
      <c r="I1236" s="235"/>
      <c r="J1236" s="235"/>
      <c r="K1236" s="66"/>
      <c r="L1236" s="238"/>
      <c r="M1236" s="238"/>
    </row>
    <row r="1237" ht="12.75" customHeight="1">
      <c r="A1237" s="238"/>
      <c r="B1237" s="235"/>
      <c r="C1237" s="235"/>
      <c r="D1237" s="236"/>
      <c r="E1237" s="235"/>
      <c r="F1237" s="235"/>
      <c r="G1237" s="237"/>
      <c r="H1237" s="235"/>
      <c r="I1237" s="235"/>
      <c r="J1237" s="235"/>
      <c r="K1237" s="66"/>
      <c r="L1237" s="238"/>
      <c r="M1237" s="238"/>
    </row>
    <row r="1238" ht="12.75" customHeight="1">
      <c r="A1238" s="238"/>
      <c r="B1238" s="235"/>
      <c r="C1238" s="235"/>
      <c r="D1238" s="236"/>
      <c r="E1238" s="235"/>
      <c r="F1238" s="235"/>
      <c r="G1238" s="237"/>
      <c r="H1238" s="235"/>
      <c r="I1238" s="235"/>
      <c r="J1238" s="235"/>
      <c r="K1238" s="66"/>
      <c r="L1238" s="238"/>
      <c r="M1238" s="238"/>
    </row>
    <row r="1239" ht="12.75" customHeight="1">
      <c r="A1239" s="238"/>
      <c r="B1239" s="235"/>
      <c r="C1239" s="235"/>
      <c r="D1239" s="236"/>
      <c r="E1239" s="235"/>
      <c r="F1239" s="235"/>
      <c r="G1239" s="237"/>
      <c r="H1239" s="235"/>
      <c r="I1239" s="235"/>
      <c r="J1239" s="235"/>
      <c r="K1239" s="66"/>
      <c r="L1239" s="238"/>
      <c r="M1239" s="238"/>
    </row>
    <row r="1240" ht="12.75" customHeight="1">
      <c r="A1240" s="238"/>
      <c r="B1240" s="235"/>
      <c r="C1240" s="235"/>
      <c r="D1240" s="236"/>
      <c r="E1240" s="235"/>
      <c r="F1240" s="235"/>
      <c r="G1240" s="237"/>
      <c r="H1240" s="235"/>
      <c r="I1240" s="235"/>
      <c r="J1240" s="235"/>
      <c r="K1240" s="66"/>
      <c r="L1240" s="238"/>
      <c r="M1240" s="238"/>
    </row>
    <row r="1241" ht="12.75" customHeight="1">
      <c r="A1241" s="238"/>
      <c r="B1241" s="235"/>
      <c r="C1241" s="235"/>
      <c r="D1241" s="236"/>
      <c r="E1241" s="235"/>
      <c r="F1241" s="235"/>
      <c r="G1241" s="237"/>
      <c r="H1241" s="235"/>
      <c r="I1241" s="235"/>
      <c r="J1241" s="235"/>
      <c r="K1241" s="66"/>
      <c r="L1241" s="238"/>
      <c r="M1241" s="238"/>
    </row>
    <row r="1242" ht="12.75" customHeight="1">
      <c r="A1242" s="238"/>
      <c r="B1242" s="235"/>
      <c r="C1242" s="235"/>
      <c r="D1242" s="236"/>
      <c r="E1242" s="235"/>
      <c r="F1242" s="235"/>
      <c r="G1242" s="237"/>
      <c r="H1242" s="235"/>
      <c r="I1242" s="235"/>
      <c r="J1242" s="235"/>
      <c r="K1242" s="66"/>
      <c r="L1242" s="238"/>
      <c r="M1242" s="238"/>
    </row>
    <row r="1243" ht="12.75" customHeight="1">
      <c r="A1243" s="238"/>
      <c r="B1243" s="235"/>
      <c r="C1243" s="235"/>
      <c r="D1243" s="236"/>
      <c r="E1243" s="235"/>
      <c r="F1243" s="235"/>
      <c r="G1243" s="237"/>
      <c r="H1243" s="235"/>
      <c r="I1243" s="235"/>
      <c r="J1243" s="235"/>
      <c r="K1243" s="66"/>
      <c r="L1243" s="238"/>
      <c r="M1243" s="238"/>
    </row>
    <row r="1244" ht="12.75" customHeight="1">
      <c r="A1244" s="238"/>
      <c r="B1244" s="235"/>
      <c r="C1244" s="235"/>
      <c r="D1244" s="236"/>
      <c r="E1244" s="235"/>
      <c r="F1244" s="235"/>
      <c r="G1244" s="237"/>
      <c r="H1244" s="235"/>
      <c r="I1244" s="235"/>
      <c r="J1244" s="235"/>
      <c r="K1244" s="66"/>
      <c r="L1244" s="238"/>
      <c r="M1244" s="238"/>
    </row>
    <row r="1245" ht="12.75" customHeight="1">
      <c r="A1245" s="238"/>
      <c r="B1245" s="235"/>
      <c r="C1245" s="235"/>
      <c r="D1245" s="236"/>
      <c r="E1245" s="235"/>
      <c r="F1245" s="235"/>
      <c r="G1245" s="237"/>
      <c r="H1245" s="235"/>
      <c r="I1245" s="235"/>
      <c r="J1245" s="235"/>
      <c r="K1245" s="66"/>
      <c r="L1245" s="238"/>
      <c r="M1245" s="238"/>
    </row>
    <row r="1246" ht="12.75" customHeight="1">
      <c r="A1246" s="238"/>
      <c r="B1246" s="235"/>
      <c r="C1246" s="235"/>
      <c r="D1246" s="236"/>
      <c r="E1246" s="235"/>
      <c r="F1246" s="235"/>
      <c r="G1246" s="237"/>
      <c r="H1246" s="235"/>
      <c r="I1246" s="235"/>
      <c r="J1246" s="235"/>
      <c r="K1246" s="66"/>
      <c r="L1246" s="238"/>
      <c r="M1246" s="238"/>
    </row>
    <row r="1247" ht="12.75" customHeight="1">
      <c r="A1247" s="238"/>
      <c r="B1247" s="235"/>
      <c r="C1247" s="235"/>
      <c r="D1247" s="236"/>
      <c r="E1247" s="235"/>
      <c r="F1247" s="235"/>
      <c r="G1247" s="237"/>
      <c r="H1247" s="235"/>
      <c r="I1247" s="235"/>
      <c r="J1247" s="235"/>
      <c r="K1247" s="66"/>
      <c r="L1247" s="238"/>
      <c r="M1247" s="238"/>
    </row>
    <row r="1248" ht="12.75" customHeight="1">
      <c r="A1248" s="238"/>
      <c r="B1248" s="235"/>
      <c r="C1248" s="235"/>
      <c r="D1248" s="236"/>
      <c r="E1248" s="235"/>
      <c r="F1248" s="235"/>
      <c r="G1248" s="237"/>
      <c r="H1248" s="235"/>
      <c r="I1248" s="235"/>
      <c r="J1248" s="235"/>
      <c r="K1248" s="66"/>
      <c r="L1248" s="238"/>
      <c r="M1248" s="238"/>
    </row>
    <row r="1249" ht="12.75" customHeight="1">
      <c r="A1249" s="238"/>
      <c r="B1249" s="235"/>
      <c r="C1249" s="235"/>
      <c r="D1249" s="236"/>
      <c r="E1249" s="235"/>
      <c r="F1249" s="235"/>
      <c r="G1249" s="237"/>
      <c r="H1249" s="235"/>
      <c r="I1249" s="235"/>
      <c r="J1249" s="235"/>
      <c r="K1249" s="66"/>
      <c r="L1249" s="238"/>
      <c r="M1249" s="238"/>
    </row>
    <row r="1250" ht="12.75" customHeight="1">
      <c r="A1250" s="238"/>
      <c r="B1250" s="235"/>
      <c r="C1250" s="235"/>
      <c r="D1250" s="236"/>
      <c r="E1250" s="235"/>
      <c r="F1250" s="235"/>
      <c r="G1250" s="237"/>
      <c r="H1250" s="235"/>
      <c r="I1250" s="235"/>
      <c r="J1250" s="235"/>
      <c r="K1250" s="66"/>
      <c r="L1250" s="238"/>
      <c r="M1250" s="238"/>
    </row>
    <row r="1251" ht="12.75" customHeight="1">
      <c r="A1251" s="238"/>
      <c r="B1251" s="235"/>
      <c r="C1251" s="235"/>
      <c r="D1251" s="236"/>
      <c r="E1251" s="235"/>
      <c r="F1251" s="235"/>
      <c r="G1251" s="237"/>
      <c r="H1251" s="235"/>
      <c r="I1251" s="235"/>
      <c r="J1251" s="235"/>
      <c r="K1251" s="66"/>
      <c r="L1251" s="238"/>
      <c r="M1251" s="238"/>
    </row>
    <row r="1252" ht="12.75" customHeight="1">
      <c r="A1252" s="238"/>
      <c r="B1252" s="235"/>
      <c r="C1252" s="235"/>
      <c r="D1252" s="236"/>
      <c r="E1252" s="235"/>
      <c r="F1252" s="235"/>
      <c r="G1252" s="237"/>
      <c r="H1252" s="235"/>
      <c r="I1252" s="235"/>
      <c r="J1252" s="235"/>
      <c r="K1252" s="66"/>
      <c r="L1252" s="238"/>
      <c r="M1252" s="238"/>
    </row>
    <row r="1253" ht="12.75" customHeight="1">
      <c r="A1253" s="238"/>
      <c r="B1253" s="235"/>
      <c r="C1253" s="235"/>
      <c r="D1253" s="236"/>
      <c r="E1253" s="235"/>
      <c r="F1253" s="235"/>
      <c r="G1253" s="237"/>
      <c r="H1253" s="235"/>
      <c r="I1253" s="235"/>
      <c r="J1253" s="235"/>
      <c r="K1253" s="66"/>
      <c r="L1253" s="238"/>
      <c r="M1253" s="238"/>
    </row>
    <row r="1254" ht="12.75" customHeight="1">
      <c r="A1254" s="238"/>
      <c r="B1254" s="235"/>
      <c r="C1254" s="235"/>
      <c r="D1254" s="236"/>
      <c r="E1254" s="235"/>
      <c r="F1254" s="235"/>
      <c r="G1254" s="237"/>
      <c r="H1254" s="235"/>
      <c r="I1254" s="235"/>
      <c r="J1254" s="235"/>
      <c r="K1254" s="66"/>
      <c r="L1254" s="238"/>
      <c r="M1254" s="238"/>
    </row>
    <row r="1255" ht="12.75" customHeight="1">
      <c r="A1255" s="238"/>
      <c r="B1255" s="235"/>
      <c r="C1255" s="235"/>
      <c r="D1255" s="236"/>
      <c r="E1255" s="235"/>
      <c r="F1255" s="235"/>
      <c r="G1255" s="237"/>
      <c r="H1255" s="235"/>
      <c r="I1255" s="235"/>
      <c r="J1255" s="235"/>
      <c r="K1255" s="66"/>
      <c r="L1255" s="238"/>
      <c r="M1255" s="238"/>
    </row>
    <row r="1256" ht="12.75" customHeight="1">
      <c r="A1256" s="238"/>
      <c r="B1256" s="235"/>
      <c r="C1256" s="235"/>
      <c r="D1256" s="236"/>
      <c r="E1256" s="235"/>
      <c r="F1256" s="235"/>
      <c r="G1256" s="237"/>
      <c r="H1256" s="235"/>
      <c r="I1256" s="235"/>
      <c r="J1256" s="235"/>
      <c r="K1256" s="66"/>
      <c r="L1256" s="238"/>
      <c r="M1256" s="238"/>
    </row>
    <row r="1257" ht="12.75" customHeight="1">
      <c r="A1257" s="238"/>
      <c r="B1257" s="235"/>
      <c r="C1257" s="235"/>
      <c r="D1257" s="236"/>
      <c r="E1257" s="235"/>
      <c r="F1257" s="235"/>
      <c r="G1257" s="237"/>
      <c r="H1257" s="235"/>
      <c r="I1257" s="235"/>
      <c r="J1257" s="235"/>
      <c r="K1257" s="66"/>
      <c r="L1257" s="238"/>
      <c r="M1257" s="238"/>
    </row>
    <row r="1258" ht="12.75" customHeight="1">
      <c r="A1258" s="238"/>
      <c r="B1258" s="235"/>
      <c r="C1258" s="235"/>
      <c r="D1258" s="236"/>
      <c r="E1258" s="235"/>
      <c r="F1258" s="235"/>
      <c r="G1258" s="237"/>
      <c r="H1258" s="235"/>
      <c r="I1258" s="235"/>
      <c r="J1258" s="235"/>
      <c r="K1258" s="66"/>
      <c r="L1258" s="238"/>
      <c r="M1258" s="238"/>
    </row>
    <row r="1259" ht="12.75" customHeight="1">
      <c r="A1259" s="238"/>
      <c r="B1259" s="235"/>
      <c r="C1259" s="235"/>
      <c r="D1259" s="236"/>
      <c r="E1259" s="235"/>
      <c r="F1259" s="235"/>
      <c r="G1259" s="237"/>
      <c r="H1259" s="235"/>
      <c r="I1259" s="235"/>
      <c r="J1259" s="235"/>
      <c r="K1259" s="66"/>
      <c r="L1259" s="238"/>
      <c r="M1259" s="238"/>
    </row>
    <row r="1260" ht="12.75" customHeight="1">
      <c r="A1260" s="238"/>
      <c r="B1260" s="235"/>
      <c r="C1260" s="235"/>
      <c r="D1260" s="236"/>
      <c r="E1260" s="235"/>
      <c r="F1260" s="235"/>
      <c r="G1260" s="237"/>
      <c r="H1260" s="235"/>
      <c r="I1260" s="235"/>
      <c r="J1260" s="235"/>
      <c r="K1260" s="66"/>
      <c r="L1260" s="238"/>
      <c r="M1260" s="238"/>
    </row>
    <row r="1261" ht="12.75" customHeight="1">
      <c r="A1261" s="238"/>
      <c r="B1261" s="235"/>
      <c r="C1261" s="235"/>
      <c r="D1261" s="236"/>
      <c r="E1261" s="235"/>
      <c r="F1261" s="235"/>
      <c r="G1261" s="237"/>
      <c r="H1261" s="235"/>
      <c r="I1261" s="235"/>
      <c r="J1261" s="235"/>
      <c r="K1261" s="66"/>
      <c r="L1261" s="238"/>
      <c r="M1261" s="238"/>
    </row>
    <row r="1262" ht="12.75" customHeight="1">
      <c r="A1262" s="238"/>
      <c r="B1262" s="235"/>
      <c r="C1262" s="235"/>
      <c r="D1262" s="236"/>
      <c r="E1262" s="235"/>
      <c r="F1262" s="235"/>
      <c r="G1262" s="237"/>
      <c r="H1262" s="235"/>
      <c r="I1262" s="235"/>
      <c r="J1262" s="235"/>
      <c r="K1262" s="66"/>
      <c r="L1262" s="238"/>
      <c r="M1262" s="238"/>
    </row>
    <row r="1263" ht="12.75" customHeight="1">
      <c r="A1263" s="238"/>
      <c r="B1263" s="235"/>
      <c r="C1263" s="235"/>
      <c r="D1263" s="236"/>
      <c r="E1263" s="235"/>
      <c r="F1263" s="235"/>
      <c r="G1263" s="237"/>
      <c r="H1263" s="235"/>
      <c r="I1263" s="235"/>
      <c r="J1263" s="235"/>
      <c r="K1263" s="66"/>
      <c r="L1263" s="238"/>
      <c r="M1263" s="238"/>
    </row>
    <row r="1264" ht="12.75" customHeight="1">
      <c r="A1264" s="238"/>
      <c r="B1264" s="235"/>
      <c r="C1264" s="235"/>
      <c r="D1264" s="236"/>
      <c r="E1264" s="235"/>
      <c r="F1264" s="235"/>
      <c r="G1264" s="237"/>
      <c r="H1264" s="235"/>
      <c r="I1264" s="235"/>
      <c r="J1264" s="235"/>
      <c r="K1264" s="66"/>
      <c r="L1264" s="238"/>
      <c r="M1264" s="238"/>
    </row>
    <row r="1265" ht="12.75" customHeight="1">
      <c r="A1265" s="238"/>
      <c r="B1265" s="235"/>
      <c r="C1265" s="235"/>
      <c r="D1265" s="236"/>
      <c r="E1265" s="235"/>
      <c r="F1265" s="235"/>
      <c r="G1265" s="237"/>
      <c r="H1265" s="235"/>
      <c r="I1265" s="235"/>
      <c r="J1265" s="235"/>
      <c r="K1265" s="66"/>
      <c r="L1265" s="238"/>
      <c r="M1265" s="238"/>
    </row>
    <row r="1266" ht="12.75" customHeight="1">
      <c r="A1266" s="238"/>
      <c r="B1266" s="235"/>
      <c r="C1266" s="235"/>
      <c r="D1266" s="236"/>
      <c r="E1266" s="235"/>
      <c r="F1266" s="235"/>
      <c r="G1266" s="237"/>
      <c r="H1266" s="235"/>
      <c r="I1266" s="235"/>
      <c r="J1266" s="235"/>
      <c r="K1266" s="66"/>
      <c r="L1266" s="238"/>
      <c r="M1266" s="238"/>
    </row>
    <row r="1267" ht="12.75" customHeight="1">
      <c r="A1267" s="238"/>
      <c r="B1267" s="235"/>
      <c r="C1267" s="235"/>
      <c r="D1267" s="236"/>
      <c r="E1267" s="235"/>
      <c r="F1267" s="235"/>
      <c r="G1267" s="237"/>
      <c r="H1267" s="235"/>
      <c r="I1267" s="235"/>
      <c r="J1267" s="235"/>
      <c r="K1267" s="66"/>
      <c r="L1267" s="238"/>
      <c r="M1267" s="238"/>
    </row>
    <row r="1268" ht="12.75" customHeight="1">
      <c r="A1268" s="238"/>
      <c r="B1268" s="235"/>
      <c r="C1268" s="235"/>
      <c r="D1268" s="236"/>
      <c r="E1268" s="235"/>
      <c r="F1268" s="235"/>
      <c r="G1268" s="237"/>
      <c r="H1268" s="235"/>
      <c r="I1268" s="235"/>
      <c r="J1268" s="235"/>
      <c r="K1268" s="66"/>
      <c r="L1268" s="238"/>
      <c r="M1268" s="238"/>
    </row>
    <row r="1269" ht="12.75" customHeight="1">
      <c r="A1269" s="238"/>
      <c r="B1269" s="235"/>
      <c r="C1269" s="235"/>
      <c r="D1269" s="236"/>
      <c r="E1269" s="235"/>
      <c r="F1269" s="235"/>
      <c r="G1269" s="237"/>
      <c r="H1269" s="235"/>
      <c r="I1269" s="235"/>
      <c r="J1269" s="235"/>
      <c r="K1269" s="66"/>
      <c r="L1269" s="238"/>
      <c r="M1269" s="238"/>
    </row>
    <row r="1270" ht="12.75" customHeight="1">
      <c r="A1270" s="238"/>
      <c r="B1270" s="235"/>
      <c r="C1270" s="235"/>
      <c r="D1270" s="236"/>
      <c r="E1270" s="235"/>
      <c r="F1270" s="235"/>
      <c r="G1270" s="237"/>
      <c r="H1270" s="235"/>
      <c r="I1270" s="235"/>
      <c r="J1270" s="235"/>
      <c r="K1270" s="66"/>
      <c r="L1270" s="238"/>
      <c r="M1270" s="238"/>
    </row>
    <row r="1271" ht="12.75" customHeight="1">
      <c r="A1271" s="238"/>
      <c r="B1271" s="235"/>
      <c r="C1271" s="235"/>
      <c r="D1271" s="236"/>
      <c r="E1271" s="235"/>
      <c r="F1271" s="235"/>
      <c r="G1271" s="237"/>
      <c r="H1271" s="235"/>
      <c r="I1271" s="235"/>
      <c r="J1271" s="235"/>
      <c r="K1271" s="66"/>
      <c r="L1271" s="238"/>
      <c r="M1271" s="238"/>
    </row>
    <row r="1272" ht="12.75" customHeight="1">
      <c r="A1272" s="238"/>
      <c r="B1272" s="235"/>
      <c r="C1272" s="235"/>
      <c r="D1272" s="236"/>
      <c r="E1272" s="235"/>
      <c r="F1272" s="235"/>
      <c r="G1272" s="237"/>
      <c r="H1272" s="235"/>
      <c r="I1272" s="235"/>
      <c r="J1272" s="235"/>
      <c r="K1272" s="66"/>
      <c r="L1272" s="238"/>
      <c r="M1272" s="238"/>
    </row>
    <row r="1273" ht="12.75" customHeight="1">
      <c r="A1273" s="238"/>
      <c r="B1273" s="235"/>
      <c r="C1273" s="235"/>
      <c r="D1273" s="236"/>
      <c r="E1273" s="235"/>
      <c r="F1273" s="235"/>
      <c r="G1273" s="237"/>
      <c r="H1273" s="235"/>
      <c r="I1273" s="235"/>
      <c r="J1273" s="235"/>
      <c r="K1273" s="66"/>
      <c r="L1273" s="238"/>
      <c r="M1273" s="238"/>
    </row>
    <row r="1274" ht="12.75" customHeight="1">
      <c r="A1274" s="238"/>
      <c r="B1274" s="235"/>
      <c r="C1274" s="235"/>
      <c r="D1274" s="236"/>
      <c r="E1274" s="235"/>
      <c r="F1274" s="235"/>
      <c r="G1274" s="237"/>
      <c r="H1274" s="235"/>
      <c r="I1274" s="235"/>
      <c r="J1274" s="235"/>
      <c r="K1274" s="66"/>
      <c r="L1274" s="238"/>
      <c r="M1274" s="238"/>
    </row>
    <row r="1275" ht="12.75" customHeight="1">
      <c r="A1275" s="238"/>
      <c r="B1275" s="235"/>
      <c r="C1275" s="235"/>
      <c r="D1275" s="236"/>
      <c r="E1275" s="235"/>
      <c r="F1275" s="235"/>
      <c r="G1275" s="237"/>
      <c r="H1275" s="235"/>
      <c r="I1275" s="235"/>
      <c r="J1275" s="235"/>
      <c r="K1275" s="66"/>
      <c r="L1275" s="238"/>
      <c r="M1275" s="238"/>
    </row>
    <row r="1276" ht="12.75" customHeight="1">
      <c r="A1276" s="238"/>
      <c r="B1276" s="235"/>
      <c r="C1276" s="235"/>
      <c r="D1276" s="236"/>
      <c r="E1276" s="235"/>
      <c r="F1276" s="235"/>
      <c r="G1276" s="237"/>
      <c r="H1276" s="235"/>
      <c r="I1276" s="235"/>
      <c r="J1276" s="235"/>
      <c r="K1276" s="66"/>
      <c r="L1276" s="238"/>
      <c r="M1276" s="238"/>
    </row>
    <row r="1277" ht="12.75" customHeight="1">
      <c r="A1277" s="238"/>
      <c r="B1277" s="235"/>
      <c r="C1277" s="235"/>
      <c r="D1277" s="236"/>
      <c r="E1277" s="235"/>
      <c r="F1277" s="235"/>
      <c r="G1277" s="237"/>
      <c r="H1277" s="235"/>
      <c r="I1277" s="235"/>
      <c r="J1277" s="235"/>
      <c r="K1277" s="66"/>
      <c r="L1277" s="238"/>
      <c r="M1277" s="238"/>
    </row>
    <row r="1278" ht="12.75" customHeight="1">
      <c r="A1278" s="238"/>
      <c r="B1278" s="235"/>
      <c r="C1278" s="235"/>
      <c r="D1278" s="236"/>
      <c r="E1278" s="235"/>
      <c r="F1278" s="235"/>
      <c r="G1278" s="237"/>
      <c r="H1278" s="235"/>
      <c r="I1278" s="235"/>
      <c r="J1278" s="235"/>
      <c r="K1278" s="66"/>
      <c r="L1278" s="238"/>
      <c r="M1278" s="238"/>
    </row>
    <row r="1279" ht="12.75" customHeight="1">
      <c r="A1279" s="238"/>
      <c r="B1279" s="235"/>
      <c r="C1279" s="235"/>
      <c r="D1279" s="236"/>
      <c r="E1279" s="235"/>
      <c r="F1279" s="235"/>
      <c r="G1279" s="237"/>
      <c r="H1279" s="235"/>
      <c r="I1279" s="235"/>
      <c r="J1279" s="235"/>
      <c r="K1279" s="66"/>
      <c r="L1279" s="238"/>
      <c r="M1279" s="238"/>
    </row>
    <row r="1280" ht="12.75" customHeight="1">
      <c r="A1280" s="238"/>
      <c r="B1280" s="235"/>
      <c r="C1280" s="235"/>
      <c r="D1280" s="236"/>
      <c r="E1280" s="235"/>
      <c r="F1280" s="235"/>
      <c r="G1280" s="237"/>
      <c r="H1280" s="235"/>
      <c r="I1280" s="235"/>
      <c r="J1280" s="235"/>
      <c r="K1280" s="66"/>
      <c r="L1280" s="238"/>
      <c r="M1280" s="238"/>
    </row>
    <row r="1281" ht="12.75" customHeight="1">
      <c r="A1281" s="238"/>
      <c r="B1281" s="235"/>
      <c r="C1281" s="235"/>
      <c r="D1281" s="236"/>
      <c r="E1281" s="235"/>
      <c r="F1281" s="235"/>
      <c r="G1281" s="237"/>
      <c r="H1281" s="235"/>
      <c r="I1281" s="235"/>
      <c r="J1281" s="235"/>
      <c r="K1281" s="66"/>
      <c r="L1281" s="238"/>
      <c r="M1281" s="238"/>
    </row>
    <row r="1282" ht="12.75" customHeight="1">
      <c r="A1282" s="238"/>
      <c r="B1282" s="235"/>
      <c r="C1282" s="235"/>
      <c r="D1282" s="236"/>
      <c r="E1282" s="235"/>
      <c r="F1282" s="235"/>
      <c r="G1282" s="237"/>
      <c r="H1282" s="235"/>
      <c r="I1282" s="235"/>
      <c r="J1282" s="235"/>
      <c r="K1282" s="66"/>
      <c r="L1282" s="238"/>
      <c r="M1282" s="238"/>
    </row>
    <row r="1283" ht="12.75" customHeight="1">
      <c r="A1283" s="238"/>
      <c r="B1283" s="235"/>
      <c r="C1283" s="235"/>
      <c r="D1283" s="236"/>
      <c r="E1283" s="235"/>
      <c r="F1283" s="235"/>
      <c r="G1283" s="237"/>
      <c r="H1283" s="235"/>
      <c r="I1283" s="235"/>
      <c r="J1283" s="235"/>
      <c r="K1283" s="66"/>
      <c r="L1283" s="238"/>
      <c r="M1283" s="238"/>
    </row>
    <row r="1284" ht="12.75" customHeight="1">
      <c r="A1284" s="238"/>
      <c r="B1284" s="235"/>
      <c r="C1284" s="235"/>
      <c r="D1284" s="236"/>
      <c r="E1284" s="235"/>
      <c r="F1284" s="235"/>
      <c r="G1284" s="237"/>
      <c r="H1284" s="235"/>
      <c r="I1284" s="235"/>
      <c r="J1284" s="235"/>
      <c r="K1284" s="66"/>
      <c r="L1284" s="238"/>
      <c r="M1284" s="238"/>
    </row>
    <row r="1285" ht="12.75" customHeight="1">
      <c r="A1285" s="238"/>
      <c r="B1285" s="235"/>
      <c r="C1285" s="235"/>
      <c r="D1285" s="236"/>
      <c r="E1285" s="235"/>
      <c r="F1285" s="235"/>
      <c r="G1285" s="237"/>
      <c r="H1285" s="235"/>
      <c r="I1285" s="235"/>
      <c r="J1285" s="235"/>
      <c r="K1285" s="66"/>
      <c r="L1285" s="238"/>
      <c r="M1285" s="238"/>
    </row>
    <row r="1286" ht="12.75" customHeight="1">
      <c r="A1286" s="238"/>
      <c r="B1286" s="235"/>
      <c r="C1286" s="235"/>
      <c r="D1286" s="236"/>
      <c r="E1286" s="235"/>
      <c r="F1286" s="235"/>
      <c r="G1286" s="237"/>
      <c r="H1286" s="235"/>
      <c r="I1286" s="235"/>
      <c r="J1286" s="235"/>
      <c r="K1286" s="66"/>
      <c r="L1286" s="238"/>
      <c r="M1286" s="238"/>
    </row>
    <row r="1287" ht="12.75" customHeight="1">
      <c r="A1287" s="238"/>
      <c r="B1287" s="235"/>
      <c r="C1287" s="235"/>
      <c r="D1287" s="236"/>
      <c r="E1287" s="235"/>
      <c r="F1287" s="235"/>
      <c r="G1287" s="237"/>
      <c r="H1287" s="235"/>
      <c r="I1287" s="235"/>
      <c r="J1287" s="235"/>
      <c r="K1287" s="66"/>
      <c r="L1287" s="238"/>
      <c r="M1287" s="238"/>
    </row>
    <row r="1288" ht="12.75" customHeight="1">
      <c r="A1288" s="238"/>
      <c r="B1288" s="235"/>
      <c r="C1288" s="235"/>
      <c r="D1288" s="236"/>
      <c r="E1288" s="235"/>
      <c r="F1288" s="235"/>
      <c r="G1288" s="237"/>
      <c r="H1288" s="235"/>
      <c r="I1288" s="235"/>
      <c r="J1288" s="235"/>
      <c r="K1288" s="66"/>
      <c r="L1288" s="238"/>
      <c r="M1288" s="238"/>
    </row>
    <row r="1289" ht="12.75" customHeight="1">
      <c r="A1289" s="238"/>
      <c r="B1289" s="235"/>
      <c r="C1289" s="235"/>
      <c r="D1289" s="236"/>
      <c r="E1289" s="235"/>
      <c r="F1289" s="235"/>
      <c r="G1289" s="237"/>
      <c r="H1289" s="235"/>
      <c r="I1289" s="235"/>
      <c r="J1289" s="235"/>
      <c r="K1289" s="66"/>
      <c r="L1289" s="238"/>
      <c r="M1289" s="238"/>
    </row>
    <row r="1290" ht="12.75" customHeight="1">
      <c r="A1290" s="238"/>
      <c r="B1290" s="235"/>
      <c r="C1290" s="235"/>
      <c r="D1290" s="236"/>
      <c r="E1290" s="235"/>
      <c r="F1290" s="235"/>
      <c r="G1290" s="237"/>
      <c r="H1290" s="235"/>
      <c r="I1290" s="235"/>
      <c r="J1290" s="235"/>
      <c r="K1290" s="66"/>
      <c r="L1290" s="238"/>
      <c r="M1290" s="238"/>
    </row>
    <row r="1291" ht="12.75" customHeight="1">
      <c r="A1291" s="238"/>
      <c r="B1291" s="235"/>
      <c r="C1291" s="235"/>
      <c r="D1291" s="236"/>
      <c r="E1291" s="235"/>
      <c r="F1291" s="235"/>
      <c r="G1291" s="237"/>
      <c r="H1291" s="235"/>
      <c r="I1291" s="235"/>
      <c r="J1291" s="235"/>
      <c r="K1291" s="66"/>
      <c r="L1291" s="238"/>
      <c r="M1291" s="238"/>
    </row>
    <row r="1292" ht="12.75" customHeight="1">
      <c r="A1292" s="238"/>
      <c r="B1292" s="235"/>
      <c r="C1292" s="235"/>
      <c r="D1292" s="236"/>
      <c r="E1292" s="235"/>
      <c r="F1292" s="235"/>
      <c r="G1292" s="237"/>
      <c r="H1292" s="235"/>
      <c r="I1292" s="235"/>
      <c r="J1292" s="235"/>
      <c r="K1292" s="66"/>
      <c r="L1292" s="238"/>
      <c r="M1292" s="238"/>
    </row>
    <row r="1293" ht="12.75" customHeight="1">
      <c r="A1293" s="238"/>
      <c r="B1293" s="235"/>
      <c r="C1293" s="235"/>
      <c r="D1293" s="236"/>
      <c r="E1293" s="235"/>
      <c r="F1293" s="235"/>
      <c r="G1293" s="237"/>
      <c r="H1293" s="235"/>
      <c r="I1293" s="235"/>
      <c r="J1293" s="235"/>
      <c r="K1293" s="66"/>
      <c r="L1293" s="238"/>
      <c r="M1293" s="238"/>
    </row>
    <row r="1294" ht="12.75" customHeight="1">
      <c r="A1294" s="238"/>
      <c r="B1294" s="235"/>
      <c r="C1294" s="235"/>
      <c r="D1294" s="236"/>
      <c r="E1294" s="235"/>
      <c r="F1294" s="235"/>
      <c r="G1294" s="237"/>
      <c r="H1294" s="235"/>
      <c r="I1294" s="235"/>
      <c r="J1294" s="235"/>
      <c r="K1294" s="66"/>
      <c r="L1294" s="238"/>
      <c r="M1294" s="238"/>
    </row>
    <row r="1295" ht="12.75" customHeight="1">
      <c r="A1295" s="238"/>
      <c r="B1295" s="235"/>
      <c r="C1295" s="235"/>
      <c r="D1295" s="236"/>
      <c r="E1295" s="235"/>
      <c r="F1295" s="235"/>
      <c r="G1295" s="237"/>
      <c r="H1295" s="235"/>
      <c r="I1295" s="235"/>
      <c r="J1295" s="235"/>
      <c r="K1295" s="66"/>
      <c r="L1295" s="238"/>
      <c r="M1295" s="238"/>
    </row>
    <row r="1296" ht="12.75" customHeight="1">
      <c r="A1296" s="238"/>
      <c r="B1296" s="235"/>
      <c r="C1296" s="235"/>
      <c r="D1296" s="236"/>
      <c r="E1296" s="235"/>
      <c r="F1296" s="235"/>
      <c r="G1296" s="237"/>
      <c r="H1296" s="235"/>
      <c r="I1296" s="235"/>
      <c r="J1296" s="235"/>
      <c r="K1296" s="66"/>
      <c r="L1296" s="238"/>
      <c r="M1296" s="238"/>
    </row>
    <row r="1297" ht="12.75" customHeight="1">
      <c r="A1297" s="238"/>
      <c r="B1297" s="235"/>
      <c r="C1297" s="235"/>
      <c r="D1297" s="236"/>
      <c r="E1297" s="235"/>
      <c r="F1297" s="235"/>
      <c r="G1297" s="237"/>
      <c r="H1297" s="235"/>
      <c r="I1297" s="235"/>
      <c r="J1297" s="235"/>
      <c r="K1297" s="66"/>
      <c r="L1297" s="238"/>
      <c r="M1297" s="238"/>
    </row>
    <row r="1298" ht="12.75" customHeight="1">
      <c r="A1298" s="238"/>
      <c r="B1298" s="235"/>
      <c r="C1298" s="235"/>
      <c r="D1298" s="236"/>
      <c r="E1298" s="235"/>
      <c r="F1298" s="235"/>
      <c r="G1298" s="237"/>
      <c r="H1298" s="235"/>
      <c r="I1298" s="235"/>
      <c r="J1298" s="235"/>
      <c r="K1298" s="66"/>
      <c r="L1298" s="238"/>
      <c r="M1298" s="238"/>
    </row>
    <row r="1299" ht="12.75" customHeight="1">
      <c r="A1299" s="238"/>
      <c r="B1299" s="235"/>
      <c r="C1299" s="235"/>
      <c r="D1299" s="236"/>
      <c r="E1299" s="235"/>
      <c r="F1299" s="235"/>
      <c r="G1299" s="237"/>
      <c r="H1299" s="235"/>
      <c r="I1299" s="235"/>
      <c r="J1299" s="235"/>
      <c r="K1299" s="66"/>
      <c r="L1299" s="238"/>
      <c r="M1299" s="238"/>
    </row>
    <row r="1300" ht="12.75" customHeight="1">
      <c r="A1300" s="238"/>
      <c r="B1300" s="235"/>
      <c r="C1300" s="235"/>
      <c r="D1300" s="236"/>
      <c r="E1300" s="235"/>
      <c r="F1300" s="235"/>
      <c r="G1300" s="237"/>
      <c r="H1300" s="235"/>
      <c r="I1300" s="235"/>
      <c r="J1300" s="235"/>
      <c r="K1300" s="66"/>
      <c r="L1300" s="238"/>
      <c r="M1300" s="238"/>
    </row>
    <row r="1301" ht="12.75" customHeight="1">
      <c r="A1301" s="238"/>
      <c r="B1301" s="235"/>
      <c r="C1301" s="235"/>
      <c r="D1301" s="236"/>
      <c r="E1301" s="235"/>
      <c r="F1301" s="235"/>
      <c r="G1301" s="237"/>
      <c r="H1301" s="235"/>
      <c r="I1301" s="235"/>
      <c r="J1301" s="235"/>
      <c r="K1301" s="66"/>
      <c r="L1301" s="238"/>
      <c r="M1301" s="238"/>
    </row>
    <row r="1302" ht="12.75" customHeight="1">
      <c r="A1302" s="238"/>
      <c r="B1302" s="235"/>
      <c r="C1302" s="235"/>
      <c r="D1302" s="236"/>
      <c r="E1302" s="235"/>
      <c r="F1302" s="235"/>
      <c r="G1302" s="237"/>
      <c r="H1302" s="235"/>
      <c r="I1302" s="235"/>
      <c r="J1302" s="235"/>
      <c r="K1302" s="66"/>
      <c r="L1302" s="238"/>
      <c r="M1302" s="238"/>
    </row>
    <row r="1303" ht="12.75" customHeight="1">
      <c r="A1303" s="238"/>
      <c r="B1303" s="235"/>
      <c r="C1303" s="235"/>
      <c r="D1303" s="236"/>
      <c r="E1303" s="235"/>
      <c r="F1303" s="235"/>
      <c r="G1303" s="237"/>
      <c r="H1303" s="235"/>
      <c r="I1303" s="235"/>
      <c r="J1303" s="235"/>
      <c r="K1303" s="66"/>
      <c r="L1303" s="238"/>
      <c r="M1303" s="238"/>
    </row>
    <row r="1304" ht="12.75" customHeight="1">
      <c r="A1304" s="238"/>
      <c r="B1304" s="235"/>
      <c r="C1304" s="235"/>
      <c r="D1304" s="236"/>
      <c r="E1304" s="235"/>
      <c r="F1304" s="235"/>
      <c r="G1304" s="237"/>
      <c r="H1304" s="235"/>
      <c r="I1304" s="235"/>
      <c r="J1304" s="235"/>
      <c r="K1304" s="66"/>
      <c r="L1304" s="238"/>
      <c r="M1304" s="238"/>
    </row>
    <row r="1305" ht="12.75" customHeight="1">
      <c r="A1305" s="238"/>
      <c r="B1305" s="235"/>
      <c r="C1305" s="235"/>
      <c r="D1305" s="236"/>
      <c r="E1305" s="235"/>
      <c r="F1305" s="235"/>
      <c r="G1305" s="237"/>
      <c r="H1305" s="235"/>
      <c r="I1305" s="235"/>
      <c r="J1305" s="235"/>
      <c r="K1305" s="66"/>
      <c r="L1305" s="238"/>
      <c r="M1305" s="238"/>
    </row>
    <row r="1306" ht="12.75" customHeight="1">
      <c r="A1306" s="238"/>
      <c r="B1306" s="235"/>
      <c r="C1306" s="235"/>
      <c r="D1306" s="236"/>
      <c r="E1306" s="235"/>
      <c r="F1306" s="235"/>
      <c r="G1306" s="237"/>
      <c r="H1306" s="235"/>
      <c r="I1306" s="235"/>
      <c r="J1306" s="235"/>
      <c r="K1306" s="66"/>
      <c r="L1306" s="238"/>
      <c r="M1306" s="238"/>
    </row>
    <row r="1307" ht="12.75" customHeight="1">
      <c r="A1307" s="238"/>
      <c r="B1307" s="235"/>
      <c r="C1307" s="235"/>
      <c r="D1307" s="236"/>
      <c r="E1307" s="235"/>
      <c r="F1307" s="235"/>
      <c r="G1307" s="237"/>
      <c r="H1307" s="235"/>
      <c r="I1307" s="235"/>
      <c r="J1307" s="235"/>
      <c r="K1307" s="66"/>
      <c r="L1307" s="238"/>
      <c r="M1307" s="238"/>
    </row>
    <row r="1308" ht="12.75" customHeight="1">
      <c r="A1308" s="238"/>
      <c r="B1308" s="235"/>
      <c r="C1308" s="235"/>
      <c r="D1308" s="236"/>
      <c r="E1308" s="235"/>
      <c r="F1308" s="235"/>
      <c r="G1308" s="237"/>
      <c r="H1308" s="235"/>
      <c r="I1308" s="235"/>
      <c r="J1308" s="235"/>
      <c r="K1308" s="66"/>
      <c r="L1308" s="238"/>
      <c r="M1308" s="238"/>
    </row>
    <row r="1309" ht="12.75" customHeight="1">
      <c r="A1309" s="238"/>
      <c r="B1309" s="235"/>
      <c r="C1309" s="235"/>
      <c r="D1309" s="236"/>
      <c r="E1309" s="235"/>
      <c r="F1309" s="235"/>
      <c r="G1309" s="237"/>
      <c r="H1309" s="235"/>
      <c r="I1309" s="235"/>
      <c r="J1309" s="235"/>
      <c r="K1309" s="66"/>
      <c r="L1309" s="238"/>
      <c r="M1309" s="238"/>
    </row>
    <row r="1310" ht="12.75" customHeight="1">
      <c r="A1310" s="238"/>
      <c r="B1310" s="235"/>
      <c r="C1310" s="235"/>
      <c r="D1310" s="236"/>
      <c r="E1310" s="235"/>
      <c r="F1310" s="235"/>
      <c r="G1310" s="237"/>
      <c r="H1310" s="235"/>
      <c r="I1310" s="235"/>
      <c r="J1310" s="235"/>
      <c r="K1310" s="66"/>
      <c r="L1310" s="238"/>
      <c r="M1310" s="238"/>
    </row>
    <row r="1311" ht="12.75" customHeight="1">
      <c r="A1311" s="238"/>
      <c r="B1311" s="235"/>
      <c r="C1311" s="235"/>
      <c r="D1311" s="236"/>
      <c r="E1311" s="235"/>
      <c r="F1311" s="235"/>
      <c r="G1311" s="237"/>
      <c r="H1311" s="235"/>
      <c r="I1311" s="235"/>
      <c r="J1311" s="235"/>
      <c r="K1311" s="66"/>
      <c r="L1311" s="238"/>
      <c r="M1311" s="238"/>
    </row>
    <row r="1312" ht="12.75" customHeight="1">
      <c r="A1312" s="238"/>
      <c r="B1312" s="235"/>
      <c r="C1312" s="235"/>
      <c r="D1312" s="236"/>
      <c r="E1312" s="235"/>
      <c r="F1312" s="235"/>
      <c r="G1312" s="237"/>
      <c r="H1312" s="235"/>
      <c r="I1312" s="235"/>
      <c r="J1312" s="235"/>
      <c r="K1312" s="66"/>
      <c r="L1312" s="238"/>
      <c r="M1312" s="238"/>
    </row>
    <row r="1313" ht="12.75" customHeight="1">
      <c r="A1313" s="238"/>
      <c r="B1313" s="235"/>
      <c r="C1313" s="235"/>
      <c r="D1313" s="236"/>
      <c r="E1313" s="235"/>
      <c r="F1313" s="235"/>
      <c r="G1313" s="237"/>
      <c r="H1313" s="235"/>
      <c r="I1313" s="235"/>
      <c r="J1313" s="235"/>
      <c r="K1313" s="66"/>
      <c r="L1313" s="238"/>
      <c r="M1313" s="238"/>
    </row>
    <row r="1314" ht="12.75" customHeight="1">
      <c r="A1314" s="238"/>
      <c r="B1314" s="235"/>
      <c r="C1314" s="235"/>
      <c r="D1314" s="236"/>
      <c r="E1314" s="235"/>
      <c r="F1314" s="235"/>
      <c r="G1314" s="237"/>
      <c r="H1314" s="235"/>
      <c r="I1314" s="235"/>
      <c r="J1314" s="235"/>
      <c r="K1314" s="66"/>
      <c r="L1314" s="238"/>
      <c r="M1314" s="238"/>
    </row>
    <row r="1315" ht="12.75" customHeight="1">
      <c r="A1315" s="238"/>
      <c r="B1315" s="235"/>
      <c r="C1315" s="235"/>
      <c r="D1315" s="236"/>
      <c r="E1315" s="235"/>
      <c r="F1315" s="235"/>
      <c r="G1315" s="237"/>
      <c r="H1315" s="235"/>
      <c r="I1315" s="235"/>
      <c r="J1315" s="235"/>
      <c r="K1315" s="66"/>
      <c r="L1315" s="238"/>
      <c r="M1315" s="238"/>
    </row>
    <row r="1316" ht="12.75" customHeight="1">
      <c r="A1316" s="238"/>
      <c r="B1316" s="235"/>
      <c r="C1316" s="235"/>
      <c r="D1316" s="236"/>
      <c r="E1316" s="235"/>
      <c r="F1316" s="235"/>
      <c r="G1316" s="237"/>
      <c r="H1316" s="235"/>
      <c r="I1316" s="235"/>
      <c r="J1316" s="235"/>
      <c r="K1316" s="66"/>
      <c r="L1316" s="238"/>
      <c r="M1316" s="238"/>
    </row>
    <row r="1317" ht="12.75" customHeight="1">
      <c r="A1317" s="238"/>
      <c r="B1317" s="235"/>
      <c r="C1317" s="235"/>
      <c r="D1317" s="236"/>
      <c r="E1317" s="235"/>
      <c r="F1317" s="235"/>
      <c r="G1317" s="237"/>
      <c r="H1317" s="235"/>
      <c r="I1317" s="235"/>
      <c r="J1317" s="235"/>
      <c r="K1317" s="66"/>
      <c r="L1317" s="238"/>
      <c r="M1317" s="238"/>
    </row>
    <row r="1318" ht="12.75" customHeight="1">
      <c r="A1318" s="238"/>
      <c r="B1318" s="235"/>
      <c r="C1318" s="235"/>
      <c r="D1318" s="236"/>
      <c r="E1318" s="235"/>
      <c r="F1318" s="235"/>
      <c r="G1318" s="237"/>
      <c r="H1318" s="235"/>
      <c r="I1318" s="235"/>
      <c r="J1318" s="235"/>
      <c r="K1318" s="66"/>
      <c r="L1318" s="238"/>
      <c r="M1318" s="238"/>
    </row>
    <row r="1319" ht="12.75" customHeight="1">
      <c r="A1319" s="238"/>
      <c r="B1319" s="235"/>
      <c r="C1319" s="235"/>
      <c r="D1319" s="236"/>
      <c r="E1319" s="235"/>
      <c r="F1319" s="235"/>
      <c r="G1319" s="237"/>
      <c r="H1319" s="235"/>
      <c r="I1319" s="235"/>
      <c r="J1319" s="235"/>
      <c r="K1319" s="66"/>
      <c r="L1319" s="238"/>
      <c r="M1319" s="238"/>
    </row>
    <row r="1320" ht="12.75" customHeight="1">
      <c r="A1320" s="238"/>
      <c r="B1320" s="235"/>
      <c r="C1320" s="235"/>
      <c r="D1320" s="236"/>
      <c r="E1320" s="235"/>
      <c r="F1320" s="235"/>
      <c r="G1320" s="237"/>
      <c r="H1320" s="235"/>
      <c r="I1320" s="235"/>
      <c r="J1320" s="235"/>
      <c r="K1320" s="66"/>
      <c r="L1320" s="238"/>
      <c r="M1320" s="238"/>
    </row>
    <row r="1321" ht="12.75" customHeight="1">
      <c r="A1321" s="238"/>
      <c r="B1321" s="235"/>
      <c r="C1321" s="235"/>
      <c r="D1321" s="236"/>
      <c r="E1321" s="235"/>
      <c r="F1321" s="235"/>
      <c r="G1321" s="237"/>
      <c r="H1321" s="235"/>
      <c r="I1321" s="235"/>
      <c r="J1321" s="235"/>
      <c r="K1321" s="66"/>
      <c r="L1321" s="238"/>
      <c r="M1321" s="238"/>
    </row>
    <row r="1322" ht="12.75" customHeight="1">
      <c r="A1322" s="238"/>
      <c r="B1322" s="235"/>
      <c r="C1322" s="235"/>
      <c r="D1322" s="236"/>
      <c r="E1322" s="235"/>
      <c r="F1322" s="235"/>
      <c r="G1322" s="237"/>
      <c r="H1322" s="235"/>
      <c r="I1322" s="235"/>
      <c r="J1322" s="235"/>
      <c r="K1322" s="66"/>
      <c r="L1322" s="238"/>
      <c r="M1322" s="238"/>
    </row>
    <row r="1323" ht="12.75" customHeight="1">
      <c r="A1323" s="238"/>
      <c r="B1323" s="235"/>
      <c r="C1323" s="235"/>
      <c r="D1323" s="236"/>
      <c r="E1323" s="235"/>
      <c r="F1323" s="235"/>
      <c r="G1323" s="237"/>
      <c r="H1323" s="235"/>
      <c r="I1323" s="235"/>
      <c r="J1323" s="235"/>
      <c r="K1323" s="66"/>
      <c r="L1323" s="238"/>
      <c r="M1323" s="238"/>
    </row>
    <row r="1324" ht="12.75" customHeight="1">
      <c r="A1324" s="238"/>
      <c r="B1324" s="235"/>
      <c r="C1324" s="235"/>
      <c r="D1324" s="236"/>
      <c r="E1324" s="235"/>
      <c r="F1324" s="235"/>
      <c r="G1324" s="237"/>
      <c r="H1324" s="235"/>
      <c r="I1324" s="235"/>
      <c r="J1324" s="235"/>
      <c r="K1324" s="66"/>
      <c r="L1324" s="238"/>
      <c r="M1324" s="238"/>
    </row>
    <row r="1325" ht="12.75" customHeight="1">
      <c r="A1325" s="238"/>
      <c r="B1325" s="235"/>
      <c r="C1325" s="235"/>
      <c r="D1325" s="236"/>
      <c r="E1325" s="235"/>
      <c r="F1325" s="235"/>
      <c r="G1325" s="237"/>
      <c r="H1325" s="235"/>
      <c r="I1325" s="235"/>
      <c r="J1325" s="235"/>
      <c r="K1325" s="66"/>
      <c r="L1325" s="238"/>
      <c r="M1325" s="238"/>
    </row>
    <row r="1326" ht="12.75" customHeight="1">
      <c r="A1326" s="238"/>
      <c r="B1326" s="235"/>
      <c r="C1326" s="235"/>
      <c r="D1326" s="236"/>
      <c r="E1326" s="235"/>
      <c r="F1326" s="235"/>
      <c r="G1326" s="237"/>
      <c r="H1326" s="235"/>
      <c r="I1326" s="235"/>
      <c r="J1326" s="235"/>
      <c r="K1326" s="66"/>
      <c r="L1326" s="238"/>
      <c r="M1326" s="238"/>
    </row>
    <row r="1327" ht="12.75" customHeight="1">
      <c r="A1327" s="238"/>
      <c r="B1327" s="235"/>
      <c r="C1327" s="235"/>
      <c r="D1327" s="236"/>
      <c r="E1327" s="235"/>
      <c r="F1327" s="235"/>
      <c r="G1327" s="237"/>
      <c r="H1327" s="235"/>
      <c r="I1327" s="235"/>
      <c r="J1327" s="235"/>
      <c r="K1327" s="66"/>
      <c r="L1327" s="238"/>
      <c r="M1327" s="238"/>
    </row>
    <row r="1328" ht="12.75" customHeight="1">
      <c r="A1328" s="238"/>
      <c r="B1328" s="235"/>
      <c r="C1328" s="235"/>
      <c r="D1328" s="236"/>
      <c r="E1328" s="235"/>
      <c r="F1328" s="235"/>
      <c r="G1328" s="237"/>
      <c r="H1328" s="235"/>
      <c r="I1328" s="235"/>
      <c r="J1328" s="235"/>
      <c r="K1328" s="66"/>
      <c r="L1328" s="238"/>
      <c r="M1328" s="238"/>
    </row>
    <row r="1329" ht="12.75" customHeight="1">
      <c r="A1329" s="238"/>
      <c r="B1329" s="235"/>
      <c r="C1329" s="235"/>
      <c r="D1329" s="236"/>
      <c r="E1329" s="235"/>
      <c r="F1329" s="235"/>
      <c r="G1329" s="237"/>
      <c r="H1329" s="235"/>
      <c r="I1329" s="235"/>
      <c r="J1329" s="235"/>
      <c r="K1329" s="66"/>
      <c r="L1329" s="238"/>
      <c r="M1329" s="238"/>
    </row>
    <row r="1330" ht="12.75" customHeight="1">
      <c r="A1330" s="238"/>
      <c r="B1330" s="235"/>
      <c r="C1330" s="235"/>
      <c r="D1330" s="236"/>
      <c r="E1330" s="235"/>
      <c r="F1330" s="235"/>
      <c r="G1330" s="237"/>
      <c r="H1330" s="235"/>
      <c r="I1330" s="235"/>
      <c r="J1330" s="235"/>
      <c r="K1330" s="66"/>
      <c r="L1330" s="238"/>
      <c r="M1330" s="238"/>
    </row>
    <row r="1331" ht="12.75" customHeight="1">
      <c r="A1331" s="238"/>
      <c r="B1331" s="235"/>
      <c r="C1331" s="235"/>
      <c r="D1331" s="236"/>
      <c r="E1331" s="235"/>
      <c r="F1331" s="235"/>
      <c r="G1331" s="237"/>
      <c r="H1331" s="235"/>
      <c r="I1331" s="235"/>
      <c r="J1331" s="235"/>
      <c r="K1331" s="66"/>
      <c r="L1331" s="238"/>
      <c r="M1331" s="238"/>
    </row>
    <row r="1332" ht="12.75" customHeight="1">
      <c r="A1332" s="238"/>
      <c r="B1332" s="235"/>
      <c r="C1332" s="235"/>
      <c r="D1332" s="236"/>
      <c r="E1332" s="235"/>
      <c r="F1332" s="235"/>
      <c r="G1332" s="237"/>
      <c r="H1332" s="235"/>
      <c r="I1332" s="235"/>
      <c r="J1332" s="235"/>
      <c r="K1332" s="66"/>
      <c r="L1332" s="238"/>
      <c r="M1332" s="238"/>
    </row>
    <row r="1333" ht="12.75" customHeight="1">
      <c r="A1333" s="238"/>
      <c r="B1333" s="235"/>
      <c r="C1333" s="235"/>
      <c r="D1333" s="236"/>
      <c r="E1333" s="235"/>
      <c r="F1333" s="235"/>
      <c r="G1333" s="237"/>
      <c r="H1333" s="235"/>
      <c r="I1333" s="235"/>
      <c r="J1333" s="235"/>
      <c r="K1333" s="66"/>
      <c r="L1333" s="238"/>
      <c r="M1333" s="238"/>
    </row>
    <row r="1334" ht="12.75" customHeight="1">
      <c r="A1334" s="238"/>
      <c r="B1334" s="235"/>
      <c r="C1334" s="235"/>
      <c r="D1334" s="236"/>
      <c r="E1334" s="235"/>
      <c r="F1334" s="235"/>
      <c r="G1334" s="237"/>
      <c r="H1334" s="235"/>
      <c r="I1334" s="235"/>
      <c r="J1334" s="235"/>
      <c r="K1334" s="66"/>
      <c r="L1334" s="238"/>
      <c r="M1334" s="238"/>
    </row>
    <row r="1335" ht="12.75" customHeight="1">
      <c r="A1335" s="238"/>
      <c r="B1335" s="235"/>
      <c r="C1335" s="235"/>
      <c r="D1335" s="236"/>
      <c r="E1335" s="235"/>
      <c r="F1335" s="235"/>
      <c r="G1335" s="237"/>
      <c r="H1335" s="235"/>
      <c r="I1335" s="235"/>
      <c r="J1335" s="235"/>
      <c r="K1335" s="66"/>
      <c r="L1335" s="238"/>
      <c r="M1335" s="238"/>
    </row>
    <row r="1336" ht="12.75" customHeight="1">
      <c r="A1336" s="238"/>
      <c r="B1336" s="235"/>
      <c r="C1336" s="235"/>
      <c r="D1336" s="236"/>
      <c r="E1336" s="235"/>
      <c r="F1336" s="235"/>
      <c r="G1336" s="237"/>
      <c r="H1336" s="235"/>
      <c r="I1336" s="235"/>
      <c r="J1336" s="235"/>
      <c r="K1336" s="66"/>
      <c r="L1336" s="238"/>
      <c r="M1336" s="238"/>
    </row>
    <row r="1337" ht="12.75" customHeight="1">
      <c r="A1337" s="238"/>
      <c r="B1337" s="235"/>
      <c r="C1337" s="235"/>
      <c r="D1337" s="236"/>
      <c r="E1337" s="235"/>
      <c r="F1337" s="235"/>
      <c r="G1337" s="237"/>
      <c r="H1337" s="235"/>
      <c r="I1337" s="235"/>
      <c r="J1337" s="235"/>
      <c r="K1337" s="66"/>
      <c r="L1337" s="238"/>
      <c r="M1337" s="238"/>
    </row>
    <row r="1338" ht="12.75" customHeight="1">
      <c r="A1338" s="238"/>
      <c r="B1338" s="235"/>
      <c r="C1338" s="235"/>
      <c r="D1338" s="236"/>
      <c r="E1338" s="235"/>
      <c r="F1338" s="235"/>
      <c r="G1338" s="237"/>
      <c r="H1338" s="235"/>
      <c r="I1338" s="235"/>
      <c r="J1338" s="235"/>
      <c r="K1338" s="66"/>
      <c r="L1338" s="238"/>
      <c r="M1338" s="238"/>
    </row>
    <row r="1339" ht="12.75" customHeight="1">
      <c r="A1339" s="238"/>
      <c r="B1339" s="235"/>
      <c r="C1339" s="235"/>
      <c r="D1339" s="236"/>
      <c r="E1339" s="235"/>
      <c r="F1339" s="235"/>
      <c r="G1339" s="237"/>
      <c r="H1339" s="235"/>
      <c r="I1339" s="235"/>
      <c r="J1339" s="235"/>
      <c r="K1339" s="66"/>
      <c r="L1339" s="238"/>
      <c r="M1339" s="238"/>
    </row>
    <row r="1340" ht="12.75" customHeight="1">
      <c r="A1340" s="238"/>
      <c r="B1340" s="235"/>
      <c r="C1340" s="235"/>
      <c r="D1340" s="236"/>
      <c r="E1340" s="235"/>
      <c r="F1340" s="235"/>
      <c r="G1340" s="237"/>
      <c r="H1340" s="235"/>
      <c r="I1340" s="235"/>
      <c r="J1340" s="235"/>
      <c r="K1340" s="66"/>
      <c r="L1340" s="238"/>
      <c r="M1340" s="238"/>
    </row>
    <row r="1341" ht="12.75" customHeight="1">
      <c r="A1341" s="238"/>
      <c r="B1341" s="235"/>
      <c r="C1341" s="235"/>
      <c r="D1341" s="236"/>
      <c r="E1341" s="235"/>
      <c r="F1341" s="235"/>
      <c r="G1341" s="237"/>
      <c r="H1341" s="235"/>
      <c r="I1341" s="235"/>
      <c r="J1341" s="235"/>
      <c r="K1341" s="66"/>
      <c r="L1341" s="238"/>
      <c r="M1341" s="238"/>
    </row>
    <row r="1342" ht="12.75" customHeight="1">
      <c r="A1342" s="238"/>
      <c r="B1342" s="235"/>
      <c r="C1342" s="235"/>
      <c r="D1342" s="236"/>
      <c r="E1342" s="235"/>
      <c r="F1342" s="235"/>
      <c r="G1342" s="237"/>
      <c r="H1342" s="235"/>
      <c r="I1342" s="235"/>
      <c r="J1342" s="235"/>
      <c r="K1342" s="66"/>
      <c r="L1342" s="238"/>
      <c r="M1342" s="238"/>
    </row>
    <row r="1343" ht="12.75" customHeight="1">
      <c r="A1343" s="238"/>
      <c r="B1343" s="235"/>
      <c r="C1343" s="235"/>
      <c r="D1343" s="236"/>
      <c r="E1343" s="235"/>
      <c r="F1343" s="235"/>
      <c r="G1343" s="237"/>
      <c r="H1343" s="235"/>
      <c r="I1343" s="235"/>
      <c r="J1343" s="235"/>
      <c r="K1343" s="66"/>
      <c r="L1343" s="238"/>
      <c r="M1343" s="238"/>
    </row>
    <row r="1344" ht="12.75" customHeight="1">
      <c r="A1344" s="238"/>
      <c r="B1344" s="235"/>
      <c r="C1344" s="235"/>
      <c r="D1344" s="236"/>
      <c r="E1344" s="235"/>
      <c r="F1344" s="235"/>
      <c r="G1344" s="237"/>
      <c r="H1344" s="235"/>
      <c r="I1344" s="235"/>
      <c r="J1344" s="235"/>
      <c r="K1344" s="66"/>
      <c r="L1344" s="238"/>
      <c r="M1344" s="238"/>
    </row>
    <row r="1345" ht="12.75" customHeight="1">
      <c r="A1345" s="238"/>
      <c r="B1345" s="235"/>
      <c r="C1345" s="235"/>
      <c r="D1345" s="236"/>
      <c r="E1345" s="235"/>
      <c r="F1345" s="235"/>
      <c r="G1345" s="237"/>
      <c r="H1345" s="235"/>
      <c r="I1345" s="235"/>
      <c r="J1345" s="235"/>
      <c r="K1345" s="66"/>
      <c r="L1345" s="238"/>
      <c r="M1345" s="238"/>
    </row>
    <row r="1346" ht="12.75" customHeight="1">
      <c r="A1346" s="238"/>
      <c r="B1346" s="235"/>
      <c r="C1346" s="235"/>
      <c r="D1346" s="236"/>
      <c r="E1346" s="235"/>
      <c r="F1346" s="235"/>
      <c r="G1346" s="237"/>
      <c r="H1346" s="235"/>
      <c r="I1346" s="235"/>
      <c r="J1346" s="235"/>
      <c r="K1346" s="66"/>
      <c r="L1346" s="238"/>
      <c r="M1346" s="238"/>
    </row>
    <row r="1347" ht="12.75" customHeight="1">
      <c r="A1347" s="238"/>
      <c r="B1347" s="235"/>
      <c r="C1347" s="235"/>
      <c r="D1347" s="236"/>
      <c r="E1347" s="235"/>
      <c r="F1347" s="235"/>
      <c r="G1347" s="237"/>
      <c r="H1347" s="235"/>
      <c r="I1347" s="235"/>
      <c r="J1347" s="235"/>
      <c r="K1347" s="66"/>
      <c r="L1347" s="238"/>
      <c r="M1347" s="238"/>
    </row>
    <row r="1348" ht="12.75" customHeight="1">
      <c r="A1348" s="238"/>
      <c r="B1348" s="235"/>
      <c r="C1348" s="235"/>
      <c r="D1348" s="236"/>
      <c r="E1348" s="235"/>
      <c r="F1348" s="235"/>
      <c r="G1348" s="237"/>
      <c r="H1348" s="235"/>
      <c r="I1348" s="235"/>
      <c r="J1348" s="235"/>
      <c r="K1348" s="66"/>
      <c r="L1348" s="238"/>
      <c r="M1348" s="238"/>
    </row>
    <row r="1349" ht="12.75" customHeight="1">
      <c r="A1349" s="238"/>
      <c r="B1349" s="235"/>
      <c r="C1349" s="235"/>
      <c r="D1349" s="236"/>
      <c r="E1349" s="235"/>
      <c r="F1349" s="235"/>
      <c r="G1349" s="237"/>
      <c r="H1349" s="235"/>
      <c r="I1349" s="235"/>
      <c r="J1349" s="235"/>
      <c r="K1349" s="66"/>
      <c r="L1349" s="238"/>
      <c r="M1349" s="238"/>
    </row>
    <row r="1350" ht="12.75" customHeight="1">
      <c r="A1350" s="238"/>
      <c r="B1350" s="235"/>
      <c r="C1350" s="235"/>
      <c r="D1350" s="236"/>
      <c r="E1350" s="235"/>
      <c r="F1350" s="235"/>
      <c r="G1350" s="237"/>
      <c r="H1350" s="235"/>
      <c r="I1350" s="235"/>
      <c r="J1350" s="235"/>
      <c r="K1350" s="66"/>
      <c r="L1350" s="238"/>
      <c r="M1350" s="238"/>
    </row>
    <row r="1351" ht="12.75" customHeight="1">
      <c r="A1351" s="238"/>
      <c r="B1351" s="235"/>
      <c r="C1351" s="235"/>
      <c r="D1351" s="236"/>
      <c r="E1351" s="235"/>
      <c r="F1351" s="235"/>
      <c r="G1351" s="237"/>
      <c r="H1351" s="235"/>
      <c r="I1351" s="235"/>
      <c r="J1351" s="235"/>
      <c r="K1351" s="66"/>
      <c r="L1351" s="238"/>
      <c r="M1351" s="238"/>
    </row>
    <row r="1352" ht="12.75" customHeight="1">
      <c r="A1352" s="238"/>
      <c r="B1352" s="235"/>
      <c r="C1352" s="235"/>
      <c r="D1352" s="236"/>
      <c r="E1352" s="235"/>
      <c r="F1352" s="235"/>
      <c r="G1352" s="237"/>
      <c r="H1352" s="235"/>
      <c r="I1352" s="235"/>
      <c r="J1352" s="235"/>
      <c r="K1352" s="66"/>
      <c r="L1352" s="238"/>
      <c r="M1352" s="238"/>
    </row>
    <row r="1353" ht="12.75" customHeight="1">
      <c r="A1353" s="238"/>
      <c r="B1353" s="235"/>
      <c r="C1353" s="235"/>
      <c r="D1353" s="236"/>
      <c r="E1353" s="235"/>
      <c r="F1353" s="235"/>
      <c r="G1353" s="237"/>
      <c r="H1353" s="235"/>
      <c r="I1353" s="235"/>
      <c r="J1353" s="235"/>
      <c r="K1353" s="66"/>
      <c r="L1353" s="238"/>
      <c r="M1353" s="238"/>
    </row>
    <row r="1354" ht="12.75" customHeight="1">
      <c r="A1354" s="238"/>
      <c r="B1354" s="235"/>
      <c r="C1354" s="235"/>
      <c r="D1354" s="236"/>
      <c r="E1354" s="235"/>
      <c r="F1354" s="235"/>
      <c r="G1354" s="237"/>
      <c r="H1354" s="235"/>
      <c r="I1354" s="235"/>
      <c r="J1354" s="235"/>
      <c r="K1354" s="66"/>
      <c r="L1354" s="238"/>
      <c r="M1354" s="238"/>
    </row>
    <row r="1355" ht="12.75" customHeight="1">
      <c r="A1355" s="238"/>
      <c r="B1355" s="235"/>
      <c r="C1355" s="235"/>
      <c r="D1355" s="236"/>
      <c r="E1355" s="235"/>
      <c r="F1355" s="235"/>
      <c r="G1355" s="237"/>
      <c r="H1355" s="235"/>
      <c r="I1355" s="235"/>
      <c r="J1355" s="235"/>
      <c r="K1355" s="66"/>
      <c r="L1355" s="238"/>
      <c r="M1355" s="238"/>
    </row>
    <row r="1356" ht="12.75" customHeight="1">
      <c r="A1356" s="238"/>
      <c r="B1356" s="235"/>
      <c r="C1356" s="235"/>
      <c r="D1356" s="236"/>
      <c r="E1356" s="235"/>
      <c r="F1356" s="235"/>
      <c r="G1356" s="237"/>
      <c r="H1356" s="235"/>
      <c r="I1356" s="235"/>
      <c r="J1356" s="235"/>
      <c r="K1356" s="66"/>
      <c r="L1356" s="238"/>
      <c r="M1356" s="238"/>
    </row>
    <row r="1357" ht="12.75" customHeight="1">
      <c r="A1357" s="238"/>
      <c r="B1357" s="235"/>
      <c r="C1357" s="235"/>
      <c r="D1357" s="236"/>
      <c r="E1357" s="235"/>
      <c r="F1357" s="235"/>
      <c r="G1357" s="237"/>
      <c r="H1357" s="235"/>
      <c r="I1357" s="235"/>
      <c r="J1357" s="235"/>
      <c r="K1357" s="66"/>
      <c r="L1357" s="238"/>
      <c r="M1357" s="238"/>
    </row>
    <row r="1358" ht="12.75" customHeight="1">
      <c r="A1358" s="238"/>
      <c r="B1358" s="235"/>
      <c r="C1358" s="235"/>
      <c r="D1358" s="236"/>
      <c r="E1358" s="235"/>
      <c r="F1358" s="235"/>
      <c r="G1358" s="237"/>
      <c r="H1358" s="235"/>
      <c r="I1358" s="235"/>
      <c r="J1358" s="235"/>
      <c r="K1358" s="66"/>
      <c r="L1358" s="238"/>
      <c r="M1358" s="238"/>
    </row>
    <row r="1359" ht="12.75" customHeight="1">
      <c r="A1359" s="238"/>
      <c r="B1359" s="235"/>
      <c r="C1359" s="235"/>
      <c r="D1359" s="236"/>
      <c r="E1359" s="235"/>
      <c r="F1359" s="235"/>
      <c r="G1359" s="237"/>
      <c r="H1359" s="235"/>
      <c r="I1359" s="235"/>
      <c r="J1359" s="235"/>
      <c r="K1359" s="66"/>
      <c r="L1359" s="238"/>
      <c r="M1359" s="238"/>
    </row>
    <row r="1360" ht="12.75" customHeight="1">
      <c r="A1360" s="238"/>
      <c r="B1360" s="235"/>
      <c r="C1360" s="235"/>
      <c r="D1360" s="236"/>
      <c r="E1360" s="235"/>
      <c r="F1360" s="235"/>
      <c r="G1360" s="237"/>
      <c r="H1360" s="235"/>
      <c r="I1360" s="235"/>
      <c r="J1360" s="235"/>
      <c r="K1360" s="66"/>
      <c r="L1360" s="238"/>
      <c r="M1360" s="238"/>
    </row>
    <row r="1361" ht="12.75" customHeight="1">
      <c r="A1361" s="238"/>
      <c r="B1361" s="235"/>
      <c r="C1361" s="235"/>
      <c r="D1361" s="236"/>
      <c r="E1361" s="235"/>
      <c r="F1361" s="235"/>
      <c r="G1361" s="237"/>
      <c r="H1361" s="235"/>
      <c r="I1361" s="235"/>
      <c r="J1361" s="235"/>
      <c r="K1361" s="66"/>
      <c r="L1361" s="238"/>
      <c r="M1361" s="238"/>
    </row>
    <row r="1362" ht="12.75" customHeight="1">
      <c r="A1362" s="238"/>
      <c r="B1362" s="235"/>
      <c r="C1362" s="235"/>
      <c r="D1362" s="236"/>
      <c r="E1362" s="235"/>
      <c r="F1362" s="235"/>
      <c r="G1362" s="237"/>
      <c r="H1362" s="235"/>
      <c r="I1362" s="235"/>
      <c r="J1362" s="235"/>
      <c r="K1362" s="66"/>
      <c r="L1362" s="238"/>
      <c r="M1362" s="238"/>
    </row>
    <row r="1363" ht="12.75" customHeight="1">
      <c r="A1363" s="238"/>
      <c r="B1363" s="235"/>
      <c r="C1363" s="235"/>
      <c r="D1363" s="236"/>
      <c r="E1363" s="235"/>
      <c r="F1363" s="235"/>
      <c r="G1363" s="237"/>
      <c r="H1363" s="235"/>
      <c r="I1363" s="235"/>
      <c r="J1363" s="235"/>
      <c r="K1363" s="66"/>
      <c r="L1363" s="238"/>
      <c r="M1363" s="238"/>
    </row>
    <row r="1364" ht="12.75" customHeight="1">
      <c r="A1364" s="238"/>
      <c r="B1364" s="235"/>
      <c r="C1364" s="235"/>
      <c r="D1364" s="236"/>
      <c r="E1364" s="235"/>
      <c r="F1364" s="235"/>
      <c r="G1364" s="237"/>
      <c r="H1364" s="235"/>
      <c r="I1364" s="235"/>
      <c r="J1364" s="235"/>
      <c r="K1364" s="66"/>
      <c r="L1364" s="238"/>
      <c r="M1364" s="238"/>
    </row>
    <row r="1365" ht="12.75" customHeight="1">
      <c r="A1365" s="238"/>
      <c r="B1365" s="235"/>
      <c r="C1365" s="235"/>
      <c r="D1365" s="236"/>
      <c r="E1365" s="235"/>
      <c r="F1365" s="235"/>
      <c r="G1365" s="237"/>
      <c r="H1365" s="235"/>
      <c r="I1365" s="235"/>
      <c r="J1365" s="235"/>
      <c r="K1365" s="66"/>
      <c r="L1365" s="238"/>
      <c r="M1365" s="238"/>
    </row>
    <row r="1366" ht="12.75" customHeight="1">
      <c r="A1366" s="238"/>
      <c r="B1366" s="235"/>
      <c r="C1366" s="235"/>
      <c r="D1366" s="236"/>
      <c r="E1366" s="235"/>
      <c r="F1366" s="235"/>
      <c r="G1366" s="237"/>
      <c r="H1366" s="235"/>
      <c r="I1366" s="235"/>
      <c r="J1366" s="235"/>
      <c r="K1366" s="66"/>
      <c r="L1366" s="238"/>
      <c r="M1366" s="238"/>
    </row>
    <row r="1367" ht="12.75" customHeight="1">
      <c r="A1367" s="238"/>
      <c r="B1367" s="235"/>
      <c r="C1367" s="235"/>
      <c r="D1367" s="236"/>
      <c r="E1367" s="235"/>
      <c r="F1367" s="235"/>
      <c r="G1367" s="237"/>
      <c r="H1367" s="235"/>
      <c r="I1367" s="235"/>
      <c r="J1367" s="235"/>
      <c r="K1367" s="66"/>
      <c r="L1367" s="238"/>
      <c r="M1367" s="238"/>
    </row>
    <row r="1368" ht="12.75" customHeight="1">
      <c r="A1368" s="238"/>
      <c r="B1368" s="235"/>
      <c r="C1368" s="235"/>
      <c r="D1368" s="236"/>
      <c r="E1368" s="235"/>
      <c r="F1368" s="235"/>
      <c r="G1368" s="237"/>
      <c r="H1368" s="235"/>
      <c r="I1368" s="235"/>
      <c r="J1368" s="235"/>
      <c r="K1368" s="66"/>
      <c r="L1368" s="238"/>
      <c r="M1368" s="238"/>
    </row>
    <row r="1369" ht="12.75" customHeight="1">
      <c r="A1369" s="238"/>
      <c r="B1369" s="235"/>
      <c r="C1369" s="235"/>
      <c r="D1369" s="236"/>
      <c r="E1369" s="235"/>
      <c r="F1369" s="235"/>
      <c r="G1369" s="237"/>
      <c r="H1369" s="235"/>
      <c r="I1369" s="235"/>
      <c r="J1369" s="235"/>
      <c r="K1369" s="66"/>
      <c r="L1369" s="238"/>
      <c r="M1369" s="238"/>
    </row>
    <row r="1370" ht="12.75" customHeight="1">
      <c r="A1370" s="238"/>
      <c r="B1370" s="235"/>
      <c r="C1370" s="235"/>
      <c r="D1370" s="236"/>
      <c r="E1370" s="235"/>
      <c r="F1370" s="235"/>
      <c r="G1370" s="237"/>
      <c r="H1370" s="235"/>
      <c r="I1370" s="235"/>
      <c r="J1370" s="235"/>
      <c r="K1370" s="66"/>
      <c r="L1370" s="238"/>
      <c r="M1370" s="238"/>
    </row>
    <row r="1371" ht="12.75" customHeight="1">
      <c r="A1371" s="238"/>
      <c r="B1371" s="235"/>
      <c r="C1371" s="235"/>
      <c r="D1371" s="236"/>
      <c r="E1371" s="235"/>
      <c r="F1371" s="235"/>
      <c r="G1371" s="237"/>
      <c r="H1371" s="235"/>
      <c r="I1371" s="235"/>
      <c r="J1371" s="235"/>
      <c r="K1371" s="66"/>
      <c r="L1371" s="238"/>
      <c r="M1371" s="238"/>
    </row>
    <row r="1372" ht="12.75" customHeight="1">
      <c r="A1372" s="238"/>
      <c r="B1372" s="235"/>
      <c r="C1372" s="235"/>
      <c r="D1372" s="236"/>
      <c r="E1372" s="235"/>
      <c r="F1372" s="235"/>
      <c r="G1372" s="237"/>
      <c r="H1372" s="235"/>
      <c r="I1372" s="235"/>
      <c r="J1372" s="235"/>
      <c r="K1372" s="66"/>
      <c r="L1372" s="238"/>
      <c r="M1372" s="238"/>
    </row>
    <row r="1373" ht="12.75" customHeight="1">
      <c r="A1373" s="238"/>
      <c r="B1373" s="235"/>
      <c r="C1373" s="235"/>
      <c r="D1373" s="236"/>
      <c r="E1373" s="235"/>
      <c r="F1373" s="235"/>
      <c r="G1373" s="237"/>
      <c r="H1373" s="235"/>
      <c r="I1373" s="235"/>
      <c r="J1373" s="235"/>
      <c r="K1373" s="66"/>
      <c r="L1373" s="238"/>
      <c r="M1373" s="238"/>
    </row>
    <row r="1374" ht="12.75" customHeight="1">
      <c r="A1374" s="238"/>
      <c r="B1374" s="235"/>
      <c r="C1374" s="235"/>
      <c r="D1374" s="236"/>
      <c r="E1374" s="235"/>
      <c r="F1374" s="235"/>
      <c r="G1374" s="237"/>
      <c r="H1374" s="235"/>
      <c r="I1374" s="235"/>
      <c r="J1374" s="235"/>
      <c r="K1374" s="66"/>
      <c r="L1374" s="238"/>
      <c r="M1374" s="238"/>
    </row>
    <row r="1375" ht="12.75" customHeight="1">
      <c r="A1375" s="238"/>
      <c r="B1375" s="235"/>
      <c r="C1375" s="235"/>
      <c r="D1375" s="236"/>
      <c r="E1375" s="235"/>
      <c r="F1375" s="235"/>
      <c r="G1375" s="237"/>
      <c r="H1375" s="235"/>
      <c r="I1375" s="235"/>
      <c r="J1375" s="235"/>
      <c r="K1375" s="66"/>
      <c r="L1375" s="238"/>
      <c r="M1375" s="238"/>
    </row>
    <row r="1376" ht="12.75" customHeight="1">
      <c r="A1376" s="238"/>
      <c r="B1376" s="235"/>
      <c r="C1376" s="235"/>
      <c r="D1376" s="236"/>
      <c r="E1376" s="235"/>
      <c r="F1376" s="235"/>
      <c r="G1376" s="237"/>
      <c r="H1376" s="235"/>
      <c r="I1376" s="235"/>
      <c r="J1376" s="235"/>
      <c r="K1376" s="66"/>
      <c r="L1376" s="238"/>
      <c r="M1376" s="238"/>
    </row>
    <row r="1377" ht="12.75" customHeight="1">
      <c r="A1377" s="238"/>
      <c r="B1377" s="235"/>
      <c r="C1377" s="235"/>
      <c r="D1377" s="236"/>
      <c r="E1377" s="235"/>
      <c r="F1377" s="235"/>
      <c r="G1377" s="237"/>
      <c r="H1377" s="235"/>
      <c r="I1377" s="235"/>
      <c r="J1377" s="235"/>
      <c r="K1377" s="66"/>
      <c r="L1377" s="238"/>
      <c r="M1377" s="238"/>
    </row>
    <row r="1378" ht="12.75" customHeight="1">
      <c r="A1378" s="238"/>
      <c r="B1378" s="235"/>
      <c r="C1378" s="235"/>
      <c r="D1378" s="236"/>
      <c r="E1378" s="235"/>
      <c r="F1378" s="235"/>
      <c r="G1378" s="237"/>
      <c r="H1378" s="235"/>
      <c r="I1378" s="235"/>
      <c r="J1378" s="235"/>
      <c r="K1378" s="66"/>
      <c r="L1378" s="238"/>
      <c r="M1378" s="238"/>
    </row>
    <row r="1379" ht="12.75" customHeight="1">
      <c r="A1379" s="238"/>
      <c r="B1379" s="235"/>
      <c r="C1379" s="235"/>
      <c r="D1379" s="236"/>
      <c r="E1379" s="235"/>
      <c r="F1379" s="235"/>
      <c r="G1379" s="237"/>
      <c r="H1379" s="235"/>
      <c r="I1379" s="235"/>
      <c r="J1379" s="235"/>
      <c r="K1379" s="66"/>
      <c r="L1379" s="238"/>
      <c r="M1379" s="238"/>
    </row>
    <row r="1380" ht="12.75" customHeight="1">
      <c r="A1380" s="238"/>
      <c r="B1380" s="235"/>
      <c r="C1380" s="235"/>
      <c r="D1380" s="236"/>
      <c r="E1380" s="235"/>
      <c r="F1380" s="235"/>
      <c r="G1380" s="237"/>
      <c r="H1380" s="235"/>
      <c r="I1380" s="235"/>
      <c r="J1380" s="235"/>
      <c r="K1380" s="66"/>
      <c r="L1380" s="238"/>
      <c r="M1380" s="238"/>
    </row>
    <row r="1381" ht="12.75" customHeight="1">
      <c r="A1381" s="238"/>
      <c r="B1381" s="235"/>
      <c r="C1381" s="235"/>
      <c r="D1381" s="236"/>
      <c r="E1381" s="235"/>
      <c r="F1381" s="235"/>
      <c r="G1381" s="237"/>
      <c r="H1381" s="235"/>
      <c r="I1381" s="235"/>
      <c r="J1381" s="235"/>
      <c r="K1381" s="66"/>
      <c r="L1381" s="238"/>
      <c r="M1381" s="238"/>
    </row>
    <row r="1382" ht="12.75" customHeight="1">
      <c r="A1382" s="238"/>
      <c r="B1382" s="235"/>
      <c r="C1382" s="235"/>
      <c r="D1382" s="236"/>
      <c r="E1382" s="235"/>
      <c r="F1382" s="235"/>
      <c r="G1382" s="237"/>
      <c r="H1382" s="235"/>
      <c r="I1382" s="235"/>
      <c r="J1382" s="235"/>
      <c r="K1382" s="66"/>
      <c r="L1382" s="238"/>
      <c r="M1382" s="238"/>
    </row>
    <row r="1383" ht="12.75" customHeight="1">
      <c r="A1383" s="238"/>
      <c r="B1383" s="235"/>
      <c r="C1383" s="235"/>
      <c r="D1383" s="236"/>
      <c r="E1383" s="235"/>
      <c r="F1383" s="235"/>
      <c r="G1383" s="237"/>
      <c r="H1383" s="235"/>
      <c r="I1383" s="235"/>
      <c r="J1383" s="235"/>
      <c r="K1383" s="66"/>
      <c r="L1383" s="238"/>
      <c r="M1383" s="238"/>
    </row>
    <row r="1384" ht="12.75" customHeight="1">
      <c r="A1384" s="238"/>
      <c r="B1384" s="235"/>
      <c r="C1384" s="235"/>
      <c r="D1384" s="236"/>
      <c r="E1384" s="235"/>
      <c r="F1384" s="235"/>
      <c r="G1384" s="237"/>
      <c r="H1384" s="235"/>
      <c r="I1384" s="235"/>
      <c r="J1384" s="235"/>
      <c r="K1384" s="66"/>
      <c r="L1384" s="238"/>
      <c r="M1384" s="238"/>
    </row>
    <row r="1385" ht="12.75" customHeight="1">
      <c r="A1385" s="238"/>
      <c r="B1385" s="235"/>
      <c r="C1385" s="235"/>
      <c r="D1385" s="236"/>
      <c r="E1385" s="235"/>
      <c r="F1385" s="235"/>
      <c r="G1385" s="237"/>
      <c r="H1385" s="235"/>
      <c r="I1385" s="235"/>
      <c r="J1385" s="235"/>
      <c r="K1385" s="66"/>
      <c r="L1385" s="238"/>
      <c r="M1385" s="238"/>
    </row>
    <row r="1386" ht="12.75" customHeight="1">
      <c r="A1386" s="238"/>
      <c r="B1386" s="235"/>
      <c r="C1386" s="235"/>
      <c r="D1386" s="236"/>
      <c r="E1386" s="235"/>
      <c r="F1386" s="235"/>
      <c r="G1386" s="237"/>
      <c r="H1386" s="235"/>
      <c r="I1386" s="235"/>
      <c r="J1386" s="235"/>
      <c r="K1386" s="66"/>
      <c r="L1386" s="238"/>
      <c r="M1386" s="238"/>
    </row>
    <row r="1387" ht="12.75" customHeight="1">
      <c r="A1387" s="238"/>
      <c r="B1387" s="235"/>
      <c r="C1387" s="235"/>
      <c r="D1387" s="236"/>
      <c r="E1387" s="235"/>
      <c r="F1387" s="235"/>
      <c r="G1387" s="237"/>
      <c r="H1387" s="235"/>
      <c r="I1387" s="235"/>
      <c r="J1387" s="235"/>
      <c r="K1387" s="66"/>
      <c r="L1387" s="238"/>
      <c r="M1387" s="238"/>
    </row>
    <row r="1388" ht="12.75" customHeight="1">
      <c r="A1388" s="238"/>
      <c r="B1388" s="235"/>
      <c r="C1388" s="235"/>
      <c r="D1388" s="236"/>
      <c r="E1388" s="235"/>
      <c r="F1388" s="235"/>
      <c r="G1388" s="237"/>
      <c r="H1388" s="235"/>
      <c r="I1388" s="235"/>
      <c r="J1388" s="235"/>
      <c r="K1388" s="66"/>
      <c r="L1388" s="238"/>
      <c r="M1388" s="238"/>
    </row>
    <row r="1389" ht="12.75" customHeight="1">
      <c r="A1389" s="238"/>
      <c r="B1389" s="235"/>
      <c r="C1389" s="235"/>
      <c r="D1389" s="236"/>
      <c r="E1389" s="235"/>
      <c r="F1389" s="235"/>
      <c r="G1389" s="237"/>
      <c r="H1389" s="235"/>
      <c r="I1389" s="235"/>
      <c r="J1389" s="235"/>
      <c r="K1389" s="66"/>
      <c r="L1389" s="238"/>
      <c r="M1389" s="238"/>
    </row>
    <row r="1390" ht="12.75" customHeight="1">
      <c r="A1390" s="238"/>
      <c r="B1390" s="235"/>
      <c r="C1390" s="235"/>
      <c r="D1390" s="236"/>
      <c r="E1390" s="235"/>
      <c r="F1390" s="235"/>
      <c r="G1390" s="237"/>
      <c r="H1390" s="235"/>
      <c r="I1390" s="235"/>
      <c r="J1390" s="235"/>
      <c r="K1390" s="66"/>
      <c r="L1390" s="238"/>
      <c r="M1390" s="238"/>
    </row>
    <row r="1391" ht="12.75" customHeight="1">
      <c r="A1391" s="238"/>
      <c r="B1391" s="235"/>
      <c r="C1391" s="235"/>
      <c r="D1391" s="236"/>
      <c r="E1391" s="235"/>
      <c r="F1391" s="235"/>
      <c r="G1391" s="237"/>
      <c r="H1391" s="235"/>
      <c r="I1391" s="235"/>
      <c r="J1391" s="235"/>
      <c r="K1391" s="66"/>
      <c r="L1391" s="238"/>
      <c r="M1391" s="238"/>
    </row>
    <row r="1392" ht="12.75" customHeight="1">
      <c r="A1392" s="238"/>
      <c r="B1392" s="235"/>
      <c r="C1392" s="235"/>
      <c r="D1392" s="236"/>
      <c r="E1392" s="235"/>
      <c r="F1392" s="235"/>
      <c r="G1392" s="237"/>
      <c r="H1392" s="235"/>
      <c r="I1392" s="235"/>
      <c r="J1392" s="235"/>
      <c r="K1392" s="66"/>
      <c r="L1392" s="238"/>
      <c r="M1392" s="238"/>
    </row>
    <row r="1393" ht="12.75" customHeight="1">
      <c r="A1393" s="238"/>
      <c r="B1393" s="235"/>
      <c r="C1393" s="235"/>
      <c r="D1393" s="236"/>
      <c r="E1393" s="235"/>
      <c r="F1393" s="235"/>
      <c r="G1393" s="237"/>
      <c r="H1393" s="235"/>
      <c r="I1393" s="235"/>
      <c r="J1393" s="235"/>
      <c r="K1393" s="66"/>
      <c r="L1393" s="238"/>
      <c r="M1393" s="238"/>
    </row>
    <row r="1394" ht="12.75" customHeight="1">
      <c r="A1394" s="238"/>
      <c r="B1394" s="235"/>
      <c r="C1394" s="235"/>
      <c r="D1394" s="236"/>
      <c r="E1394" s="235"/>
      <c r="F1394" s="235"/>
      <c r="G1394" s="237"/>
      <c r="H1394" s="235"/>
      <c r="I1394" s="235"/>
      <c r="J1394" s="235"/>
      <c r="K1394" s="66"/>
      <c r="L1394" s="238"/>
      <c r="M1394" s="238"/>
    </row>
    <row r="1395" ht="12.75" customHeight="1">
      <c r="A1395" s="238"/>
      <c r="B1395" s="235"/>
      <c r="C1395" s="235"/>
      <c r="D1395" s="236"/>
      <c r="E1395" s="235"/>
      <c r="F1395" s="235"/>
      <c r="G1395" s="237"/>
      <c r="H1395" s="235"/>
      <c r="I1395" s="235"/>
      <c r="J1395" s="235"/>
      <c r="K1395" s="66"/>
      <c r="L1395" s="238"/>
      <c r="M1395" s="238"/>
    </row>
    <row r="1396" ht="12.75" customHeight="1">
      <c r="A1396" s="238"/>
      <c r="B1396" s="235"/>
      <c r="C1396" s="235"/>
      <c r="D1396" s="236"/>
      <c r="E1396" s="235"/>
      <c r="F1396" s="235"/>
      <c r="G1396" s="237"/>
      <c r="H1396" s="235"/>
      <c r="I1396" s="235"/>
      <c r="J1396" s="235"/>
      <c r="K1396" s="66"/>
      <c r="L1396" s="238"/>
      <c r="M1396" s="238"/>
    </row>
    <row r="1397" ht="12.75" customHeight="1">
      <c r="A1397" s="238"/>
      <c r="B1397" s="235"/>
      <c r="C1397" s="235"/>
      <c r="D1397" s="236"/>
      <c r="E1397" s="235"/>
      <c r="F1397" s="235"/>
      <c r="G1397" s="237"/>
      <c r="H1397" s="235"/>
      <c r="I1397" s="235"/>
      <c r="J1397" s="235"/>
      <c r="K1397" s="66"/>
      <c r="L1397" s="238"/>
      <c r="M1397" s="238"/>
    </row>
    <row r="1398" ht="12.75" customHeight="1">
      <c r="A1398" s="238"/>
      <c r="B1398" s="235"/>
      <c r="C1398" s="235"/>
      <c r="D1398" s="236"/>
      <c r="E1398" s="235"/>
      <c r="F1398" s="235"/>
      <c r="G1398" s="237"/>
      <c r="H1398" s="235"/>
      <c r="I1398" s="235"/>
      <c r="J1398" s="235"/>
      <c r="K1398" s="66"/>
      <c r="L1398" s="238"/>
      <c r="M1398" s="238"/>
    </row>
    <row r="1399" ht="12.75" customHeight="1">
      <c r="A1399" s="238"/>
      <c r="B1399" s="235"/>
      <c r="C1399" s="235"/>
      <c r="D1399" s="236"/>
      <c r="E1399" s="235"/>
      <c r="F1399" s="235"/>
      <c r="G1399" s="237"/>
      <c r="H1399" s="235"/>
      <c r="I1399" s="235"/>
      <c r="J1399" s="235"/>
      <c r="K1399" s="66"/>
      <c r="L1399" s="238"/>
      <c r="M1399" s="238"/>
    </row>
    <row r="1400" ht="12.75" customHeight="1">
      <c r="A1400" s="238"/>
      <c r="B1400" s="235"/>
      <c r="C1400" s="235"/>
      <c r="D1400" s="236"/>
      <c r="E1400" s="235"/>
      <c r="F1400" s="235"/>
      <c r="G1400" s="237"/>
      <c r="H1400" s="235"/>
      <c r="I1400" s="235"/>
      <c r="J1400" s="235"/>
      <c r="K1400" s="66"/>
      <c r="L1400" s="238"/>
      <c r="M1400" s="238"/>
    </row>
    <row r="1401" ht="12.75" customHeight="1">
      <c r="A1401" s="238"/>
      <c r="B1401" s="235"/>
      <c r="C1401" s="235"/>
      <c r="D1401" s="236"/>
      <c r="E1401" s="235"/>
      <c r="F1401" s="235"/>
      <c r="G1401" s="237"/>
      <c r="H1401" s="235"/>
      <c r="I1401" s="235"/>
      <c r="J1401" s="235"/>
      <c r="K1401" s="66"/>
      <c r="L1401" s="238"/>
      <c r="M1401" s="238"/>
    </row>
    <row r="1402" ht="12.75" customHeight="1">
      <c r="A1402" s="238"/>
      <c r="B1402" s="235"/>
      <c r="C1402" s="235"/>
      <c r="D1402" s="236"/>
      <c r="E1402" s="235"/>
      <c r="F1402" s="235"/>
      <c r="G1402" s="237"/>
      <c r="H1402" s="235"/>
      <c r="I1402" s="235"/>
      <c r="J1402" s="235"/>
      <c r="K1402" s="66"/>
      <c r="L1402" s="238"/>
      <c r="M1402" s="238"/>
    </row>
    <row r="1403" ht="12.75" customHeight="1">
      <c r="A1403" s="238"/>
      <c r="B1403" s="235"/>
      <c r="C1403" s="235"/>
      <c r="D1403" s="236"/>
      <c r="E1403" s="235"/>
      <c r="F1403" s="235"/>
      <c r="G1403" s="237"/>
      <c r="H1403" s="235"/>
      <c r="I1403" s="235"/>
      <c r="J1403" s="235"/>
      <c r="K1403" s="66"/>
      <c r="L1403" s="238"/>
      <c r="M1403" s="238"/>
    </row>
    <row r="1404" ht="12.75" customHeight="1">
      <c r="A1404" s="238"/>
      <c r="B1404" s="235"/>
      <c r="C1404" s="235"/>
      <c r="D1404" s="236"/>
      <c r="E1404" s="235"/>
      <c r="F1404" s="235"/>
      <c r="G1404" s="237"/>
      <c r="H1404" s="235"/>
      <c r="I1404" s="235"/>
      <c r="J1404" s="235"/>
      <c r="K1404" s="66"/>
      <c r="L1404" s="238"/>
      <c r="M1404" s="238"/>
    </row>
    <row r="1405" ht="12.75" customHeight="1">
      <c r="A1405" s="238"/>
      <c r="B1405" s="235"/>
      <c r="C1405" s="235"/>
      <c r="D1405" s="236"/>
      <c r="E1405" s="235"/>
      <c r="F1405" s="235"/>
      <c r="G1405" s="237"/>
      <c r="H1405" s="235"/>
      <c r="I1405" s="235"/>
      <c r="J1405" s="235"/>
      <c r="K1405" s="66"/>
      <c r="L1405" s="238"/>
      <c r="M1405" s="238"/>
    </row>
    <row r="1406" ht="12.75" customHeight="1">
      <c r="A1406" s="238"/>
      <c r="B1406" s="235"/>
      <c r="C1406" s="235"/>
      <c r="D1406" s="236"/>
      <c r="E1406" s="235"/>
      <c r="F1406" s="235"/>
      <c r="G1406" s="237"/>
      <c r="H1406" s="235"/>
      <c r="I1406" s="235"/>
      <c r="J1406" s="235"/>
      <c r="K1406" s="66"/>
      <c r="L1406" s="238"/>
      <c r="M1406" s="238"/>
    </row>
    <row r="1407" ht="12.75" customHeight="1">
      <c r="A1407" s="238"/>
      <c r="B1407" s="235"/>
      <c r="C1407" s="235"/>
      <c r="D1407" s="236"/>
      <c r="E1407" s="235"/>
      <c r="F1407" s="235"/>
      <c r="G1407" s="237"/>
      <c r="H1407" s="235"/>
      <c r="I1407" s="235"/>
      <c r="J1407" s="235"/>
      <c r="K1407" s="66"/>
      <c r="L1407" s="238"/>
      <c r="M1407" s="238"/>
    </row>
    <row r="1408" ht="12.75" customHeight="1">
      <c r="A1408" s="238"/>
      <c r="B1408" s="235"/>
      <c r="C1408" s="235"/>
      <c r="D1408" s="236"/>
      <c r="E1408" s="235"/>
      <c r="F1408" s="235"/>
      <c r="G1408" s="237"/>
      <c r="H1408" s="235"/>
      <c r="I1408" s="235"/>
      <c r="J1408" s="235"/>
      <c r="K1408" s="66"/>
      <c r="L1408" s="238"/>
      <c r="M1408" s="238"/>
    </row>
    <row r="1409" ht="12.75" customHeight="1">
      <c r="A1409" s="238"/>
      <c r="B1409" s="235"/>
      <c r="C1409" s="235"/>
      <c r="D1409" s="236"/>
      <c r="E1409" s="235"/>
      <c r="F1409" s="235"/>
      <c r="G1409" s="237"/>
      <c r="H1409" s="235"/>
      <c r="I1409" s="235"/>
      <c r="J1409" s="235"/>
      <c r="K1409" s="66"/>
      <c r="L1409" s="238"/>
      <c r="M1409" s="238"/>
    </row>
    <row r="1410" ht="12.75" customHeight="1">
      <c r="A1410" s="238"/>
      <c r="B1410" s="235"/>
      <c r="C1410" s="235"/>
      <c r="D1410" s="236"/>
      <c r="E1410" s="235"/>
      <c r="F1410" s="235"/>
      <c r="G1410" s="237"/>
      <c r="H1410" s="235"/>
      <c r="I1410" s="235"/>
      <c r="J1410" s="235"/>
      <c r="K1410" s="66"/>
      <c r="L1410" s="238"/>
      <c r="M1410" s="238"/>
    </row>
    <row r="1411" ht="12.75" customHeight="1">
      <c r="A1411" s="238"/>
      <c r="B1411" s="235"/>
      <c r="C1411" s="235"/>
      <c r="D1411" s="236"/>
      <c r="E1411" s="235"/>
      <c r="F1411" s="235"/>
      <c r="G1411" s="237"/>
      <c r="H1411" s="235"/>
      <c r="I1411" s="235"/>
      <c r="J1411" s="235"/>
      <c r="K1411" s="66"/>
      <c r="L1411" s="238"/>
      <c r="M1411" s="238"/>
    </row>
    <row r="1412" ht="12.75" customHeight="1">
      <c r="A1412" s="238"/>
      <c r="B1412" s="235"/>
      <c r="C1412" s="235"/>
      <c r="D1412" s="236"/>
      <c r="E1412" s="235"/>
      <c r="F1412" s="235"/>
      <c r="G1412" s="237"/>
      <c r="H1412" s="235"/>
      <c r="I1412" s="235"/>
      <c r="J1412" s="235"/>
      <c r="K1412" s="66"/>
      <c r="L1412" s="238"/>
      <c r="M1412" s="238"/>
    </row>
    <row r="1413" ht="12.75" customHeight="1">
      <c r="A1413" s="238"/>
      <c r="B1413" s="235"/>
      <c r="C1413" s="235"/>
      <c r="D1413" s="236"/>
      <c r="E1413" s="235"/>
      <c r="F1413" s="235"/>
      <c r="G1413" s="237"/>
      <c r="H1413" s="235"/>
      <c r="I1413" s="235"/>
      <c r="J1413" s="235"/>
      <c r="K1413" s="66"/>
      <c r="L1413" s="238"/>
      <c r="M1413" s="238"/>
    </row>
    <row r="1414" ht="12.75" customHeight="1">
      <c r="A1414" s="238"/>
      <c r="B1414" s="235"/>
      <c r="C1414" s="235"/>
      <c r="D1414" s="236"/>
      <c r="E1414" s="235"/>
      <c r="F1414" s="235"/>
      <c r="G1414" s="237"/>
      <c r="H1414" s="235"/>
      <c r="I1414" s="235"/>
      <c r="J1414" s="235"/>
      <c r="K1414" s="66"/>
      <c r="L1414" s="238"/>
      <c r="M1414" s="238"/>
    </row>
    <row r="1415" ht="12.75" customHeight="1">
      <c r="A1415" s="238"/>
      <c r="B1415" s="235"/>
      <c r="C1415" s="235"/>
      <c r="D1415" s="236"/>
      <c r="E1415" s="235"/>
      <c r="F1415" s="235"/>
      <c r="G1415" s="237"/>
      <c r="H1415" s="235"/>
      <c r="I1415" s="235"/>
      <c r="J1415" s="235"/>
      <c r="K1415" s="66"/>
      <c r="L1415" s="238"/>
      <c r="M1415" s="238"/>
    </row>
    <row r="1416" ht="12.75" customHeight="1">
      <c r="A1416" s="238"/>
      <c r="B1416" s="235"/>
      <c r="C1416" s="235"/>
      <c r="D1416" s="236"/>
      <c r="E1416" s="235"/>
      <c r="F1416" s="235"/>
      <c r="G1416" s="237"/>
      <c r="H1416" s="235"/>
      <c r="I1416" s="235"/>
      <c r="J1416" s="235"/>
      <c r="K1416" s="66"/>
      <c r="L1416" s="238"/>
      <c r="M1416" s="238"/>
    </row>
    <row r="1417" ht="12.75" customHeight="1">
      <c r="A1417" s="238"/>
      <c r="B1417" s="235"/>
      <c r="C1417" s="235"/>
      <c r="D1417" s="236"/>
      <c r="E1417" s="235"/>
      <c r="F1417" s="235"/>
      <c r="G1417" s="237"/>
      <c r="H1417" s="235"/>
      <c r="I1417" s="235"/>
      <c r="J1417" s="235"/>
      <c r="K1417" s="66"/>
      <c r="L1417" s="238"/>
      <c r="M1417" s="238"/>
    </row>
    <row r="1418" ht="12.75" customHeight="1">
      <c r="A1418" s="238"/>
      <c r="B1418" s="235"/>
      <c r="C1418" s="235"/>
      <c r="D1418" s="236"/>
      <c r="E1418" s="235"/>
      <c r="F1418" s="235"/>
      <c r="G1418" s="237"/>
      <c r="H1418" s="235"/>
      <c r="I1418" s="235"/>
      <c r="J1418" s="235"/>
      <c r="K1418" s="66"/>
      <c r="L1418" s="238"/>
      <c r="M1418" s="238"/>
    </row>
    <row r="1419" ht="12.75" customHeight="1">
      <c r="A1419" s="238"/>
      <c r="B1419" s="235"/>
      <c r="C1419" s="235"/>
      <c r="D1419" s="236"/>
      <c r="E1419" s="235"/>
      <c r="F1419" s="235"/>
      <c r="G1419" s="237"/>
      <c r="H1419" s="235"/>
      <c r="I1419" s="235"/>
      <c r="J1419" s="235"/>
      <c r="K1419" s="66"/>
      <c r="L1419" s="238"/>
      <c r="M1419" s="238"/>
    </row>
    <row r="1420" ht="12.75" customHeight="1">
      <c r="A1420" s="238"/>
      <c r="B1420" s="235"/>
      <c r="C1420" s="235"/>
      <c r="D1420" s="236"/>
      <c r="E1420" s="235"/>
      <c r="F1420" s="235"/>
      <c r="G1420" s="237"/>
      <c r="H1420" s="235"/>
      <c r="I1420" s="235"/>
      <c r="J1420" s="235"/>
      <c r="K1420" s="66"/>
      <c r="L1420" s="238"/>
      <c r="M1420" s="238"/>
    </row>
    <row r="1421" ht="12.75" customHeight="1">
      <c r="A1421" s="238"/>
      <c r="B1421" s="235"/>
      <c r="C1421" s="235"/>
      <c r="D1421" s="236"/>
      <c r="E1421" s="235"/>
      <c r="F1421" s="235"/>
      <c r="G1421" s="237"/>
      <c r="H1421" s="235"/>
      <c r="I1421" s="235"/>
      <c r="J1421" s="235"/>
      <c r="K1421" s="66"/>
      <c r="L1421" s="238"/>
      <c r="M1421" s="238"/>
    </row>
    <row r="1422" ht="12.75" customHeight="1">
      <c r="A1422" s="238"/>
      <c r="B1422" s="235"/>
      <c r="C1422" s="235"/>
      <c r="D1422" s="236"/>
      <c r="E1422" s="235"/>
      <c r="F1422" s="235"/>
      <c r="G1422" s="237"/>
      <c r="H1422" s="235"/>
      <c r="I1422" s="235"/>
      <c r="J1422" s="235"/>
      <c r="K1422" s="66"/>
      <c r="L1422" s="238"/>
      <c r="M1422" s="238"/>
    </row>
    <row r="1423" ht="12.75" customHeight="1">
      <c r="A1423" s="238"/>
      <c r="B1423" s="235"/>
      <c r="C1423" s="235"/>
      <c r="D1423" s="236"/>
      <c r="E1423" s="235"/>
      <c r="F1423" s="235"/>
      <c r="G1423" s="237"/>
      <c r="H1423" s="235"/>
      <c r="I1423" s="235"/>
      <c r="J1423" s="235"/>
      <c r="K1423" s="66"/>
      <c r="L1423" s="238"/>
      <c r="M1423" s="238"/>
    </row>
    <row r="1424" ht="12.75" customHeight="1">
      <c r="A1424" s="238"/>
      <c r="B1424" s="235"/>
      <c r="C1424" s="235"/>
      <c r="D1424" s="236"/>
      <c r="E1424" s="235"/>
      <c r="F1424" s="235"/>
      <c r="G1424" s="237"/>
      <c r="H1424" s="235"/>
      <c r="I1424" s="235"/>
      <c r="J1424" s="235"/>
      <c r="K1424" s="66"/>
      <c r="L1424" s="238"/>
      <c r="M1424" s="238"/>
    </row>
    <row r="1425" ht="12.75" customHeight="1">
      <c r="A1425" s="238"/>
      <c r="B1425" s="235"/>
      <c r="C1425" s="235"/>
      <c r="D1425" s="236"/>
      <c r="E1425" s="235"/>
      <c r="F1425" s="235"/>
      <c r="G1425" s="237"/>
      <c r="H1425" s="235"/>
      <c r="I1425" s="235"/>
      <c r="J1425" s="235"/>
      <c r="K1425" s="66"/>
      <c r="L1425" s="238"/>
      <c r="M1425" s="238"/>
    </row>
    <row r="1426" ht="12.75" customHeight="1">
      <c r="A1426" s="238"/>
      <c r="B1426" s="235"/>
      <c r="C1426" s="235"/>
      <c r="D1426" s="236"/>
      <c r="E1426" s="235"/>
      <c r="F1426" s="235"/>
      <c r="G1426" s="237"/>
      <c r="H1426" s="235"/>
      <c r="I1426" s="235"/>
      <c r="J1426" s="235"/>
      <c r="K1426" s="66"/>
      <c r="L1426" s="238"/>
      <c r="M1426" s="238"/>
    </row>
    <row r="1427" ht="12.75" customHeight="1">
      <c r="A1427" s="238"/>
      <c r="B1427" s="235"/>
      <c r="C1427" s="235"/>
      <c r="D1427" s="236"/>
      <c r="E1427" s="235"/>
      <c r="F1427" s="235"/>
      <c r="G1427" s="237"/>
      <c r="H1427" s="235"/>
      <c r="I1427" s="235"/>
      <c r="J1427" s="235"/>
      <c r="K1427" s="66"/>
      <c r="L1427" s="238"/>
      <c r="M1427" s="238"/>
    </row>
    <row r="1428" ht="12.75" customHeight="1">
      <c r="A1428" s="238"/>
      <c r="B1428" s="235"/>
      <c r="C1428" s="235"/>
      <c r="D1428" s="236"/>
      <c r="E1428" s="235"/>
      <c r="F1428" s="235"/>
      <c r="G1428" s="237"/>
      <c r="H1428" s="235"/>
      <c r="I1428" s="235"/>
      <c r="J1428" s="235"/>
      <c r="K1428" s="66"/>
      <c r="L1428" s="238"/>
      <c r="M1428" s="238"/>
    </row>
    <row r="1429" ht="12.75" customHeight="1">
      <c r="A1429" s="238"/>
      <c r="B1429" s="235"/>
      <c r="C1429" s="235"/>
      <c r="D1429" s="236"/>
      <c r="E1429" s="235"/>
      <c r="F1429" s="235"/>
      <c r="G1429" s="237"/>
      <c r="H1429" s="235"/>
      <c r="I1429" s="235"/>
      <c r="J1429" s="235"/>
      <c r="K1429" s="66"/>
      <c r="L1429" s="238"/>
      <c r="M1429" s="238"/>
    </row>
    <row r="1430" ht="12.75" customHeight="1">
      <c r="A1430" s="238"/>
      <c r="B1430" s="235"/>
      <c r="C1430" s="235"/>
      <c r="D1430" s="236"/>
      <c r="E1430" s="235"/>
      <c r="F1430" s="235"/>
      <c r="G1430" s="237"/>
      <c r="H1430" s="235"/>
      <c r="I1430" s="235"/>
      <c r="J1430" s="235"/>
      <c r="K1430" s="66"/>
      <c r="L1430" s="238"/>
      <c r="M1430" s="238"/>
    </row>
    <row r="1431" ht="12.75" customHeight="1">
      <c r="A1431" s="238"/>
      <c r="B1431" s="235"/>
      <c r="C1431" s="235"/>
      <c r="D1431" s="236"/>
      <c r="E1431" s="235"/>
      <c r="F1431" s="235"/>
      <c r="G1431" s="237"/>
      <c r="H1431" s="235"/>
      <c r="I1431" s="235"/>
      <c r="J1431" s="235"/>
      <c r="K1431" s="66"/>
      <c r="L1431" s="238"/>
      <c r="M1431" s="238"/>
    </row>
    <row r="1432" ht="12.75" customHeight="1">
      <c r="A1432" s="238"/>
      <c r="B1432" s="235"/>
      <c r="C1432" s="235"/>
      <c r="D1432" s="236"/>
      <c r="E1432" s="235"/>
      <c r="F1432" s="235"/>
      <c r="G1432" s="237"/>
      <c r="H1432" s="235"/>
      <c r="I1432" s="235"/>
      <c r="J1432" s="235"/>
      <c r="K1432" s="66"/>
      <c r="L1432" s="238"/>
      <c r="M1432" s="238"/>
    </row>
    <row r="1433" ht="12.75" customHeight="1">
      <c r="A1433" s="238"/>
      <c r="B1433" s="235"/>
      <c r="C1433" s="235"/>
      <c r="D1433" s="236"/>
      <c r="E1433" s="235"/>
      <c r="F1433" s="235"/>
      <c r="G1433" s="237"/>
      <c r="H1433" s="235"/>
      <c r="I1433" s="235"/>
      <c r="J1433" s="235"/>
      <c r="K1433" s="66"/>
      <c r="L1433" s="238"/>
      <c r="M1433" s="238"/>
    </row>
    <row r="1434" ht="12.75" customHeight="1">
      <c r="A1434" s="238"/>
      <c r="B1434" s="235"/>
      <c r="C1434" s="235"/>
      <c r="D1434" s="236"/>
      <c r="E1434" s="235"/>
      <c r="F1434" s="235"/>
      <c r="G1434" s="237"/>
      <c r="H1434" s="235"/>
      <c r="I1434" s="235"/>
      <c r="J1434" s="235"/>
      <c r="K1434" s="66"/>
      <c r="L1434" s="238"/>
      <c r="M1434" s="238"/>
    </row>
    <row r="1435" ht="12.75" customHeight="1">
      <c r="A1435" s="238"/>
      <c r="B1435" s="235"/>
      <c r="C1435" s="235"/>
      <c r="D1435" s="236"/>
      <c r="E1435" s="235"/>
      <c r="F1435" s="235"/>
      <c r="G1435" s="237"/>
      <c r="H1435" s="235"/>
      <c r="I1435" s="235"/>
      <c r="J1435" s="235"/>
      <c r="K1435" s="66"/>
      <c r="L1435" s="238"/>
      <c r="M1435" s="238"/>
    </row>
    <row r="1436" ht="12.75" customHeight="1">
      <c r="A1436" s="238"/>
      <c r="B1436" s="235"/>
      <c r="C1436" s="235"/>
      <c r="D1436" s="236"/>
      <c r="E1436" s="235"/>
      <c r="F1436" s="235"/>
      <c r="G1436" s="237"/>
      <c r="H1436" s="235"/>
      <c r="I1436" s="235"/>
      <c r="J1436" s="235"/>
      <c r="K1436" s="66"/>
      <c r="L1436" s="238"/>
      <c r="M1436" s="238"/>
    </row>
    <row r="1437" ht="12.75" customHeight="1">
      <c r="A1437" s="238"/>
      <c r="B1437" s="235"/>
      <c r="C1437" s="235"/>
      <c r="D1437" s="236"/>
      <c r="E1437" s="235"/>
      <c r="F1437" s="235"/>
      <c r="G1437" s="237"/>
      <c r="H1437" s="235"/>
      <c r="I1437" s="235"/>
      <c r="J1437" s="235"/>
      <c r="K1437" s="66"/>
      <c r="L1437" s="238"/>
      <c r="M1437" s="238"/>
    </row>
    <row r="1438" ht="12.75" customHeight="1">
      <c r="A1438" s="238"/>
      <c r="B1438" s="235"/>
      <c r="C1438" s="235"/>
      <c r="D1438" s="236"/>
      <c r="E1438" s="235"/>
      <c r="F1438" s="235"/>
      <c r="G1438" s="237"/>
      <c r="H1438" s="235"/>
      <c r="I1438" s="235"/>
      <c r="J1438" s="235"/>
      <c r="K1438" s="66"/>
      <c r="L1438" s="238"/>
      <c r="M1438" s="238"/>
    </row>
    <row r="1439" ht="12.75" customHeight="1">
      <c r="A1439" s="238"/>
      <c r="B1439" s="235"/>
      <c r="C1439" s="235"/>
      <c r="D1439" s="236"/>
      <c r="E1439" s="235"/>
      <c r="F1439" s="235"/>
      <c r="G1439" s="237"/>
      <c r="H1439" s="235"/>
      <c r="I1439" s="235"/>
      <c r="J1439" s="235"/>
      <c r="K1439" s="66"/>
      <c r="L1439" s="238"/>
      <c r="M1439" s="238"/>
    </row>
    <row r="1440" ht="12.75" customHeight="1">
      <c r="A1440" s="238"/>
      <c r="B1440" s="235"/>
      <c r="C1440" s="235"/>
      <c r="D1440" s="236"/>
      <c r="E1440" s="235"/>
      <c r="F1440" s="235"/>
      <c r="G1440" s="237"/>
      <c r="H1440" s="235"/>
      <c r="I1440" s="235"/>
      <c r="J1440" s="235"/>
      <c r="K1440" s="66"/>
      <c r="L1440" s="238"/>
      <c r="M1440" s="238"/>
    </row>
    <row r="1441" ht="12.75" customHeight="1">
      <c r="A1441" s="238"/>
      <c r="B1441" s="235"/>
      <c r="C1441" s="235"/>
      <c r="D1441" s="236"/>
      <c r="E1441" s="235"/>
      <c r="F1441" s="235"/>
      <c r="G1441" s="237"/>
      <c r="H1441" s="235"/>
      <c r="I1441" s="235"/>
      <c r="J1441" s="235"/>
      <c r="K1441" s="66"/>
      <c r="L1441" s="238"/>
      <c r="M1441" s="238"/>
    </row>
    <row r="1442" ht="12.75" customHeight="1">
      <c r="A1442" s="238"/>
      <c r="B1442" s="235"/>
      <c r="C1442" s="235"/>
      <c r="D1442" s="236"/>
      <c r="E1442" s="235"/>
      <c r="F1442" s="235"/>
      <c r="G1442" s="237"/>
      <c r="H1442" s="235"/>
      <c r="I1442" s="235"/>
      <c r="J1442" s="235"/>
      <c r="K1442" s="66"/>
      <c r="L1442" s="238"/>
      <c r="M1442" s="238"/>
    </row>
    <row r="1443" ht="12.75" customHeight="1">
      <c r="A1443" s="238"/>
      <c r="B1443" s="235"/>
      <c r="C1443" s="235"/>
      <c r="D1443" s="236"/>
      <c r="E1443" s="235"/>
      <c r="F1443" s="235"/>
      <c r="G1443" s="237"/>
      <c r="H1443" s="235"/>
      <c r="I1443" s="235"/>
      <c r="J1443" s="235"/>
      <c r="K1443" s="66"/>
      <c r="L1443" s="238"/>
      <c r="M1443" s="238"/>
    </row>
    <row r="1444" ht="12.75" customHeight="1">
      <c r="A1444" s="238"/>
      <c r="B1444" s="235"/>
      <c r="C1444" s="235"/>
      <c r="D1444" s="236"/>
      <c r="E1444" s="235"/>
      <c r="F1444" s="235"/>
      <c r="G1444" s="237"/>
      <c r="H1444" s="235"/>
      <c r="I1444" s="235"/>
      <c r="J1444" s="235"/>
      <c r="K1444" s="66"/>
      <c r="L1444" s="238"/>
      <c r="M1444" s="238"/>
    </row>
    <row r="1445" ht="12.75" customHeight="1">
      <c r="A1445" s="238"/>
      <c r="B1445" s="235"/>
      <c r="C1445" s="235"/>
      <c r="D1445" s="236"/>
      <c r="E1445" s="235"/>
      <c r="F1445" s="235"/>
      <c r="G1445" s="237"/>
      <c r="H1445" s="235"/>
      <c r="I1445" s="235"/>
      <c r="J1445" s="235"/>
      <c r="K1445" s="66"/>
      <c r="L1445" s="238"/>
      <c r="M1445" s="238"/>
    </row>
    <row r="1446" ht="12.75" customHeight="1">
      <c r="A1446" s="238"/>
      <c r="B1446" s="235"/>
      <c r="C1446" s="235"/>
      <c r="D1446" s="236"/>
      <c r="E1446" s="235"/>
      <c r="F1446" s="235"/>
      <c r="G1446" s="237"/>
      <c r="H1446" s="235"/>
      <c r="I1446" s="235"/>
      <c r="J1446" s="235"/>
      <c r="K1446" s="66"/>
      <c r="L1446" s="238"/>
      <c r="M1446" s="238"/>
    </row>
    <row r="1447" ht="12.75" customHeight="1">
      <c r="A1447" s="238"/>
      <c r="B1447" s="235"/>
      <c r="C1447" s="235"/>
      <c r="D1447" s="236"/>
      <c r="E1447" s="235"/>
      <c r="F1447" s="235"/>
      <c r="G1447" s="237"/>
      <c r="H1447" s="235"/>
      <c r="I1447" s="235"/>
      <c r="J1447" s="235"/>
      <c r="K1447" s="66"/>
      <c r="L1447" s="238"/>
      <c r="M1447" s="238"/>
    </row>
    <row r="1448" ht="12.75" customHeight="1">
      <c r="A1448" s="238"/>
      <c r="B1448" s="235"/>
      <c r="C1448" s="235"/>
      <c r="D1448" s="236"/>
      <c r="E1448" s="235"/>
      <c r="F1448" s="235"/>
      <c r="G1448" s="237"/>
      <c r="H1448" s="235"/>
      <c r="I1448" s="235"/>
      <c r="J1448" s="235"/>
      <c r="K1448" s="66"/>
      <c r="L1448" s="238"/>
      <c r="M1448" s="238"/>
    </row>
    <row r="1449" ht="12.75" customHeight="1">
      <c r="A1449" s="238"/>
      <c r="B1449" s="235"/>
      <c r="C1449" s="235"/>
      <c r="D1449" s="236"/>
      <c r="E1449" s="235"/>
      <c r="F1449" s="235"/>
      <c r="G1449" s="237"/>
      <c r="H1449" s="235"/>
      <c r="I1449" s="235"/>
      <c r="J1449" s="235"/>
      <c r="K1449" s="66"/>
      <c r="L1449" s="238"/>
      <c r="M1449" s="238"/>
    </row>
    <row r="1450" ht="12.75" customHeight="1">
      <c r="A1450" s="238"/>
      <c r="B1450" s="235"/>
      <c r="C1450" s="235"/>
      <c r="D1450" s="236"/>
      <c r="E1450" s="235"/>
      <c r="F1450" s="235"/>
      <c r="G1450" s="237"/>
      <c r="H1450" s="235"/>
      <c r="I1450" s="235"/>
      <c r="J1450" s="235"/>
      <c r="K1450" s="66"/>
      <c r="L1450" s="238"/>
      <c r="M1450" s="238"/>
    </row>
    <row r="1451" ht="12.75" customHeight="1">
      <c r="A1451" s="238"/>
      <c r="B1451" s="235"/>
      <c r="C1451" s="235"/>
      <c r="D1451" s="236"/>
      <c r="E1451" s="235"/>
      <c r="F1451" s="235"/>
      <c r="G1451" s="237"/>
      <c r="H1451" s="235"/>
      <c r="I1451" s="235"/>
      <c r="J1451" s="235"/>
      <c r="K1451" s="66"/>
      <c r="L1451" s="238"/>
      <c r="M1451" s="238"/>
    </row>
    <row r="1452" ht="12.75" customHeight="1">
      <c r="A1452" s="238"/>
      <c r="B1452" s="235"/>
      <c r="C1452" s="235"/>
      <c r="D1452" s="236"/>
      <c r="E1452" s="235"/>
      <c r="F1452" s="235"/>
      <c r="G1452" s="237"/>
      <c r="H1452" s="235"/>
      <c r="I1452" s="235"/>
      <c r="J1452" s="235"/>
      <c r="K1452" s="66"/>
      <c r="L1452" s="238"/>
      <c r="M1452" s="238"/>
    </row>
    <row r="1453" ht="12.75" customHeight="1">
      <c r="A1453" s="238"/>
      <c r="B1453" s="235"/>
      <c r="C1453" s="235"/>
      <c r="D1453" s="236"/>
      <c r="E1453" s="235"/>
      <c r="F1453" s="235"/>
      <c r="G1453" s="237"/>
      <c r="H1453" s="235"/>
      <c r="I1453" s="235"/>
      <c r="J1453" s="235"/>
      <c r="K1453" s="66"/>
      <c r="L1453" s="238"/>
      <c r="M1453" s="238"/>
    </row>
    <row r="1454" ht="12.75" customHeight="1">
      <c r="A1454" s="238"/>
      <c r="B1454" s="235"/>
      <c r="C1454" s="235"/>
      <c r="D1454" s="236"/>
      <c r="E1454" s="235"/>
      <c r="F1454" s="235"/>
      <c r="G1454" s="237"/>
      <c r="H1454" s="235"/>
      <c r="I1454" s="235"/>
      <c r="J1454" s="235"/>
      <c r="K1454" s="66"/>
      <c r="L1454" s="238"/>
      <c r="M1454" s="238"/>
    </row>
    <row r="1455" ht="12.75" customHeight="1">
      <c r="A1455" s="238"/>
      <c r="B1455" s="235"/>
      <c r="C1455" s="235"/>
      <c r="D1455" s="236"/>
      <c r="E1455" s="235"/>
      <c r="F1455" s="235"/>
      <c r="G1455" s="237"/>
      <c r="H1455" s="235"/>
      <c r="I1455" s="235"/>
      <c r="J1455" s="235"/>
      <c r="K1455" s="66"/>
      <c r="L1455" s="238"/>
      <c r="M1455" s="238"/>
    </row>
    <row r="1456" ht="12.75" customHeight="1">
      <c r="A1456" s="238"/>
      <c r="B1456" s="235"/>
      <c r="C1456" s="235"/>
      <c r="D1456" s="236"/>
      <c r="E1456" s="235"/>
      <c r="F1456" s="235"/>
      <c r="G1456" s="237"/>
      <c r="H1456" s="235"/>
      <c r="I1456" s="235"/>
      <c r="J1456" s="235"/>
      <c r="K1456" s="66"/>
      <c r="L1456" s="238"/>
      <c r="M1456" s="238"/>
    </row>
    <row r="1457" ht="12.75" customHeight="1">
      <c r="A1457" s="238"/>
      <c r="B1457" s="235"/>
      <c r="C1457" s="235"/>
      <c r="D1457" s="236"/>
      <c r="E1457" s="235"/>
      <c r="F1457" s="235"/>
      <c r="G1457" s="237"/>
      <c r="H1457" s="235"/>
      <c r="I1457" s="235"/>
      <c r="J1457" s="235"/>
      <c r="K1457" s="66"/>
      <c r="L1457" s="238"/>
      <c r="M1457" s="238"/>
    </row>
    <row r="1458" ht="12.75" customHeight="1">
      <c r="A1458" s="238"/>
      <c r="B1458" s="235"/>
      <c r="C1458" s="235"/>
      <c r="D1458" s="236"/>
      <c r="E1458" s="235"/>
      <c r="F1458" s="235"/>
      <c r="G1458" s="237"/>
      <c r="H1458" s="235"/>
      <c r="I1458" s="235"/>
      <c r="J1458" s="235"/>
      <c r="K1458" s="66"/>
      <c r="L1458" s="238"/>
      <c r="M1458" s="238"/>
    </row>
    <row r="1459" ht="12.75" customHeight="1">
      <c r="A1459" s="238"/>
      <c r="B1459" s="235"/>
      <c r="C1459" s="235"/>
      <c r="D1459" s="236"/>
      <c r="E1459" s="235"/>
      <c r="F1459" s="235"/>
      <c r="G1459" s="237"/>
      <c r="H1459" s="235"/>
      <c r="I1459" s="235"/>
      <c r="J1459" s="235"/>
      <c r="K1459" s="66"/>
      <c r="L1459" s="238"/>
      <c r="M1459" s="238"/>
    </row>
    <row r="1460" ht="12.75" customHeight="1">
      <c r="A1460" s="238"/>
      <c r="B1460" s="235"/>
      <c r="C1460" s="235"/>
      <c r="D1460" s="236"/>
      <c r="E1460" s="235"/>
      <c r="F1460" s="235"/>
      <c r="G1460" s="237"/>
      <c r="H1460" s="235"/>
      <c r="I1460" s="235"/>
      <c r="J1460" s="235"/>
      <c r="K1460" s="66"/>
      <c r="L1460" s="238"/>
      <c r="M1460" s="238"/>
    </row>
    <row r="1461" ht="12.75" customHeight="1">
      <c r="A1461" s="238"/>
      <c r="B1461" s="235"/>
      <c r="C1461" s="235"/>
      <c r="D1461" s="236"/>
      <c r="E1461" s="235"/>
      <c r="F1461" s="235"/>
      <c r="G1461" s="237"/>
      <c r="H1461" s="235"/>
      <c r="I1461" s="235"/>
      <c r="J1461" s="235"/>
      <c r="K1461" s="66"/>
      <c r="L1461" s="238"/>
      <c r="M1461" s="238"/>
    </row>
    <row r="1462" ht="12.75" customHeight="1">
      <c r="A1462" s="238"/>
      <c r="B1462" s="235"/>
      <c r="C1462" s="235"/>
      <c r="D1462" s="236"/>
      <c r="E1462" s="235"/>
      <c r="F1462" s="235"/>
      <c r="G1462" s="237"/>
      <c r="H1462" s="235"/>
      <c r="I1462" s="235"/>
      <c r="J1462" s="235"/>
      <c r="K1462" s="66"/>
      <c r="L1462" s="238"/>
      <c r="M1462" s="238"/>
    </row>
    <row r="1463" ht="12.75" customHeight="1">
      <c r="A1463" s="238"/>
      <c r="B1463" s="235"/>
      <c r="C1463" s="235"/>
      <c r="D1463" s="236"/>
      <c r="E1463" s="235"/>
      <c r="F1463" s="235"/>
      <c r="G1463" s="237"/>
      <c r="H1463" s="235"/>
      <c r="I1463" s="235"/>
      <c r="J1463" s="235"/>
      <c r="K1463" s="66"/>
      <c r="L1463" s="238"/>
      <c r="M1463" s="238"/>
    </row>
    <row r="1464" ht="12.75" customHeight="1">
      <c r="A1464" s="238"/>
      <c r="B1464" s="235"/>
      <c r="C1464" s="235"/>
      <c r="D1464" s="236"/>
      <c r="E1464" s="235"/>
      <c r="F1464" s="235"/>
      <c r="G1464" s="237"/>
      <c r="H1464" s="235"/>
      <c r="I1464" s="235"/>
      <c r="J1464" s="235"/>
      <c r="K1464" s="66"/>
      <c r="L1464" s="238"/>
      <c r="M1464" s="238"/>
    </row>
    <row r="1465" ht="12.75" customHeight="1">
      <c r="A1465" s="238"/>
      <c r="B1465" s="235"/>
      <c r="C1465" s="235"/>
      <c r="D1465" s="236"/>
      <c r="E1465" s="235"/>
      <c r="F1465" s="235"/>
      <c r="G1465" s="237"/>
      <c r="H1465" s="235"/>
      <c r="I1465" s="235"/>
      <c r="J1465" s="235"/>
      <c r="K1465" s="66"/>
      <c r="L1465" s="238"/>
      <c r="M1465" s="238"/>
    </row>
    <row r="1466" ht="12.75" customHeight="1">
      <c r="A1466" s="238"/>
      <c r="B1466" s="235"/>
      <c r="C1466" s="235"/>
      <c r="D1466" s="236"/>
      <c r="E1466" s="235"/>
      <c r="F1466" s="235"/>
      <c r="G1466" s="237"/>
      <c r="H1466" s="235"/>
      <c r="I1466" s="235"/>
      <c r="J1466" s="235"/>
      <c r="K1466" s="66"/>
      <c r="L1466" s="238"/>
      <c r="M1466" s="238"/>
    </row>
    <row r="1467" ht="12.75" customHeight="1">
      <c r="A1467" s="238"/>
      <c r="B1467" s="235"/>
      <c r="C1467" s="235"/>
      <c r="D1467" s="236"/>
      <c r="E1467" s="235"/>
      <c r="F1467" s="235"/>
      <c r="G1467" s="237"/>
      <c r="H1467" s="235"/>
      <c r="I1467" s="235"/>
      <c r="J1467" s="235"/>
      <c r="K1467" s="66"/>
      <c r="L1467" s="238"/>
      <c r="M1467" s="238"/>
    </row>
    <row r="1468" ht="12.75" customHeight="1">
      <c r="A1468" s="238"/>
      <c r="B1468" s="235"/>
      <c r="C1468" s="235"/>
      <c r="D1468" s="236"/>
      <c r="E1468" s="235"/>
      <c r="F1468" s="235"/>
      <c r="G1468" s="237"/>
      <c r="H1468" s="235"/>
      <c r="I1468" s="235"/>
      <c r="J1468" s="235"/>
      <c r="K1468" s="66"/>
      <c r="L1468" s="238"/>
      <c r="M1468" s="238"/>
    </row>
    <row r="1469" ht="12.75" customHeight="1">
      <c r="A1469" s="238"/>
      <c r="B1469" s="235"/>
      <c r="C1469" s="235"/>
      <c r="D1469" s="236"/>
      <c r="E1469" s="235"/>
      <c r="F1469" s="235"/>
      <c r="G1469" s="237"/>
      <c r="H1469" s="235"/>
      <c r="I1469" s="235"/>
      <c r="J1469" s="235"/>
      <c r="K1469" s="66"/>
      <c r="L1469" s="238"/>
      <c r="M1469" s="238"/>
    </row>
    <row r="1470" ht="12.75" customHeight="1">
      <c r="A1470" s="238"/>
      <c r="B1470" s="235"/>
      <c r="C1470" s="235"/>
      <c r="D1470" s="236"/>
      <c r="E1470" s="235"/>
      <c r="F1470" s="235"/>
      <c r="G1470" s="237"/>
      <c r="H1470" s="235"/>
      <c r="I1470" s="235"/>
      <c r="J1470" s="235"/>
      <c r="K1470" s="66"/>
      <c r="L1470" s="238"/>
      <c r="M1470" s="238"/>
    </row>
    <row r="1471" ht="12.75" customHeight="1">
      <c r="A1471" s="238"/>
      <c r="B1471" s="235"/>
      <c r="C1471" s="235"/>
      <c r="D1471" s="236"/>
      <c r="E1471" s="235"/>
      <c r="F1471" s="235"/>
      <c r="G1471" s="237"/>
      <c r="H1471" s="235"/>
      <c r="I1471" s="235"/>
      <c r="J1471" s="235"/>
      <c r="K1471" s="66"/>
      <c r="L1471" s="238"/>
      <c r="M1471" s="238"/>
    </row>
    <row r="1472" ht="12.75" customHeight="1">
      <c r="A1472" s="238"/>
      <c r="B1472" s="235"/>
      <c r="C1472" s="235"/>
      <c r="D1472" s="236"/>
      <c r="E1472" s="235"/>
      <c r="F1472" s="235"/>
      <c r="G1472" s="237"/>
      <c r="H1472" s="235"/>
      <c r="I1472" s="235"/>
      <c r="J1472" s="235"/>
      <c r="K1472" s="66"/>
      <c r="L1472" s="238"/>
      <c r="M1472" s="238"/>
    </row>
    <row r="1473" ht="12.75" customHeight="1">
      <c r="A1473" s="238"/>
      <c r="B1473" s="235"/>
      <c r="C1473" s="235"/>
      <c r="D1473" s="236"/>
      <c r="E1473" s="235"/>
      <c r="F1473" s="235"/>
      <c r="G1473" s="237"/>
      <c r="H1473" s="235"/>
      <c r="I1473" s="235"/>
      <c r="J1473" s="235"/>
      <c r="K1473" s="66"/>
      <c r="L1473" s="238"/>
      <c r="M1473" s="238"/>
    </row>
    <row r="1474" ht="12.75" customHeight="1">
      <c r="A1474" s="238"/>
      <c r="B1474" s="235"/>
      <c r="C1474" s="235"/>
      <c r="D1474" s="236"/>
      <c r="E1474" s="235"/>
      <c r="F1474" s="235"/>
      <c r="G1474" s="237"/>
      <c r="H1474" s="235"/>
      <c r="I1474" s="235"/>
      <c r="J1474" s="235"/>
      <c r="K1474" s="66"/>
      <c r="L1474" s="238"/>
      <c r="M1474" s="238"/>
    </row>
    <row r="1475" ht="12.75" customHeight="1">
      <c r="A1475" s="238"/>
      <c r="B1475" s="235"/>
      <c r="C1475" s="235"/>
      <c r="D1475" s="236"/>
      <c r="E1475" s="235"/>
      <c r="F1475" s="235"/>
      <c r="G1475" s="237"/>
      <c r="H1475" s="235"/>
      <c r="I1475" s="235"/>
      <c r="J1475" s="235"/>
      <c r="K1475" s="66"/>
      <c r="L1475" s="238"/>
      <c r="M1475" s="238"/>
    </row>
    <row r="1476" ht="12.75" customHeight="1">
      <c r="A1476" s="238"/>
      <c r="B1476" s="235"/>
      <c r="C1476" s="235"/>
      <c r="D1476" s="236"/>
      <c r="E1476" s="235"/>
      <c r="F1476" s="235"/>
      <c r="G1476" s="237"/>
      <c r="H1476" s="235"/>
      <c r="I1476" s="235"/>
      <c r="J1476" s="235"/>
      <c r="K1476" s="66"/>
      <c r="L1476" s="238"/>
      <c r="M1476" s="238"/>
    </row>
    <row r="1477" ht="12.75" customHeight="1">
      <c r="A1477" s="238"/>
      <c r="B1477" s="235"/>
      <c r="C1477" s="235"/>
      <c r="D1477" s="236"/>
      <c r="E1477" s="235"/>
      <c r="F1477" s="235"/>
      <c r="G1477" s="237"/>
      <c r="H1477" s="235"/>
      <c r="I1477" s="235"/>
      <c r="J1477" s="235"/>
      <c r="K1477" s="66"/>
      <c r="L1477" s="238"/>
      <c r="M1477" s="238"/>
    </row>
    <row r="1478" ht="12.75" customHeight="1">
      <c r="A1478" s="238"/>
      <c r="B1478" s="235"/>
      <c r="C1478" s="235"/>
      <c r="D1478" s="236"/>
      <c r="E1478" s="235"/>
      <c r="F1478" s="235"/>
      <c r="G1478" s="237"/>
      <c r="H1478" s="235"/>
      <c r="I1478" s="235"/>
      <c r="J1478" s="235"/>
      <c r="K1478" s="66"/>
      <c r="L1478" s="238"/>
      <c r="M1478" s="238"/>
    </row>
    <row r="1479" ht="12.75" customHeight="1">
      <c r="A1479" s="238"/>
      <c r="B1479" s="235"/>
      <c r="C1479" s="235"/>
      <c r="D1479" s="236"/>
      <c r="E1479" s="235"/>
      <c r="F1479" s="235"/>
      <c r="G1479" s="237"/>
      <c r="H1479" s="235"/>
      <c r="I1479" s="235"/>
      <c r="J1479" s="235"/>
      <c r="K1479" s="66"/>
      <c r="L1479" s="238"/>
      <c r="M1479" s="238"/>
    </row>
    <row r="1480" ht="12.75" customHeight="1">
      <c r="A1480" s="238"/>
      <c r="B1480" s="235"/>
      <c r="C1480" s="235"/>
      <c r="D1480" s="236"/>
      <c r="E1480" s="235"/>
      <c r="F1480" s="235"/>
      <c r="G1480" s="237"/>
      <c r="H1480" s="235"/>
      <c r="I1480" s="235"/>
      <c r="J1480" s="235"/>
      <c r="K1480" s="66"/>
      <c r="L1480" s="238"/>
      <c r="M1480" s="238"/>
    </row>
    <row r="1481" ht="12.75" customHeight="1">
      <c r="A1481" s="238"/>
      <c r="B1481" s="235"/>
      <c r="C1481" s="235"/>
      <c r="D1481" s="236"/>
      <c r="E1481" s="235"/>
      <c r="F1481" s="235"/>
      <c r="G1481" s="237"/>
      <c r="H1481" s="235"/>
      <c r="I1481" s="235"/>
      <c r="J1481" s="235"/>
      <c r="K1481" s="66"/>
      <c r="L1481" s="238"/>
      <c r="M1481" s="238"/>
    </row>
    <row r="1482" ht="12.75" customHeight="1">
      <c r="A1482" s="238"/>
      <c r="B1482" s="235"/>
      <c r="C1482" s="235"/>
      <c r="D1482" s="236"/>
      <c r="E1482" s="235"/>
      <c r="F1482" s="235"/>
      <c r="G1482" s="237"/>
      <c r="H1482" s="235"/>
      <c r="I1482" s="235"/>
      <c r="J1482" s="235"/>
      <c r="K1482" s="66"/>
      <c r="L1482" s="238"/>
      <c r="M1482" s="238"/>
    </row>
    <row r="1483" ht="12.75" customHeight="1">
      <c r="A1483" s="238"/>
      <c r="B1483" s="235"/>
      <c r="C1483" s="235"/>
      <c r="D1483" s="236"/>
      <c r="E1483" s="235"/>
      <c r="F1483" s="235"/>
      <c r="G1483" s="237"/>
      <c r="H1483" s="235"/>
      <c r="I1483" s="235"/>
      <c r="J1483" s="235"/>
      <c r="K1483" s="66"/>
      <c r="L1483" s="238"/>
      <c r="M1483" s="238"/>
    </row>
    <row r="1484" ht="12.75" customHeight="1">
      <c r="A1484" s="238"/>
      <c r="B1484" s="235"/>
      <c r="C1484" s="235"/>
      <c r="D1484" s="236"/>
      <c r="E1484" s="235"/>
      <c r="F1484" s="235"/>
      <c r="G1484" s="237"/>
      <c r="H1484" s="235"/>
      <c r="I1484" s="235"/>
      <c r="J1484" s="235"/>
      <c r="K1484" s="66"/>
      <c r="L1484" s="238"/>
      <c r="M1484" s="238"/>
    </row>
    <row r="1485" ht="12.75" customHeight="1">
      <c r="A1485" s="238"/>
      <c r="B1485" s="235"/>
      <c r="C1485" s="235"/>
      <c r="D1485" s="236"/>
      <c r="E1485" s="235"/>
      <c r="F1485" s="235"/>
      <c r="G1485" s="237"/>
      <c r="H1485" s="235"/>
      <c r="I1485" s="235"/>
      <c r="J1485" s="235"/>
      <c r="K1485" s="66"/>
      <c r="L1485" s="238"/>
      <c r="M1485" s="238"/>
    </row>
    <row r="1486" ht="12.75" customHeight="1">
      <c r="A1486" s="238"/>
      <c r="B1486" s="235"/>
      <c r="C1486" s="235"/>
      <c r="D1486" s="236"/>
      <c r="E1486" s="235"/>
      <c r="F1486" s="235"/>
      <c r="G1486" s="237"/>
      <c r="H1486" s="235"/>
      <c r="I1486" s="235"/>
      <c r="J1486" s="235"/>
      <c r="K1486" s="66"/>
      <c r="L1486" s="238"/>
      <c r="M1486" s="238"/>
    </row>
  </sheetData>
  <mergeCells count="36">
    <mergeCell ref="I4:I5"/>
    <mergeCell ref="J4:J5"/>
    <mergeCell ref="K4:K5"/>
    <mergeCell ref="L4:L5"/>
    <mergeCell ref="M4:M5"/>
    <mergeCell ref="B4:B5"/>
    <mergeCell ref="C4:C5"/>
    <mergeCell ref="D4:D5"/>
    <mergeCell ref="E4:E5"/>
    <mergeCell ref="F4:F5"/>
    <mergeCell ref="G4:G5"/>
    <mergeCell ref="H4:H5"/>
    <mergeCell ref="I55:I56"/>
    <mergeCell ref="J55:J56"/>
    <mergeCell ref="K55:K56"/>
    <mergeCell ref="L55:L56"/>
    <mergeCell ref="M55:M56"/>
    <mergeCell ref="B55:B56"/>
    <mergeCell ref="C55:C56"/>
    <mergeCell ref="D55:D56"/>
    <mergeCell ref="E55:E56"/>
    <mergeCell ref="F55:F56"/>
    <mergeCell ref="G55:G56"/>
    <mergeCell ref="H55:H56"/>
    <mergeCell ref="I106:I107"/>
    <mergeCell ref="J106:J107"/>
    <mergeCell ref="K106:K107"/>
    <mergeCell ref="L106:L107"/>
    <mergeCell ref="M106:M107"/>
    <mergeCell ref="B106:B107"/>
    <mergeCell ref="C106:C107"/>
    <mergeCell ref="D106:D107"/>
    <mergeCell ref="E106:E107"/>
    <mergeCell ref="F106:F107"/>
    <mergeCell ref="G106:G107"/>
    <mergeCell ref="H106:H107"/>
  </mergeCells>
  <conditionalFormatting sqref="K14:K17 L17:M17 K26:K29 K38:K41 K50:K52 K65:K68 K77:K80 K89:K92 K101:K103 K116:K119 K128:K131 K140:K143 K152:K154">
    <cfRule type="cellIs" dxfId="3" priority="1" operator="lessThan">
      <formula>0</formula>
    </cfRule>
  </conditionalFormatting>
  <conditionalFormatting sqref="E27:H28 B28:C28 E39:H40 B40:C40 E51:H52 B52:C52 E66:H67 B67:C67 E78:H79 B79:C79 E90:H91 B91:C91 E102:H103 B103:C103 E117:H118 B118:C118 E129:H130 B130:C130 E141:H142 B142:C142 E153:H154 B154:C154">
    <cfRule type="expression" dxfId="4" priority="2">
      <formula>indirect("Assumptions!C4")="Yes"</formula>
    </cfRule>
  </conditionalFormatting>
  <conditionalFormatting sqref="E27:H28 B28:C28 E39:H40 B40:C40 E51:H52 B52:C52 E66:H67 B67:C67 E78:H79 B79:C79 E90:H91 B91:C91 E102:H103 B103:C103 E117:H118 B118:C118 E129:H130 B130:C130 E141:H142 B142:C142 E153:H154 B154:C154">
    <cfRule type="expression" dxfId="5" priority="3">
      <formula>indirect("Assumptions!C4")="No"</formula>
    </cfRule>
  </conditionalFormatting>
  <conditionalFormatting sqref="M7:M16 M19:M28 M31:M40 M43:M52 M58:M67 M70:M79 M82:M91 M94:M103 M109:M118 M121:M130 M133:M142 M145:M154">
    <cfRule type="cellIs" dxfId="6" priority="4" operator="lessThan">
      <formula>0</formula>
    </cfRule>
  </conditionalFormatting>
  <printOptions/>
  <pageMargins bottom="1.0" footer="0.0" header="0.0" left="0.75" right="0.75" top="1.0"/>
  <pageSetup orientation="landscape"/>
  <headerFooter>
    <oddFooter>&amp;L&amp;F&amp;R&amp;A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1.88"/>
    <col customWidth="1" min="2" max="2" width="51.25"/>
    <col customWidth="1" min="3" max="3" width="16.0"/>
    <col customWidth="1" min="4" max="4" width="26.63"/>
    <col customWidth="1" min="5" max="5" width="14.5"/>
    <col customWidth="1" min="6" max="6" width="11.0"/>
    <col customWidth="1" min="7" max="8" width="15.5"/>
    <col customWidth="1" min="9" max="9" width="20.13"/>
    <col customWidth="1" min="10" max="10" width="13.5"/>
    <col customWidth="1" min="11" max="11" width="15.88"/>
    <col customWidth="1" min="12" max="13" width="15.5"/>
  </cols>
  <sheetData>
    <row r="1" ht="12.75" customHeight="1">
      <c r="A1" s="315" t="s">
        <v>1242</v>
      </c>
      <c r="C1" s="235"/>
      <c r="D1" s="236"/>
      <c r="E1" s="235"/>
      <c r="F1" s="235"/>
      <c r="G1" s="237"/>
      <c r="H1" s="235"/>
      <c r="I1" s="235"/>
      <c r="J1" s="235"/>
      <c r="K1" s="66"/>
      <c r="L1" s="238"/>
      <c r="M1" s="238"/>
    </row>
    <row r="2" ht="12.75" customHeight="1">
      <c r="A2" s="238"/>
      <c r="B2" s="235"/>
      <c r="C2" s="235"/>
      <c r="D2" s="236"/>
      <c r="E2" s="235"/>
      <c r="F2" s="237"/>
      <c r="G2" s="235"/>
      <c r="H2" s="342"/>
      <c r="I2" s="235"/>
      <c r="J2" s="66"/>
      <c r="K2" s="238"/>
      <c r="L2" s="238"/>
    </row>
    <row r="3" ht="12.75" customHeight="1">
      <c r="A3" s="238"/>
      <c r="B3" s="235"/>
      <c r="C3" s="235"/>
      <c r="D3" s="236"/>
      <c r="E3" s="235"/>
      <c r="F3" s="235"/>
      <c r="G3" s="237"/>
      <c r="H3" s="235"/>
      <c r="I3" s="235"/>
      <c r="J3" s="235"/>
      <c r="K3" s="66"/>
      <c r="L3" s="238"/>
      <c r="M3" s="238"/>
    </row>
    <row r="4" ht="12.75" customHeight="1">
      <c r="A4" s="238"/>
      <c r="B4" s="239" t="s">
        <v>1243</v>
      </c>
      <c r="C4" s="240" t="s">
        <v>1224</v>
      </c>
      <c r="D4" s="240" t="s">
        <v>1225</v>
      </c>
      <c r="E4" s="240" t="s">
        <v>1226</v>
      </c>
      <c r="F4" s="240" t="s">
        <v>1227</v>
      </c>
      <c r="G4" s="240" t="s">
        <v>1228</v>
      </c>
      <c r="H4" s="240" t="s">
        <v>1229</v>
      </c>
      <c r="I4" s="240" t="s">
        <v>1230</v>
      </c>
      <c r="J4" s="240" t="s">
        <v>1231</v>
      </c>
      <c r="K4" s="240" t="s">
        <v>96</v>
      </c>
      <c r="L4" s="318" t="s">
        <v>1238</v>
      </c>
      <c r="M4" s="343" t="s">
        <v>1239</v>
      </c>
    </row>
    <row r="5" ht="22.5" customHeight="1">
      <c r="A5" s="238"/>
      <c r="B5" s="242"/>
      <c r="C5" s="243"/>
      <c r="D5" s="243"/>
      <c r="E5" s="243"/>
      <c r="F5" s="243"/>
      <c r="G5" s="243"/>
      <c r="H5" s="243"/>
      <c r="I5" s="243"/>
      <c r="J5" s="243"/>
      <c r="K5" s="243"/>
      <c r="L5" s="319"/>
      <c r="M5" s="244"/>
    </row>
    <row r="6" ht="21.75" customHeight="1">
      <c r="A6" s="245" t="s">
        <v>1232</v>
      </c>
      <c r="B6" s="344" t="s">
        <v>1233</v>
      </c>
      <c r="C6" s="345"/>
      <c r="D6" s="346"/>
      <c r="E6" s="345"/>
      <c r="F6" s="345"/>
      <c r="G6" s="345"/>
      <c r="H6" s="345"/>
      <c r="I6" s="347"/>
      <c r="J6" s="348"/>
      <c r="K6" s="348"/>
      <c r="L6" s="349"/>
      <c r="M6" s="350"/>
    </row>
    <row r="7" ht="12.75" customHeight="1">
      <c r="A7" s="238"/>
      <c r="B7" s="252"/>
      <c r="C7" s="253"/>
      <c r="D7" s="254"/>
      <c r="E7" s="255"/>
      <c r="F7" s="255"/>
      <c r="G7" s="255"/>
      <c r="H7" s="255"/>
      <c r="I7" s="256"/>
      <c r="J7" s="257"/>
      <c r="K7" s="257"/>
      <c r="L7" s="257"/>
      <c r="M7" s="322"/>
    </row>
    <row r="8" ht="12.75" customHeight="1">
      <c r="A8" s="238"/>
      <c r="B8" s="252"/>
      <c r="C8" s="253"/>
      <c r="D8" s="254"/>
      <c r="E8" s="255"/>
      <c r="F8" s="255"/>
      <c r="G8" s="255"/>
      <c r="H8" s="255"/>
      <c r="I8" s="256"/>
      <c r="J8" s="257"/>
      <c r="K8" s="257"/>
      <c r="L8" s="257"/>
      <c r="M8" s="322"/>
    </row>
    <row r="9" ht="12.75" customHeight="1">
      <c r="A9" s="238"/>
      <c r="B9" s="252"/>
      <c r="C9" s="253"/>
      <c r="D9" s="254"/>
      <c r="E9" s="255"/>
      <c r="F9" s="255"/>
      <c r="G9" s="255"/>
      <c r="H9" s="255"/>
      <c r="I9" s="256"/>
      <c r="J9" s="257"/>
      <c r="K9" s="257"/>
      <c r="L9" s="257"/>
      <c r="M9" s="322"/>
    </row>
    <row r="10" ht="12.75" customHeight="1">
      <c r="A10" s="238"/>
      <c r="B10" s="252"/>
      <c r="C10" s="253"/>
      <c r="D10" s="254"/>
      <c r="E10" s="255"/>
      <c r="F10" s="255"/>
      <c r="G10" s="255"/>
      <c r="H10" s="255"/>
      <c r="I10" s="256"/>
      <c r="J10" s="257"/>
      <c r="K10" s="257"/>
      <c r="L10" s="257"/>
      <c r="M10" s="322"/>
    </row>
    <row r="11" ht="12.75" customHeight="1">
      <c r="A11" s="238"/>
      <c r="B11" s="252"/>
      <c r="C11" s="253"/>
      <c r="D11" s="254"/>
      <c r="E11" s="255"/>
      <c r="F11" s="255"/>
      <c r="G11" s="255"/>
      <c r="H11" s="255"/>
      <c r="I11" s="256"/>
      <c r="J11" s="257"/>
      <c r="K11" s="257"/>
      <c r="L11" s="257"/>
      <c r="M11" s="322"/>
    </row>
    <row r="12" ht="12.75" customHeight="1">
      <c r="A12" s="238"/>
      <c r="B12" s="252"/>
      <c r="C12" s="253"/>
      <c r="D12" s="254"/>
      <c r="E12" s="255"/>
      <c r="F12" s="255"/>
      <c r="G12" s="255"/>
      <c r="H12" s="255"/>
      <c r="I12" s="256"/>
      <c r="J12" s="257"/>
      <c r="K12" s="257"/>
      <c r="L12" s="257"/>
      <c r="M12" s="322"/>
    </row>
    <row r="13" ht="12.75" customHeight="1">
      <c r="A13" s="238"/>
      <c r="B13" s="252"/>
      <c r="C13" s="253"/>
      <c r="D13" s="254"/>
      <c r="E13" s="255"/>
      <c r="F13" s="255"/>
      <c r="G13" s="255"/>
      <c r="H13" s="255"/>
      <c r="I13" s="256"/>
      <c r="J13" s="257"/>
      <c r="K13" s="257"/>
      <c r="L13" s="257"/>
      <c r="M13" s="322"/>
    </row>
    <row r="14" ht="12.75" customHeight="1">
      <c r="A14" s="238"/>
      <c r="B14" s="259"/>
      <c r="C14" s="260"/>
      <c r="D14" s="261"/>
      <c r="E14" s="262"/>
      <c r="F14" s="262"/>
      <c r="G14" s="262"/>
      <c r="H14" s="262"/>
      <c r="I14" s="263"/>
      <c r="J14" s="264"/>
      <c r="K14" s="264"/>
      <c r="L14" s="264"/>
      <c r="M14" s="323"/>
    </row>
    <row r="15" ht="12.75" customHeight="1">
      <c r="A15" s="238"/>
      <c r="B15" s="266"/>
      <c r="C15" s="267"/>
      <c r="D15" s="268"/>
      <c r="E15" s="269"/>
      <c r="F15" s="269"/>
      <c r="G15" s="269"/>
      <c r="H15" s="269"/>
      <c r="I15" s="270"/>
      <c r="J15" s="271" t="s">
        <v>1221</v>
      </c>
      <c r="K15" s="324">
        <f>SUM(K7:K14)</f>
        <v>0</v>
      </c>
      <c r="L15" s="325"/>
      <c r="M15" s="272">
        <f>SUM(M7:M14)</f>
        <v>0</v>
      </c>
    </row>
    <row r="16" ht="12.75" customHeight="1">
      <c r="A16" s="238"/>
      <c r="B16" s="351"/>
      <c r="C16" s="352"/>
      <c r="D16" s="353"/>
      <c r="E16" s="354"/>
      <c r="F16" s="354"/>
      <c r="G16" s="355"/>
      <c r="H16" s="355"/>
      <c r="I16" s="356"/>
      <c r="J16" s="356"/>
      <c r="K16" s="357"/>
      <c r="L16" s="358"/>
      <c r="M16" s="359"/>
    </row>
    <row r="17" ht="9.0" customHeight="1">
      <c r="A17" s="245"/>
      <c r="B17" s="280"/>
      <c r="C17" s="281"/>
      <c r="D17" s="281"/>
      <c r="E17" s="281"/>
      <c r="F17" s="281"/>
      <c r="G17" s="282"/>
      <c r="H17" s="282"/>
      <c r="I17" s="283"/>
      <c r="J17" s="284"/>
      <c r="K17" s="284"/>
      <c r="L17" s="284"/>
      <c r="M17" s="285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</row>
    <row r="18" ht="21.75" customHeight="1">
      <c r="A18" s="245" t="s">
        <v>1232</v>
      </c>
      <c r="B18" s="344" t="s">
        <v>1233</v>
      </c>
      <c r="C18" s="345"/>
      <c r="D18" s="346"/>
      <c r="E18" s="345"/>
      <c r="F18" s="345"/>
      <c r="G18" s="345"/>
      <c r="H18" s="345"/>
      <c r="I18" s="347"/>
      <c r="J18" s="348"/>
      <c r="K18" s="348"/>
      <c r="L18" s="349"/>
      <c r="M18" s="350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</row>
    <row r="19" ht="12.75" customHeight="1">
      <c r="A19" s="238"/>
      <c r="B19" s="252"/>
      <c r="C19" s="253"/>
      <c r="D19" s="254"/>
      <c r="E19" s="255"/>
      <c r="F19" s="255"/>
      <c r="G19" s="255"/>
      <c r="H19" s="255"/>
      <c r="I19" s="256"/>
      <c r="J19" s="257"/>
      <c r="K19" s="257"/>
      <c r="L19" s="257"/>
      <c r="M19" s="322"/>
    </row>
    <row r="20" ht="12.75" customHeight="1">
      <c r="A20" s="238"/>
      <c r="B20" s="252"/>
      <c r="C20" s="253"/>
      <c r="D20" s="254"/>
      <c r="E20" s="255"/>
      <c r="F20" s="255"/>
      <c r="G20" s="255"/>
      <c r="H20" s="255"/>
      <c r="I20" s="256"/>
      <c r="J20" s="257"/>
      <c r="K20" s="257"/>
      <c r="L20" s="257"/>
      <c r="M20" s="322"/>
    </row>
    <row r="21" ht="12.75" customHeight="1">
      <c r="A21" s="238"/>
      <c r="B21" s="252"/>
      <c r="C21" s="253"/>
      <c r="D21" s="254"/>
      <c r="E21" s="255"/>
      <c r="F21" s="255"/>
      <c r="G21" s="255"/>
      <c r="H21" s="255"/>
      <c r="I21" s="256"/>
      <c r="J21" s="257"/>
      <c r="K21" s="257"/>
      <c r="L21" s="257"/>
      <c r="M21" s="322"/>
    </row>
    <row r="22" ht="12.75" customHeight="1">
      <c r="A22" s="238"/>
      <c r="B22" s="252"/>
      <c r="C22" s="253"/>
      <c r="D22" s="254"/>
      <c r="E22" s="255"/>
      <c r="F22" s="255"/>
      <c r="G22" s="255"/>
      <c r="H22" s="255"/>
      <c r="I22" s="256"/>
      <c r="J22" s="257"/>
      <c r="K22" s="257"/>
      <c r="L22" s="257"/>
      <c r="M22" s="322"/>
    </row>
    <row r="23" ht="12.75" customHeight="1">
      <c r="A23" s="238"/>
      <c r="B23" s="252"/>
      <c r="C23" s="253"/>
      <c r="D23" s="254"/>
      <c r="E23" s="255"/>
      <c r="F23" s="255"/>
      <c r="G23" s="255"/>
      <c r="H23" s="255"/>
      <c r="I23" s="256"/>
      <c r="J23" s="257"/>
      <c r="K23" s="257"/>
      <c r="L23" s="257"/>
      <c r="M23" s="322"/>
    </row>
    <row r="24" ht="12.75" customHeight="1">
      <c r="A24" s="238"/>
      <c r="B24" s="252"/>
      <c r="C24" s="253"/>
      <c r="D24" s="254"/>
      <c r="E24" s="255"/>
      <c r="F24" s="255"/>
      <c r="G24" s="255"/>
      <c r="H24" s="255"/>
      <c r="I24" s="256"/>
      <c r="J24" s="257"/>
      <c r="K24" s="257"/>
      <c r="L24" s="257"/>
      <c r="M24" s="322"/>
    </row>
    <row r="25" ht="12.75" customHeight="1">
      <c r="A25" s="238"/>
      <c r="B25" s="252"/>
      <c r="C25" s="253"/>
      <c r="D25" s="254"/>
      <c r="E25" s="255"/>
      <c r="F25" s="255"/>
      <c r="G25" s="255"/>
      <c r="H25" s="255"/>
      <c r="I25" s="256"/>
      <c r="J25" s="257"/>
      <c r="K25" s="257"/>
      <c r="L25" s="257"/>
      <c r="M25" s="322"/>
    </row>
    <row r="26" ht="12.75" customHeight="1">
      <c r="A26" s="238"/>
      <c r="B26" s="259"/>
      <c r="C26" s="260"/>
      <c r="D26" s="261"/>
      <c r="E26" s="262"/>
      <c r="F26" s="262"/>
      <c r="G26" s="262"/>
      <c r="H26" s="262"/>
      <c r="I26" s="263"/>
      <c r="J26" s="264"/>
      <c r="K26" s="264"/>
      <c r="L26" s="264"/>
      <c r="M26" s="323"/>
    </row>
    <row r="27" ht="12.75" customHeight="1">
      <c r="A27" s="238"/>
      <c r="B27" s="266"/>
      <c r="C27" s="267"/>
      <c r="D27" s="268"/>
      <c r="E27" s="269"/>
      <c r="F27" s="269"/>
      <c r="G27" s="269"/>
      <c r="H27" s="269"/>
      <c r="I27" s="270"/>
      <c r="J27" s="271" t="s">
        <v>1221</v>
      </c>
      <c r="K27" s="324">
        <f>SUM(K19:K26)</f>
        <v>0</v>
      </c>
      <c r="L27" s="325"/>
      <c r="M27" s="272">
        <f>SUM(M19:M26)</f>
        <v>0</v>
      </c>
    </row>
    <row r="28" ht="12.75" customHeight="1">
      <c r="A28" s="238"/>
      <c r="B28" s="351"/>
      <c r="C28" s="352"/>
      <c r="D28" s="353"/>
      <c r="E28" s="354"/>
      <c r="F28" s="354"/>
      <c r="G28" s="355"/>
      <c r="H28" s="355"/>
      <c r="I28" s="356"/>
      <c r="J28" s="356"/>
      <c r="K28" s="357"/>
      <c r="L28" s="358"/>
      <c r="M28" s="359"/>
    </row>
    <row r="29" ht="9.0" customHeight="1">
      <c r="A29" s="245"/>
      <c r="B29" s="280"/>
      <c r="C29" s="281"/>
      <c r="D29" s="281"/>
      <c r="E29" s="281"/>
      <c r="F29" s="281"/>
      <c r="G29" s="282"/>
      <c r="H29" s="282"/>
      <c r="I29" s="283"/>
      <c r="J29" s="284"/>
      <c r="K29" s="284"/>
      <c r="L29" s="284"/>
      <c r="M29" s="285"/>
      <c r="N29" s="286"/>
      <c r="O29" s="286"/>
      <c r="P29" s="286"/>
      <c r="Q29" s="286"/>
      <c r="R29" s="286"/>
      <c r="S29" s="286"/>
      <c r="T29" s="286"/>
      <c r="U29" s="286"/>
      <c r="V29" s="286"/>
      <c r="W29" s="286"/>
      <c r="X29" s="286"/>
      <c r="Y29" s="286"/>
      <c r="Z29" s="286"/>
      <c r="AA29" s="286"/>
      <c r="AB29" s="286"/>
      <c r="AC29" s="286"/>
      <c r="AD29" s="286"/>
      <c r="AE29" s="286"/>
      <c r="AF29" s="286"/>
    </row>
    <row r="30" ht="21.75" customHeight="1">
      <c r="A30" s="245" t="s">
        <v>1232</v>
      </c>
      <c r="B30" s="344" t="s">
        <v>1233</v>
      </c>
      <c r="C30" s="345"/>
      <c r="D30" s="346"/>
      <c r="E30" s="345"/>
      <c r="F30" s="345"/>
      <c r="G30" s="345"/>
      <c r="H30" s="345"/>
      <c r="I30" s="347"/>
      <c r="J30" s="348"/>
      <c r="K30" s="348"/>
      <c r="L30" s="349"/>
      <c r="M30" s="350"/>
      <c r="N30" s="286"/>
      <c r="O30" s="286"/>
      <c r="P30" s="286"/>
      <c r="Q30" s="286"/>
      <c r="R30" s="286"/>
      <c r="S30" s="286"/>
      <c r="T30" s="286"/>
      <c r="U30" s="286"/>
      <c r="V30" s="286"/>
      <c r="W30" s="286"/>
      <c r="X30" s="286"/>
      <c r="Y30" s="286"/>
      <c r="Z30" s="286"/>
      <c r="AA30" s="286"/>
      <c r="AB30" s="286"/>
      <c r="AC30" s="286"/>
      <c r="AD30" s="286"/>
      <c r="AE30" s="286"/>
      <c r="AF30" s="286"/>
      <c r="AG30" s="286"/>
    </row>
    <row r="31" ht="12.75" customHeight="1">
      <c r="A31" s="238"/>
      <c r="B31" s="252"/>
      <c r="C31" s="253"/>
      <c r="D31" s="254"/>
      <c r="E31" s="255"/>
      <c r="F31" s="255"/>
      <c r="G31" s="255"/>
      <c r="H31" s="255"/>
      <c r="I31" s="256"/>
      <c r="J31" s="257"/>
      <c r="K31" s="257"/>
      <c r="L31" s="257"/>
      <c r="M31" s="322"/>
    </row>
    <row r="32" ht="12.75" customHeight="1">
      <c r="A32" s="238"/>
      <c r="B32" s="252"/>
      <c r="C32" s="253"/>
      <c r="D32" s="254"/>
      <c r="E32" s="255"/>
      <c r="F32" s="255"/>
      <c r="G32" s="255"/>
      <c r="H32" s="255"/>
      <c r="I32" s="256"/>
      <c r="J32" s="257"/>
      <c r="K32" s="257"/>
      <c r="L32" s="257"/>
      <c r="M32" s="322"/>
    </row>
    <row r="33" ht="12.75" customHeight="1">
      <c r="A33" s="238"/>
      <c r="B33" s="252"/>
      <c r="C33" s="253"/>
      <c r="D33" s="254"/>
      <c r="E33" s="255"/>
      <c r="F33" s="255"/>
      <c r="G33" s="255"/>
      <c r="H33" s="255"/>
      <c r="I33" s="256"/>
      <c r="J33" s="257"/>
      <c r="K33" s="257"/>
      <c r="L33" s="257"/>
      <c r="M33" s="322"/>
    </row>
    <row r="34" ht="12.75" customHeight="1">
      <c r="A34" s="238"/>
      <c r="B34" s="252"/>
      <c r="C34" s="253"/>
      <c r="D34" s="254"/>
      <c r="E34" s="255"/>
      <c r="F34" s="255"/>
      <c r="G34" s="255"/>
      <c r="H34" s="255"/>
      <c r="I34" s="256"/>
      <c r="J34" s="257"/>
      <c r="K34" s="257"/>
      <c r="L34" s="257"/>
      <c r="M34" s="322"/>
    </row>
    <row r="35" ht="12.75" customHeight="1">
      <c r="A35" s="238"/>
      <c r="B35" s="252"/>
      <c r="C35" s="253"/>
      <c r="D35" s="254"/>
      <c r="E35" s="255"/>
      <c r="F35" s="255"/>
      <c r="G35" s="255"/>
      <c r="H35" s="255"/>
      <c r="I35" s="256"/>
      <c r="J35" s="257"/>
      <c r="K35" s="257"/>
      <c r="L35" s="257"/>
      <c r="M35" s="322"/>
    </row>
    <row r="36" ht="12.75" customHeight="1">
      <c r="A36" s="238"/>
      <c r="B36" s="252"/>
      <c r="C36" s="253"/>
      <c r="D36" s="254"/>
      <c r="E36" s="255"/>
      <c r="F36" s="255"/>
      <c r="G36" s="255"/>
      <c r="H36" s="255"/>
      <c r="I36" s="256"/>
      <c r="J36" s="257"/>
      <c r="K36" s="257"/>
      <c r="L36" s="257"/>
      <c r="M36" s="322"/>
    </row>
    <row r="37" ht="12.75" customHeight="1">
      <c r="A37" s="238"/>
      <c r="B37" s="252"/>
      <c r="C37" s="253"/>
      <c r="D37" s="254"/>
      <c r="E37" s="255"/>
      <c r="F37" s="255"/>
      <c r="G37" s="255"/>
      <c r="H37" s="255"/>
      <c r="I37" s="256"/>
      <c r="J37" s="257"/>
      <c r="K37" s="257"/>
      <c r="L37" s="257"/>
      <c r="M37" s="322"/>
    </row>
    <row r="38" ht="12.75" customHeight="1">
      <c r="A38" s="238"/>
      <c r="B38" s="259"/>
      <c r="C38" s="260"/>
      <c r="D38" s="261"/>
      <c r="E38" s="262"/>
      <c r="F38" s="262"/>
      <c r="G38" s="262"/>
      <c r="H38" s="262"/>
      <c r="I38" s="263"/>
      <c r="J38" s="264"/>
      <c r="K38" s="264"/>
      <c r="L38" s="264"/>
      <c r="M38" s="323"/>
    </row>
    <row r="39" ht="12.75" customHeight="1">
      <c r="A39" s="238"/>
      <c r="B39" s="266"/>
      <c r="C39" s="267"/>
      <c r="D39" s="268"/>
      <c r="E39" s="269"/>
      <c r="F39" s="269"/>
      <c r="G39" s="269"/>
      <c r="H39" s="269"/>
      <c r="I39" s="270"/>
      <c r="J39" s="271" t="s">
        <v>1221</v>
      </c>
      <c r="K39" s="324">
        <f>SUM(K31:K38)</f>
        <v>0</v>
      </c>
      <c r="L39" s="325"/>
      <c r="M39" s="272">
        <f>SUM(M31:M38)</f>
        <v>0</v>
      </c>
    </row>
    <row r="40" ht="12.75" customHeight="1">
      <c r="A40" s="238"/>
      <c r="B40" s="351"/>
      <c r="C40" s="352"/>
      <c r="D40" s="353"/>
      <c r="E40" s="354"/>
      <c r="F40" s="354"/>
      <c r="G40" s="355"/>
      <c r="H40" s="355"/>
      <c r="I40" s="356"/>
      <c r="J40" s="356"/>
      <c r="K40" s="357"/>
      <c r="L40" s="358"/>
      <c r="M40" s="359"/>
    </row>
    <row r="41" ht="9.0" customHeight="1">
      <c r="A41" s="245"/>
      <c r="B41" s="280"/>
      <c r="C41" s="281"/>
      <c r="D41" s="281"/>
      <c r="E41" s="281"/>
      <c r="F41" s="281"/>
      <c r="G41" s="282"/>
      <c r="H41" s="282"/>
      <c r="I41" s="283"/>
      <c r="J41" s="284"/>
      <c r="K41" s="284"/>
      <c r="L41" s="284"/>
      <c r="M41" s="285"/>
      <c r="N41" s="286"/>
      <c r="O41" s="286"/>
      <c r="P41" s="286"/>
      <c r="Q41" s="286"/>
      <c r="R41" s="286"/>
      <c r="S41" s="286"/>
      <c r="T41" s="286"/>
      <c r="U41" s="286"/>
      <c r="V41" s="286"/>
      <c r="W41" s="286"/>
      <c r="X41" s="286"/>
      <c r="Y41" s="286"/>
      <c r="Z41" s="286"/>
      <c r="AA41" s="286"/>
      <c r="AB41" s="286"/>
      <c r="AC41" s="286"/>
      <c r="AD41" s="286"/>
      <c r="AE41" s="286"/>
      <c r="AF41" s="286"/>
    </row>
    <row r="42" ht="21.75" customHeight="1">
      <c r="A42" s="245" t="s">
        <v>1232</v>
      </c>
      <c r="B42" s="344" t="s">
        <v>1233</v>
      </c>
      <c r="C42" s="345"/>
      <c r="D42" s="346"/>
      <c r="E42" s="345"/>
      <c r="F42" s="345"/>
      <c r="G42" s="345"/>
      <c r="H42" s="345"/>
      <c r="I42" s="347"/>
      <c r="J42" s="348"/>
      <c r="K42" s="348"/>
      <c r="L42" s="349"/>
      <c r="M42" s="350"/>
      <c r="N42" s="286"/>
      <c r="O42" s="286"/>
      <c r="P42" s="286"/>
      <c r="Q42" s="286"/>
      <c r="R42" s="286"/>
      <c r="S42" s="286"/>
      <c r="T42" s="286"/>
      <c r="U42" s="286"/>
      <c r="V42" s="286"/>
      <c r="W42" s="286"/>
      <c r="X42" s="286"/>
      <c r="Y42" s="286"/>
      <c r="Z42" s="286"/>
      <c r="AA42" s="286"/>
      <c r="AB42" s="286"/>
      <c r="AC42" s="286"/>
      <c r="AD42" s="286"/>
      <c r="AE42" s="286"/>
      <c r="AF42" s="286"/>
      <c r="AG42" s="286"/>
    </row>
    <row r="43" ht="12.75" customHeight="1">
      <c r="A43" s="238"/>
      <c r="B43" s="252"/>
      <c r="C43" s="253"/>
      <c r="D43" s="254"/>
      <c r="E43" s="255"/>
      <c r="F43" s="255"/>
      <c r="G43" s="255"/>
      <c r="H43" s="255"/>
      <c r="I43" s="256"/>
      <c r="J43" s="257"/>
      <c r="K43" s="257"/>
      <c r="L43" s="257"/>
      <c r="M43" s="322"/>
    </row>
    <row r="44" ht="12.75" customHeight="1">
      <c r="A44" s="238"/>
      <c r="B44" s="252"/>
      <c r="C44" s="253"/>
      <c r="D44" s="254"/>
      <c r="E44" s="255"/>
      <c r="F44" s="255"/>
      <c r="G44" s="255"/>
      <c r="H44" s="255"/>
      <c r="I44" s="256"/>
      <c r="J44" s="257"/>
      <c r="K44" s="257"/>
      <c r="L44" s="257"/>
      <c r="M44" s="322"/>
    </row>
    <row r="45" ht="12.75" customHeight="1">
      <c r="A45" s="238"/>
      <c r="B45" s="252"/>
      <c r="C45" s="253"/>
      <c r="D45" s="254"/>
      <c r="E45" s="255"/>
      <c r="F45" s="255"/>
      <c r="G45" s="255"/>
      <c r="H45" s="255"/>
      <c r="I45" s="256"/>
      <c r="J45" s="257"/>
      <c r="K45" s="257"/>
      <c r="L45" s="257"/>
      <c r="M45" s="322"/>
    </row>
    <row r="46" ht="12.75" customHeight="1">
      <c r="A46" s="238"/>
      <c r="B46" s="252"/>
      <c r="C46" s="253"/>
      <c r="D46" s="254"/>
      <c r="E46" s="255"/>
      <c r="F46" s="255"/>
      <c r="G46" s="255"/>
      <c r="H46" s="255"/>
      <c r="I46" s="256"/>
      <c r="J46" s="257"/>
      <c r="K46" s="257"/>
      <c r="L46" s="257"/>
      <c r="M46" s="322"/>
    </row>
    <row r="47" ht="12.75" customHeight="1">
      <c r="A47" s="238"/>
      <c r="B47" s="252"/>
      <c r="C47" s="253"/>
      <c r="D47" s="254"/>
      <c r="E47" s="255"/>
      <c r="F47" s="255"/>
      <c r="G47" s="255"/>
      <c r="H47" s="255"/>
      <c r="I47" s="256"/>
      <c r="J47" s="257"/>
      <c r="K47" s="257"/>
      <c r="L47" s="257"/>
      <c r="M47" s="322"/>
    </row>
    <row r="48" ht="12.75" customHeight="1">
      <c r="A48" s="238"/>
      <c r="B48" s="252"/>
      <c r="C48" s="253"/>
      <c r="D48" s="254"/>
      <c r="E48" s="255"/>
      <c r="F48" s="255"/>
      <c r="G48" s="255"/>
      <c r="H48" s="255"/>
      <c r="I48" s="256"/>
      <c r="J48" s="257"/>
      <c r="K48" s="257"/>
      <c r="L48" s="257"/>
      <c r="M48" s="322"/>
    </row>
    <row r="49" ht="12.75" customHeight="1">
      <c r="A49" s="238"/>
      <c r="B49" s="252"/>
      <c r="C49" s="253"/>
      <c r="D49" s="254"/>
      <c r="E49" s="255"/>
      <c r="F49" s="255"/>
      <c r="G49" s="255"/>
      <c r="H49" s="255"/>
      <c r="I49" s="256"/>
      <c r="J49" s="257"/>
      <c r="K49" s="257"/>
      <c r="L49" s="257"/>
      <c r="M49" s="322"/>
    </row>
    <row r="50" ht="12.75" customHeight="1">
      <c r="A50" s="238"/>
      <c r="B50" s="259"/>
      <c r="C50" s="260"/>
      <c r="D50" s="261"/>
      <c r="E50" s="262"/>
      <c r="F50" s="262"/>
      <c r="G50" s="262"/>
      <c r="H50" s="262"/>
      <c r="I50" s="263"/>
      <c r="J50" s="264"/>
      <c r="K50" s="264"/>
      <c r="L50" s="264"/>
      <c r="M50" s="323"/>
    </row>
    <row r="51" ht="12.75" customHeight="1">
      <c r="A51" s="238"/>
      <c r="B51" s="266"/>
      <c r="C51" s="267"/>
      <c r="D51" s="268"/>
      <c r="E51" s="269"/>
      <c r="F51" s="269"/>
      <c r="G51" s="269"/>
      <c r="H51" s="269"/>
      <c r="I51" s="270"/>
      <c r="J51" s="271" t="s">
        <v>1221</v>
      </c>
      <c r="K51" s="324">
        <f>SUM(K43:K50)</f>
        <v>0</v>
      </c>
      <c r="L51" s="325"/>
      <c r="M51" s="272">
        <f>SUM(M43:M50)</f>
        <v>0</v>
      </c>
    </row>
    <row r="52" ht="12.75" customHeight="1">
      <c r="A52" s="238"/>
      <c r="B52" s="351"/>
      <c r="C52" s="352"/>
      <c r="D52" s="353"/>
      <c r="E52" s="354"/>
      <c r="F52" s="354"/>
      <c r="G52" s="355"/>
      <c r="H52" s="355"/>
      <c r="I52" s="356"/>
      <c r="J52" s="356"/>
      <c r="K52" s="357"/>
      <c r="L52" s="358"/>
      <c r="M52" s="359"/>
    </row>
    <row r="53" ht="12.75" customHeight="1">
      <c r="A53" s="238"/>
      <c r="B53" s="287"/>
      <c r="C53" s="288"/>
      <c r="D53" s="289"/>
      <c r="E53" s="288"/>
      <c r="F53" s="288"/>
      <c r="G53" s="288"/>
      <c r="H53" s="288"/>
      <c r="I53" s="290"/>
      <c r="J53" s="291" t="s">
        <v>1234</v>
      </c>
      <c r="K53" s="333">
        <f>K51+K39+K27+K15</f>
        <v>0</v>
      </c>
      <c r="L53" s="333"/>
      <c r="M53" s="333">
        <f>M51+M39+M27+M15</f>
        <v>0</v>
      </c>
    </row>
    <row r="54" ht="12.75" customHeight="1">
      <c r="A54" s="238"/>
      <c r="B54" s="306"/>
      <c r="C54" s="307"/>
      <c r="D54" s="307"/>
      <c r="E54" s="307"/>
      <c r="F54" s="307"/>
      <c r="G54" s="308"/>
      <c r="H54" s="307"/>
      <c r="I54" s="308"/>
      <c r="J54" s="307"/>
      <c r="K54" s="338"/>
      <c r="L54" s="339"/>
      <c r="M54" s="360"/>
    </row>
    <row r="55" ht="12.75" customHeight="1">
      <c r="A55" s="245" t="s">
        <v>1232</v>
      </c>
      <c r="B55" s="310"/>
      <c r="C55" s="311"/>
      <c r="D55" s="311"/>
      <c r="E55" s="311"/>
      <c r="F55" s="311"/>
      <c r="G55" s="312"/>
      <c r="H55" s="311"/>
      <c r="I55" s="312"/>
      <c r="J55" s="313" t="s">
        <v>1236</v>
      </c>
      <c r="K55" s="340">
        <f>SUMIFS(K$6:K$54,$J$6:$J$54,"Total Portfolio")</f>
        <v>0</v>
      </c>
      <c r="L55" s="341"/>
      <c r="M55" s="314">
        <f>SUMIFS(M$6:M$54,$J$6:$J$54,"Total Portfolio")</f>
        <v>0</v>
      </c>
    </row>
    <row r="56" ht="12.75" customHeight="1">
      <c r="A56" s="238"/>
      <c r="B56" s="235"/>
      <c r="C56" s="235"/>
      <c r="D56" s="236"/>
      <c r="E56" s="235"/>
      <c r="F56" s="235"/>
      <c r="G56" s="237"/>
      <c r="H56" s="235"/>
      <c r="I56" s="235"/>
      <c r="J56" s="235"/>
      <c r="K56" s="66"/>
      <c r="L56" s="238"/>
      <c r="M56" s="238"/>
    </row>
    <row r="57" ht="12.75" customHeight="1">
      <c r="A57" s="238"/>
      <c r="B57" s="235"/>
      <c r="C57" s="235"/>
      <c r="D57" s="236"/>
      <c r="E57" s="235"/>
      <c r="F57" s="235"/>
      <c r="G57" s="237"/>
      <c r="H57" s="235"/>
      <c r="I57" s="235"/>
      <c r="J57" s="235"/>
      <c r="K57" s="66"/>
      <c r="L57" s="238"/>
      <c r="M57" s="238"/>
    </row>
    <row r="58" ht="12.75" customHeight="1">
      <c r="A58" s="238"/>
      <c r="B58" s="235"/>
      <c r="C58" s="235"/>
      <c r="D58" s="236"/>
      <c r="E58" s="235"/>
      <c r="F58" s="235"/>
      <c r="G58" s="237"/>
      <c r="H58" s="235"/>
      <c r="I58" s="235"/>
      <c r="J58" s="235"/>
      <c r="K58" s="66"/>
      <c r="L58" s="238"/>
      <c r="M58" s="238"/>
    </row>
    <row r="59" ht="12.75" customHeight="1">
      <c r="A59" s="238"/>
      <c r="B59" s="235"/>
      <c r="C59" s="235"/>
      <c r="D59" s="236"/>
      <c r="E59" s="235"/>
      <c r="F59" s="235"/>
      <c r="G59" s="237"/>
      <c r="H59" s="235"/>
      <c r="I59" s="235"/>
      <c r="J59" s="235"/>
      <c r="K59" s="66"/>
      <c r="L59" s="238"/>
      <c r="M59" s="238"/>
    </row>
    <row r="60" ht="12.75" customHeight="1">
      <c r="A60" s="238"/>
      <c r="B60" s="235"/>
      <c r="C60" s="235"/>
      <c r="D60" s="236"/>
      <c r="E60" s="235"/>
      <c r="F60" s="235"/>
      <c r="G60" s="237"/>
      <c r="H60" s="235"/>
      <c r="I60" s="235"/>
      <c r="J60" s="235"/>
      <c r="K60" s="66"/>
      <c r="L60" s="238"/>
      <c r="M60" s="238"/>
    </row>
    <row r="61" ht="12.75" customHeight="1">
      <c r="A61" s="238"/>
      <c r="B61" s="235"/>
      <c r="C61" s="235"/>
      <c r="D61" s="236"/>
      <c r="E61" s="235"/>
      <c r="F61" s="235"/>
      <c r="G61" s="237"/>
      <c r="H61" s="235"/>
      <c r="I61" s="235"/>
      <c r="J61" s="235"/>
      <c r="K61" s="66"/>
      <c r="L61" s="238"/>
      <c r="M61" s="238"/>
    </row>
    <row r="62" ht="12.75" customHeight="1">
      <c r="A62" s="238"/>
      <c r="B62" s="235"/>
      <c r="C62" s="235"/>
      <c r="D62" s="236"/>
      <c r="E62" s="235"/>
      <c r="F62" s="235"/>
      <c r="G62" s="237"/>
      <c r="H62" s="235"/>
      <c r="I62" s="235"/>
      <c r="J62" s="235"/>
      <c r="K62" s="66"/>
      <c r="L62" s="238"/>
      <c r="M62" s="238"/>
    </row>
    <row r="63" ht="12.75" customHeight="1">
      <c r="A63" s="238"/>
      <c r="B63" s="235"/>
      <c r="C63" s="235"/>
      <c r="D63" s="236"/>
      <c r="E63" s="235"/>
      <c r="F63" s="235"/>
      <c r="G63" s="237"/>
      <c r="H63" s="235"/>
      <c r="I63" s="235"/>
      <c r="J63" s="235"/>
      <c r="K63" s="66"/>
      <c r="L63" s="238"/>
      <c r="M63" s="238"/>
    </row>
    <row r="64" ht="12.75" customHeight="1">
      <c r="A64" s="238"/>
      <c r="B64" s="235"/>
      <c r="C64" s="235"/>
      <c r="D64" s="236"/>
      <c r="E64" s="235"/>
      <c r="F64" s="235"/>
      <c r="G64" s="237"/>
      <c r="H64" s="235"/>
      <c r="I64" s="235"/>
      <c r="J64" s="235"/>
      <c r="K64" s="66"/>
      <c r="L64" s="238"/>
      <c r="M64" s="238"/>
    </row>
    <row r="65" ht="12.75" customHeight="1">
      <c r="A65" s="238"/>
      <c r="B65" s="235"/>
      <c r="C65" s="235"/>
      <c r="D65" s="236"/>
      <c r="E65" s="235"/>
      <c r="F65" s="235"/>
      <c r="G65" s="237"/>
      <c r="H65" s="235"/>
      <c r="I65" s="235"/>
      <c r="J65" s="235"/>
      <c r="K65" s="66"/>
      <c r="L65" s="238"/>
      <c r="M65" s="238"/>
    </row>
    <row r="66" ht="12.75" customHeight="1">
      <c r="A66" s="238"/>
      <c r="B66" s="235"/>
      <c r="C66" s="235"/>
      <c r="D66" s="236"/>
      <c r="E66" s="235"/>
      <c r="F66" s="235"/>
      <c r="G66" s="237"/>
      <c r="H66" s="235"/>
      <c r="I66" s="235"/>
      <c r="J66" s="235"/>
      <c r="K66" s="66"/>
      <c r="L66" s="238"/>
      <c r="M66" s="238"/>
    </row>
    <row r="67" ht="12.75" customHeight="1">
      <c r="A67" s="238"/>
      <c r="B67" s="235"/>
      <c r="C67" s="235"/>
      <c r="D67" s="236"/>
      <c r="E67" s="235"/>
      <c r="F67" s="235"/>
      <c r="G67" s="237"/>
      <c r="H67" s="235"/>
      <c r="I67" s="235"/>
      <c r="J67" s="235"/>
      <c r="K67" s="66"/>
      <c r="L67" s="238"/>
      <c r="M67" s="238"/>
    </row>
    <row r="68" ht="12.75" customHeight="1">
      <c r="A68" s="238"/>
      <c r="B68" s="235"/>
      <c r="C68" s="235"/>
      <c r="D68" s="236"/>
      <c r="E68" s="235"/>
      <c r="F68" s="235"/>
      <c r="G68" s="237"/>
      <c r="H68" s="235"/>
      <c r="I68" s="235"/>
      <c r="J68" s="235"/>
      <c r="K68" s="66"/>
      <c r="L68" s="238"/>
      <c r="M68" s="238"/>
    </row>
    <row r="69" ht="12.75" customHeight="1">
      <c r="A69" s="238"/>
      <c r="B69" s="235"/>
      <c r="C69" s="235"/>
      <c r="D69" s="236"/>
      <c r="E69" s="235"/>
      <c r="F69" s="235"/>
      <c r="G69" s="237"/>
      <c r="H69" s="235"/>
      <c r="I69" s="235"/>
      <c r="J69" s="235"/>
      <c r="K69" s="66"/>
      <c r="L69" s="238"/>
      <c r="M69" s="238"/>
    </row>
    <row r="70" ht="12.75" customHeight="1">
      <c r="A70" s="238"/>
      <c r="B70" s="235"/>
      <c r="C70" s="235"/>
      <c r="D70" s="236"/>
      <c r="E70" s="235"/>
      <c r="F70" s="235"/>
      <c r="G70" s="237"/>
      <c r="H70" s="235"/>
      <c r="I70" s="235"/>
      <c r="J70" s="235"/>
      <c r="K70" s="66"/>
      <c r="L70" s="238"/>
      <c r="M70" s="238"/>
    </row>
    <row r="71" ht="12.75" customHeight="1">
      <c r="A71" s="238"/>
      <c r="B71" s="235"/>
      <c r="C71" s="235"/>
      <c r="D71" s="236"/>
      <c r="E71" s="235"/>
      <c r="F71" s="235"/>
      <c r="G71" s="237"/>
      <c r="H71" s="235"/>
      <c r="I71" s="235"/>
      <c r="J71" s="235"/>
      <c r="K71" s="66"/>
      <c r="L71" s="238"/>
      <c r="M71" s="238"/>
    </row>
    <row r="72" ht="12.75" customHeight="1">
      <c r="A72" s="238"/>
      <c r="B72" s="235"/>
      <c r="C72" s="235"/>
      <c r="D72" s="236"/>
      <c r="E72" s="235"/>
      <c r="F72" s="235"/>
      <c r="G72" s="237"/>
      <c r="H72" s="235"/>
      <c r="I72" s="235"/>
      <c r="J72" s="235"/>
      <c r="K72" s="66"/>
      <c r="L72" s="238"/>
      <c r="M72" s="238"/>
    </row>
    <row r="73" ht="12.75" customHeight="1">
      <c r="A73" s="238"/>
      <c r="B73" s="235"/>
      <c r="C73" s="235"/>
      <c r="D73" s="236"/>
      <c r="E73" s="235"/>
      <c r="F73" s="235"/>
      <c r="G73" s="237"/>
      <c r="H73" s="235"/>
      <c r="I73" s="235"/>
      <c r="J73" s="235"/>
      <c r="K73" s="66"/>
      <c r="L73" s="238"/>
      <c r="M73" s="238"/>
    </row>
    <row r="74" ht="12.75" customHeight="1">
      <c r="A74" s="238"/>
      <c r="B74" s="235"/>
      <c r="C74" s="235"/>
      <c r="D74" s="236"/>
      <c r="E74" s="235"/>
      <c r="F74" s="235"/>
      <c r="G74" s="237"/>
      <c r="H74" s="235"/>
      <c r="I74" s="235"/>
      <c r="J74" s="235"/>
      <c r="K74" s="66"/>
      <c r="L74" s="238"/>
      <c r="M74" s="238"/>
    </row>
    <row r="75" ht="12.75" customHeight="1">
      <c r="A75" s="238"/>
      <c r="B75" s="235"/>
      <c r="C75" s="235"/>
      <c r="D75" s="236"/>
      <c r="E75" s="235"/>
      <c r="F75" s="235"/>
      <c r="G75" s="237"/>
      <c r="H75" s="235"/>
      <c r="I75" s="235"/>
      <c r="J75" s="235"/>
      <c r="K75" s="66"/>
      <c r="L75" s="238"/>
      <c r="M75" s="238"/>
    </row>
    <row r="76" ht="12.75" customHeight="1">
      <c r="A76" s="238"/>
      <c r="B76" s="235"/>
      <c r="C76" s="235"/>
      <c r="D76" s="236"/>
      <c r="E76" s="235"/>
      <c r="F76" s="235"/>
      <c r="G76" s="237"/>
      <c r="H76" s="235"/>
      <c r="I76" s="235"/>
      <c r="J76" s="235"/>
      <c r="K76" s="66"/>
      <c r="L76" s="238"/>
      <c r="M76" s="238"/>
    </row>
    <row r="77" ht="12.75" customHeight="1">
      <c r="A77" s="238"/>
      <c r="B77" s="235"/>
      <c r="C77" s="235"/>
      <c r="D77" s="236"/>
      <c r="E77" s="235"/>
      <c r="F77" s="235"/>
      <c r="G77" s="237"/>
      <c r="H77" s="235"/>
      <c r="I77" s="235"/>
      <c r="J77" s="235"/>
      <c r="K77" s="66"/>
      <c r="L77" s="238"/>
      <c r="M77" s="238"/>
    </row>
    <row r="78" ht="12.75" customHeight="1">
      <c r="A78" s="238"/>
      <c r="B78" s="235"/>
      <c r="C78" s="235"/>
      <c r="D78" s="236"/>
      <c r="E78" s="235"/>
      <c r="F78" s="235"/>
      <c r="G78" s="237"/>
      <c r="H78" s="235"/>
      <c r="I78" s="235"/>
      <c r="J78" s="235"/>
      <c r="K78" s="66"/>
      <c r="L78" s="238"/>
      <c r="M78" s="238"/>
    </row>
    <row r="79" ht="12.75" customHeight="1">
      <c r="A79" s="238"/>
      <c r="B79" s="235"/>
      <c r="C79" s="235"/>
      <c r="D79" s="236"/>
      <c r="E79" s="235"/>
      <c r="F79" s="235"/>
      <c r="G79" s="237"/>
      <c r="H79" s="235"/>
      <c r="I79" s="235"/>
      <c r="J79" s="235"/>
      <c r="K79" s="66"/>
      <c r="L79" s="238"/>
      <c r="M79" s="238"/>
    </row>
    <row r="80" ht="12.75" customHeight="1">
      <c r="A80" s="238"/>
      <c r="B80" s="235"/>
      <c r="C80" s="235"/>
      <c r="D80" s="236"/>
      <c r="E80" s="235"/>
      <c r="F80" s="235"/>
      <c r="G80" s="237"/>
      <c r="H80" s="235"/>
      <c r="I80" s="235"/>
      <c r="J80" s="235"/>
      <c r="K80" s="66"/>
      <c r="L80" s="238"/>
      <c r="M80" s="238"/>
    </row>
    <row r="81" ht="12.75" customHeight="1">
      <c r="A81" s="238"/>
      <c r="B81" s="235"/>
      <c r="C81" s="235"/>
      <c r="D81" s="236"/>
      <c r="E81" s="235"/>
      <c r="F81" s="235"/>
      <c r="G81" s="237"/>
      <c r="H81" s="235"/>
      <c r="I81" s="235"/>
      <c r="J81" s="235"/>
      <c r="K81" s="66"/>
      <c r="L81" s="238"/>
      <c r="M81" s="238"/>
    </row>
    <row r="82" ht="12.75" customHeight="1">
      <c r="A82" s="238"/>
      <c r="B82" s="235"/>
      <c r="C82" s="235"/>
      <c r="D82" s="236"/>
      <c r="E82" s="235"/>
      <c r="F82" s="235"/>
      <c r="G82" s="237"/>
      <c r="H82" s="235"/>
      <c r="I82" s="235"/>
      <c r="J82" s="235"/>
      <c r="K82" s="66"/>
      <c r="L82" s="238"/>
      <c r="M82" s="238"/>
    </row>
    <row r="83" ht="12.75" customHeight="1">
      <c r="A83" s="238"/>
      <c r="B83" s="235"/>
      <c r="C83" s="235"/>
      <c r="D83" s="236"/>
      <c r="E83" s="235"/>
      <c r="F83" s="235"/>
      <c r="G83" s="237"/>
      <c r="H83" s="235"/>
      <c r="I83" s="235"/>
      <c r="J83" s="235"/>
      <c r="K83" s="66"/>
      <c r="L83" s="238"/>
      <c r="M83" s="238"/>
    </row>
    <row r="84" ht="12.75" customHeight="1">
      <c r="A84" s="238"/>
      <c r="B84" s="235"/>
      <c r="C84" s="235"/>
      <c r="D84" s="236"/>
      <c r="E84" s="235"/>
      <c r="F84" s="235"/>
      <c r="G84" s="237"/>
      <c r="H84" s="235"/>
      <c r="I84" s="235"/>
      <c r="J84" s="235"/>
      <c r="K84" s="66"/>
      <c r="L84" s="238"/>
      <c r="M84" s="238"/>
    </row>
    <row r="85" ht="12.75" customHeight="1">
      <c r="A85" s="238"/>
      <c r="B85" s="235"/>
      <c r="C85" s="235"/>
      <c r="D85" s="236"/>
      <c r="E85" s="235"/>
      <c r="F85" s="235"/>
      <c r="G85" s="237"/>
      <c r="H85" s="235"/>
      <c r="I85" s="235"/>
      <c r="J85" s="235"/>
      <c r="K85" s="66"/>
      <c r="L85" s="238"/>
      <c r="M85" s="238"/>
    </row>
    <row r="86" ht="12.75" customHeight="1">
      <c r="A86" s="238"/>
      <c r="B86" s="235"/>
      <c r="C86" s="235"/>
      <c r="D86" s="236"/>
      <c r="E86" s="235"/>
      <c r="F86" s="235"/>
      <c r="G86" s="237"/>
      <c r="H86" s="235"/>
      <c r="I86" s="235"/>
      <c r="J86" s="235"/>
      <c r="K86" s="66"/>
      <c r="L86" s="238"/>
      <c r="M86" s="238"/>
    </row>
    <row r="87" ht="12.75" customHeight="1">
      <c r="A87" s="238"/>
      <c r="B87" s="235"/>
      <c r="C87" s="235"/>
      <c r="D87" s="236"/>
      <c r="E87" s="235"/>
      <c r="F87" s="235"/>
      <c r="G87" s="237"/>
      <c r="H87" s="235"/>
      <c r="I87" s="235"/>
      <c r="J87" s="235"/>
      <c r="K87" s="66"/>
      <c r="L87" s="238"/>
      <c r="M87" s="238"/>
    </row>
    <row r="88" ht="12.75" customHeight="1">
      <c r="A88" s="238"/>
      <c r="B88" s="235"/>
      <c r="C88" s="235"/>
      <c r="D88" s="236"/>
      <c r="E88" s="235"/>
      <c r="F88" s="235"/>
      <c r="G88" s="237"/>
      <c r="H88" s="235"/>
      <c r="I88" s="235"/>
      <c r="J88" s="235"/>
      <c r="K88" s="66"/>
      <c r="L88" s="238"/>
      <c r="M88" s="238"/>
    </row>
    <row r="89" ht="12.75" customHeight="1">
      <c r="A89" s="238"/>
      <c r="B89" s="235"/>
      <c r="C89" s="235"/>
      <c r="D89" s="236"/>
      <c r="E89" s="235"/>
      <c r="F89" s="235"/>
      <c r="G89" s="237"/>
      <c r="H89" s="235"/>
      <c r="I89" s="235"/>
      <c r="J89" s="235"/>
      <c r="K89" s="66"/>
      <c r="L89" s="238"/>
      <c r="M89" s="238"/>
    </row>
    <row r="90" ht="12.75" customHeight="1">
      <c r="A90" s="238"/>
      <c r="B90" s="235"/>
      <c r="C90" s="235"/>
      <c r="D90" s="236"/>
      <c r="E90" s="235"/>
      <c r="F90" s="235"/>
      <c r="G90" s="237"/>
      <c r="H90" s="235"/>
      <c r="I90" s="235"/>
      <c r="J90" s="235"/>
      <c r="K90" s="66"/>
      <c r="L90" s="238"/>
      <c r="M90" s="238"/>
    </row>
    <row r="91" ht="12.75" customHeight="1">
      <c r="A91" s="238"/>
      <c r="B91" s="235"/>
      <c r="C91" s="235"/>
      <c r="D91" s="236"/>
      <c r="E91" s="235"/>
      <c r="F91" s="235"/>
      <c r="G91" s="237"/>
      <c r="H91" s="235"/>
      <c r="I91" s="235"/>
      <c r="J91" s="235"/>
      <c r="K91" s="66"/>
      <c r="L91" s="238"/>
      <c r="M91" s="238"/>
    </row>
    <row r="92" ht="12.75" customHeight="1">
      <c r="A92" s="238"/>
      <c r="B92" s="235"/>
      <c r="C92" s="235"/>
      <c r="D92" s="236"/>
      <c r="E92" s="235"/>
      <c r="F92" s="235"/>
      <c r="G92" s="237"/>
      <c r="H92" s="235"/>
      <c r="I92" s="235"/>
      <c r="J92" s="235"/>
      <c r="K92" s="66"/>
      <c r="L92" s="238"/>
      <c r="M92" s="238"/>
    </row>
    <row r="93" ht="12.75" customHeight="1">
      <c r="A93" s="238"/>
      <c r="B93" s="235"/>
      <c r="C93" s="235"/>
      <c r="D93" s="236"/>
      <c r="E93" s="235"/>
      <c r="F93" s="235"/>
      <c r="G93" s="237"/>
      <c r="H93" s="235"/>
      <c r="I93" s="235"/>
      <c r="J93" s="235"/>
      <c r="K93" s="66"/>
      <c r="L93" s="238"/>
      <c r="M93" s="238"/>
    </row>
    <row r="94" ht="12.75" customHeight="1">
      <c r="A94" s="238"/>
      <c r="B94" s="235"/>
      <c r="C94" s="235"/>
      <c r="D94" s="236"/>
      <c r="E94" s="235"/>
      <c r="F94" s="235"/>
      <c r="G94" s="237"/>
      <c r="H94" s="235"/>
      <c r="I94" s="235"/>
      <c r="J94" s="235"/>
      <c r="K94" s="66"/>
      <c r="L94" s="238"/>
      <c r="M94" s="238"/>
    </row>
    <row r="95" ht="12.75" customHeight="1">
      <c r="A95" s="238"/>
      <c r="B95" s="235"/>
      <c r="C95" s="235"/>
      <c r="D95" s="236"/>
      <c r="E95" s="235"/>
      <c r="F95" s="235"/>
      <c r="G95" s="237"/>
      <c r="H95" s="235"/>
      <c r="I95" s="235"/>
      <c r="J95" s="235"/>
      <c r="K95" s="66"/>
      <c r="L95" s="238"/>
      <c r="M95" s="238"/>
    </row>
    <row r="96" ht="12.75" customHeight="1">
      <c r="A96" s="238"/>
      <c r="B96" s="235"/>
      <c r="C96" s="235"/>
      <c r="D96" s="236"/>
      <c r="E96" s="235"/>
      <c r="F96" s="235"/>
      <c r="G96" s="237"/>
      <c r="H96" s="235"/>
      <c r="I96" s="235"/>
      <c r="J96" s="235"/>
      <c r="K96" s="66"/>
      <c r="L96" s="238"/>
      <c r="M96" s="238"/>
    </row>
    <row r="97" ht="12.75" customHeight="1">
      <c r="A97" s="238"/>
      <c r="B97" s="235"/>
      <c r="C97" s="235"/>
      <c r="D97" s="236"/>
      <c r="E97" s="235"/>
      <c r="F97" s="235"/>
      <c r="G97" s="237"/>
      <c r="H97" s="235"/>
      <c r="I97" s="235"/>
      <c r="J97" s="235"/>
      <c r="K97" s="66"/>
      <c r="L97" s="238"/>
      <c r="M97" s="238"/>
    </row>
    <row r="98" ht="12.75" customHeight="1">
      <c r="A98" s="238"/>
      <c r="B98" s="235"/>
      <c r="C98" s="235"/>
      <c r="D98" s="236"/>
      <c r="E98" s="235"/>
      <c r="F98" s="235"/>
      <c r="G98" s="237"/>
      <c r="H98" s="235"/>
      <c r="I98" s="235"/>
      <c r="J98" s="235"/>
      <c r="K98" s="66"/>
      <c r="L98" s="238"/>
      <c r="M98" s="238"/>
    </row>
    <row r="99" ht="12.75" customHeight="1">
      <c r="A99" s="238"/>
      <c r="B99" s="235"/>
      <c r="C99" s="235"/>
      <c r="D99" s="236"/>
      <c r="E99" s="235"/>
      <c r="F99" s="235"/>
      <c r="G99" s="237"/>
      <c r="H99" s="235"/>
      <c r="I99" s="235"/>
      <c r="J99" s="235"/>
      <c r="K99" s="66"/>
      <c r="L99" s="238"/>
      <c r="M99" s="238"/>
    </row>
    <row r="100" ht="12.75" customHeight="1">
      <c r="A100" s="238"/>
      <c r="B100" s="235"/>
      <c r="C100" s="235"/>
      <c r="D100" s="236"/>
      <c r="E100" s="235"/>
      <c r="F100" s="235"/>
      <c r="G100" s="237"/>
      <c r="H100" s="235"/>
      <c r="I100" s="235"/>
      <c r="J100" s="235"/>
      <c r="K100" s="66"/>
      <c r="L100" s="238"/>
      <c r="M100" s="238"/>
    </row>
    <row r="101" ht="12.75" customHeight="1">
      <c r="A101" s="238"/>
      <c r="B101" s="235"/>
      <c r="C101" s="235"/>
      <c r="D101" s="236"/>
      <c r="E101" s="235"/>
      <c r="F101" s="235"/>
      <c r="G101" s="237"/>
      <c r="H101" s="235"/>
      <c r="I101" s="235"/>
      <c r="J101" s="235"/>
      <c r="K101" s="66"/>
      <c r="L101" s="238"/>
      <c r="M101" s="238"/>
    </row>
    <row r="102" ht="12.75" customHeight="1">
      <c r="A102" s="238"/>
      <c r="B102" s="235"/>
      <c r="C102" s="235"/>
      <c r="D102" s="236"/>
      <c r="E102" s="235"/>
      <c r="F102" s="235"/>
      <c r="G102" s="237"/>
      <c r="H102" s="235"/>
      <c r="I102" s="235"/>
      <c r="J102" s="235"/>
      <c r="K102" s="66"/>
      <c r="L102" s="238"/>
      <c r="M102" s="238"/>
    </row>
    <row r="103" ht="12.75" customHeight="1">
      <c r="A103" s="238"/>
      <c r="B103" s="235"/>
      <c r="C103" s="235"/>
      <c r="D103" s="236"/>
      <c r="E103" s="235"/>
      <c r="F103" s="235"/>
      <c r="G103" s="237"/>
      <c r="H103" s="235"/>
      <c r="I103" s="235"/>
      <c r="J103" s="235"/>
      <c r="K103" s="66"/>
      <c r="L103" s="238"/>
      <c r="M103" s="238"/>
    </row>
    <row r="104" ht="12.75" customHeight="1">
      <c r="A104" s="238"/>
      <c r="B104" s="235"/>
      <c r="C104" s="235"/>
      <c r="D104" s="236"/>
      <c r="E104" s="235"/>
      <c r="F104" s="235"/>
      <c r="G104" s="237"/>
      <c r="H104" s="235"/>
      <c r="I104" s="235"/>
      <c r="J104" s="235"/>
      <c r="K104" s="66"/>
      <c r="L104" s="238"/>
      <c r="M104" s="238"/>
    </row>
    <row r="105" ht="12.75" customHeight="1">
      <c r="A105" s="238"/>
      <c r="B105" s="235"/>
      <c r="C105" s="235"/>
      <c r="D105" s="236"/>
      <c r="E105" s="235"/>
      <c r="F105" s="235"/>
      <c r="G105" s="237"/>
      <c r="H105" s="235"/>
      <c r="I105" s="235"/>
      <c r="J105" s="235"/>
      <c r="K105" s="66"/>
      <c r="L105" s="238"/>
      <c r="M105" s="238"/>
    </row>
    <row r="106" ht="12.75" customHeight="1">
      <c r="A106" s="238"/>
      <c r="B106" s="235"/>
      <c r="C106" s="235"/>
      <c r="D106" s="236"/>
      <c r="E106" s="235"/>
      <c r="F106" s="235"/>
      <c r="G106" s="237"/>
      <c r="H106" s="235"/>
      <c r="I106" s="235"/>
      <c r="J106" s="235"/>
      <c r="K106" s="66"/>
      <c r="L106" s="238"/>
      <c r="M106" s="238"/>
    </row>
    <row r="107" ht="12.75" customHeight="1">
      <c r="A107" s="238"/>
      <c r="B107" s="235"/>
      <c r="C107" s="235"/>
      <c r="D107" s="236"/>
      <c r="E107" s="235"/>
      <c r="F107" s="235"/>
      <c r="G107" s="237"/>
      <c r="H107" s="235"/>
      <c r="I107" s="235"/>
      <c r="J107" s="235"/>
      <c r="K107" s="66"/>
      <c r="L107" s="238"/>
      <c r="M107" s="238"/>
    </row>
    <row r="108" ht="12.75" customHeight="1">
      <c r="A108" s="238"/>
      <c r="B108" s="235"/>
      <c r="C108" s="235"/>
      <c r="D108" s="236"/>
      <c r="E108" s="235"/>
      <c r="F108" s="235"/>
      <c r="G108" s="237"/>
      <c r="H108" s="235"/>
      <c r="I108" s="235"/>
      <c r="J108" s="235"/>
      <c r="K108" s="66"/>
      <c r="L108" s="238"/>
      <c r="M108" s="238"/>
    </row>
    <row r="109" ht="12.75" customHeight="1">
      <c r="A109" s="238"/>
      <c r="B109" s="235"/>
      <c r="C109" s="235"/>
      <c r="D109" s="236"/>
      <c r="E109" s="235"/>
      <c r="F109" s="235"/>
      <c r="G109" s="237"/>
      <c r="H109" s="235"/>
      <c r="I109" s="235"/>
      <c r="J109" s="235"/>
      <c r="K109" s="66"/>
      <c r="L109" s="238"/>
      <c r="M109" s="238"/>
    </row>
    <row r="110" ht="12.75" customHeight="1">
      <c r="A110" s="238"/>
      <c r="B110" s="235"/>
      <c r="C110" s="235"/>
      <c r="D110" s="236"/>
      <c r="E110" s="235"/>
      <c r="F110" s="235"/>
      <c r="G110" s="237"/>
      <c r="H110" s="235"/>
      <c r="I110" s="235"/>
      <c r="J110" s="235"/>
      <c r="K110" s="66"/>
      <c r="L110" s="238"/>
      <c r="M110" s="238"/>
    </row>
    <row r="111" ht="12.75" customHeight="1">
      <c r="A111" s="238"/>
      <c r="B111" s="235"/>
      <c r="C111" s="235"/>
      <c r="D111" s="236"/>
      <c r="E111" s="235"/>
      <c r="F111" s="235"/>
      <c r="G111" s="237"/>
      <c r="H111" s="235"/>
      <c r="I111" s="235"/>
      <c r="J111" s="235"/>
      <c r="K111" s="66"/>
      <c r="L111" s="238"/>
      <c r="M111" s="238"/>
    </row>
    <row r="112" ht="12.75" customHeight="1">
      <c r="A112" s="238"/>
      <c r="B112" s="235"/>
      <c r="C112" s="235"/>
      <c r="D112" s="236"/>
      <c r="E112" s="235"/>
      <c r="F112" s="235"/>
      <c r="G112" s="237"/>
      <c r="H112" s="235"/>
      <c r="I112" s="235"/>
      <c r="J112" s="235"/>
      <c r="K112" s="66"/>
      <c r="L112" s="238"/>
      <c r="M112" s="238"/>
    </row>
    <row r="113" ht="12.75" customHeight="1">
      <c r="A113" s="238"/>
      <c r="B113" s="235"/>
      <c r="C113" s="235"/>
      <c r="D113" s="236"/>
      <c r="E113" s="235"/>
      <c r="F113" s="235"/>
      <c r="G113" s="237"/>
      <c r="H113" s="235"/>
      <c r="I113" s="235"/>
      <c r="J113" s="235"/>
      <c r="K113" s="66"/>
      <c r="L113" s="238"/>
      <c r="M113" s="238"/>
    </row>
    <row r="114" ht="12.75" customHeight="1">
      <c r="A114" s="238"/>
      <c r="B114" s="235"/>
      <c r="C114" s="235"/>
      <c r="D114" s="236"/>
      <c r="E114" s="235"/>
      <c r="F114" s="235"/>
      <c r="G114" s="237"/>
      <c r="H114" s="235"/>
      <c r="I114" s="235"/>
      <c r="J114" s="235"/>
      <c r="K114" s="66"/>
      <c r="L114" s="238"/>
      <c r="M114" s="238"/>
    </row>
    <row r="115" ht="12.75" customHeight="1">
      <c r="A115" s="238"/>
      <c r="B115" s="235"/>
      <c r="C115" s="235"/>
      <c r="D115" s="236"/>
      <c r="E115" s="235"/>
      <c r="F115" s="235"/>
      <c r="G115" s="237"/>
      <c r="H115" s="235"/>
      <c r="I115" s="235"/>
      <c r="J115" s="235"/>
      <c r="K115" s="66"/>
      <c r="L115" s="238"/>
      <c r="M115" s="238"/>
    </row>
    <row r="116" ht="12.75" customHeight="1">
      <c r="A116" s="238"/>
      <c r="B116" s="235"/>
      <c r="C116" s="235"/>
      <c r="D116" s="236"/>
      <c r="E116" s="235"/>
      <c r="F116" s="235"/>
      <c r="G116" s="237"/>
      <c r="H116" s="235"/>
      <c r="I116" s="235"/>
      <c r="J116" s="235"/>
      <c r="K116" s="66"/>
      <c r="L116" s="238"/>
      <c r="M116" s="238"/>
    </row>
    <row r="117" ht="12.75" customHeight="1">
      <c r="A117" s="238"/>
      <c r="B117" s="235"/>
      <c r="C117" s="235"/>
      <c r="D117" s="236"/>
      <c r="E117" s="235"/>
      <c r="F117" s="235"/>
      <c r="G117" s="237"/>
      <c r="H117" s="235"/>
      <c r="I117" s="235"/>
      <c r="J117" s="235"/>
      <c r="K117" s="66"/>
      <c r="L117" s="238"/>
      <c r="M117" s="238"/>
    </row>
    <row r="118" ht="12.75" customHeight="1">
      <c r="A118" s="238"/>
      <c r="B118" s="235"/>
      <c r="C118" s="235"/>
      <c r="D118" s="236"/>
      <c r="E118" s="235"/>
      <c r="F118" s="235"/>
      <c r="G118" s="237"/>
      <c r="H118" s="235"/>
      <c r="I118" s="235"/>
      <c r="J118" s="235"/>
      <c r="K118" s="66"/>
      <c r="L118" s="238"/>
      <c r="M118" s="238"/>
    </row>
    <row r="119" ht="12.75" customHeight="1">
      <c r="A119" s="238"/>
      <c r="B119" s="235"/>
      <c r="C119" s="235"/>
      <c r="D119" s="236"/>
      <c r="E119" s="235"/>
      <c r="F119" s="235"/>
      <c r="G119" s="237"/>
      <c r="H119" s="235"/>
      <c r="I119" s="235"/>
      <c r="J119" s="235"/>
      <c r="K119" s="66"/>
      <c r="L119" s="238"/>
      <c r="M119" s="238"/>
    </row>
    <row r="120" ht="12.75" customHeight="1">
      <c r="A120" s="238"/>
      <c r="B120" s="235"/>
      <c r="C120" s="235"/>
      <c r="D120" s="236"/>
      <c r="E120" s="235"/>
      <c r="F120" s="235"/>
      <c r="G120" s="237"/>
      <c r="H120" s="235"/>
      <c r="I120" s="235"/>
      <c r="J120" s="235"/>
      <c r="K120" s="66"/>
      <c r="L120" s="238"/>
      <c r="M120" s="238"/>
    </row>
    <row r="121" ht="12.75" customHeight="1">
      <c r="A121" s="238"/>
      <c r="B121" s="235"/>
      <c r="C121" s="235"/>
      <c r="D121" s="236"/>
      <c r="E121" s="235"/>
      <c r="F121" s="235"/>
      <c r="G121" s="237"/>
      <c r="H121" s="235"/>
      <c r="I121" s="235"/>
      <c r="J121" s="235"/>
      <c r="K121" s="66"/>
      <c r="L121" s="238"/>
      <c r="M121" s="238"/>
    </row>
    <row r="122" ht="12.75" customHeight="1">
      <c r="A122" s="238"/>
      <c r="B122" s="235"/>
      <c r="C122" s="235"/>
      <c r="D122" s="236"/>
      <c r="E122" s="235"/>
      <c r="F122" s="235"/>
      <c r="G122" s="237"/>
      <c r="H122" s="235"/>
      <c r="I122" s="235"/>
      <c r="J122" s="235"/>
      <c r="K122" s="66"/>
      <c r="L122" s="238"/>
      <c r="M122" s="238"/>
    </row>
    <row r="123" ht="12.75" customHeight="1">
      <c r="A123" s="238"/>
      <c r="B123" s="235"/>
      <c r="C123" s="235"/>
      <c r="D123" s="236"/>
      <c r="E123" s="235"/>
      <c r="F123" s="235"/>
      <c r="G123" s="237"/>
      <c r="H123" s="235"/>
      <c r="I123" s="235"/>
      <c r="J123" s="235"/>
      <c r="K123" s="66"/>
      <c r="L123" s="238"/>
      <c r="M123" s="238"/>
    </row>
    <row r="124" ht="12.75" customHeight="1">
      <c r="A124" s="238"/>
      <c r="B124" s="235"/>
      <c r="C124" s="235"/>
      <c r="D124" s="236"/>
      <c r="E124" s="235"/>
      <c r="F124" s="235"/>
      <c r="G124" s="237"/>
      <c r="H124" s="235"/>
      <c r="I124" s="235"/>
      <c r="J124" s="235"/>
      <c r="K124" s="66"/>
      <c r="L124" s="238"/>
      <c r="M124" s="238"/>
    </row>
    <row r="125" ht="12.75" customHeight="1">
      <c r="A125" s="238"/>
      <c r="B125" s="235"/>
      <c r="C125" s="235"/>
      <c r="D125" s="236"/>
      <c r="E125" s="235"/>
      <c r="F125" s="235"/>
      <c r="G125" s="237"/>
      <c r="H125" s="235"/>
      <c r="I125" s="235"/>
      <c r="J125" s="235"/>
      <c r="K125" s="66"/>
      <c r="L125" s="238"/>
      <c r="M125" s="238"/>
    </row>
    <row r="126" ht="12.75" customHeight="1">
      <c r="A126" s="238"/>
      <c r="B126" s="235"/>
      <c r="C126" s="235"/>
      <c r="D126" s="236"/>
      <c r="E126" s="235"/>
      <c r="F126" s="235"/>
      <c r="G126" s="237"/>
      <c r="H126" s="235"/>
      <c r="I126" s="235"/>
      <c r="J126" s="235"/>
      <c r="K126" s="66"/>
      <c r="L126" s="238"/>
      <c r="M126" s="238"/>
    </row>
    <row r="127" ht="12.75" customHeight="1">
      <c r="A127" s="238"/>
      <c r="B127" s="235"/>
      <c r="C127" s="235"/>
      <c r="D127" s="236"/>
      <c r="E127" s="235"/>
      <c r="F127" s="235"/>
      <c r="G127" s="237"/>
      <c r="H127" s="235"/>
      <c r="I127" s="235"/>
      <c r="J127" s="235"/>
      <c r="K127" s="66"/>
      <c r="L127" s="238"/>
      <c r="M127" s="238"/>
    </row>
    <row r="128" ht="12.75" customHeight="1">
      <c r="A128" s="238"/>
      <c r="B128" s="235"/>
      <c r="C128" s="235"/>
      <c r="D128" s="236"/>
      <c r="E128" s="235"/>
      <c r="F128" s="235"/>
      <c r="G128" s="237"/>
      <c r="H128" s="235"/>
      <c r="I128" s="235"/>
      <c r="J128" s="235"/>
      <c r="K128" s="66"/>
      <c r="L128" s="238"/>
      <c r="M128" s="238"/>
    </row>
    <row r="129" ht="12.75" customHeight="1">
      <c r="A129" s="238"/>
      <c r="B129" s="235"/>
      <c r="C129" s="235"/>
      <c r="D129" s="236"/>
      <c r="E129" s="235"/>
      <c r="F129" s="235"/>
      <c r="G129" s="237"/>
      <c r="H129" s="235"/>
      <c r="I129" s="235"/>
      <c r="J129" s="235"/>
      <c r="K129" s="66"/>
      <c r="L129" s="238"/>
      <c r="M129" s="238"/>
    </row>
    <row r="130" ht="12.75" customHeight="1">
      <c r="A130" s="238"/>
      <c r="B130" s="235"/>
      <c r="C130" s="235"/>
      <c r="D130" s="236"/>
      <c r="E130" s="235"/>
      <c r="F130" s="235"/>
      <c r="G130" s="237"/>
      <c r="H130" s="235"/>
      <c r="I130" s="235"/>
      <c r="J130" s="235"/>
      <c r="K130" s="66"/>
      <c r="L130" s="238"/>
      <c r="M130" s="238"/>
    </row>
    <row r="131" ht="12.75" customHeight="1">
      <c r="A131" s="238"/>
      <c r="B131" s="235"/>
      <c r="C131" s="235"/>
      <c r="D131" s="236"/>
      <c r="E131" s="235"/>
      <c r="F131" s="235"/>
      <c r="G131" s="237"/>
      <c r="H131" s="235"/>
      <c r="I131" s="235"/>
      <c r="J131" s="235"/>
      <c r="K131" s="66"/>
      <c r="L131" s="238"/>
      <c r="M131" s="238"/>
    </row>
    <row r="132" ht="12.75" customHeight="1">
      <c r="A132" s="238"/>
      <c r="B132" s="235"/>
      <c r="C132" s="235"/>
      <c r="D132" s="236"/>
      <c r="E132" s="235"/>
      <c r="F132" s="235"/>
      <c r="G132" s="237"/>
      <c r="H132" s="235"/>
      <c r="I132" s="235"/>
      <c r="J132" s="235"/>
      <c r="K132" s="66"/>
      <c r="L132" s="238"/>
      <c r="M132" s="238"/>
    </row>
    <row r="133" ht="12.75" customHeight="1">
      <c r="A133" s="238"/>
      <c r="B133" s="235"/>
      <c r="C133" s="235"/>
      <c r="D133" s="236"/>
      <c r="E133" s="235"/>
      <c r="F133" s="235"/>
      <c r="G133" s="237"/>
      <c r="H133" s="235"/>
      <c r="I133" s="235"/>
      <c r="J133" s="235"/>
      <c r="K133" s="66"/>
      <c r="L133" s="238"/>
      <c r="M133" s="238"/>
    </row>
    <row r="134" ht="12.75" customHeight="1">
      <c r="A134" s="238"/>
      <c r="B134" s="235"/>
      <c r="C134" s="235"/>
      <c r="D134" s="236"/>
      <c r="E134" s="235"/>
      <c r="F134" s="235"/>
      <c r="G134" s="237"/>
      <c r="H134" s="235"/>
      <c r="I134" s="235"/>
      <c r="J134" s="235"/>
      <c r="K134" s="66"/>
      <c r="L134" s="238"/>
      <c r="M134" s="238"/>
    </row>
    <row r="135" ht="12.75" customHeight="1">
      <c r="A135" s="238"/>
      <c r="B135" s="235"/>
      <c r="C135" s="235"/>
      <c r="D135" s="236"/>
      <c r="E135" s="235"/>
      <c r="F135" s="235"/>
      <c r="G135" s="237"/>
      <c r="H135" s="235"/>
      <c r="I135" s="235"/>
      <c r="J135" s="235"/>
      <c r="K135" s="66"/>
      <c r="L135" s="238"/>
      <c r="M135" s="238"/>
    </row>
    <row r="136" ht="12.75" customHeight="1">
      <c r="A136" s="238"/>
      <c r="B136" s="235"/>
      <c r="C136" s="235"/>
      <c r="D136" s="236"/>
      <c r="E136" s="235"/>
      <c r="F136" s="235"/>
      <c r="G136" s="237"/>
      <c r="H136" s="235"/>
      <c r="I136" s="235"/>
      <c r="J136" s="235"/>
      <c r="K136" s="66"/>
      <c r="L136" s="238"/>
      <c r="M136" s="238"/>
    </row>
    <row r="137" ht="12.75" customHeight="1">
      <c r="A137" s="238"/>
      <c r="B137" s="235"/>
      <c r="C137" s="235"/>
      <c r="D137" s="236"/>
      <c r="E137" s="235"/>
      <c r="F137" s="235"/>
      <c r="G137" s="237"/>
      <c r="H137" s="235"/>
      <c r="I137" s="235"/>
      <c r="J137" s="235"/>
      <c r="K137" s="66"/>
      <c r="L137" s="238"/>
      <c r="M137" s="238"/>
    </row>
    <row r="138" ht="12.75" customHeight="1">
      <c r="A138" s="238"/>
      <c r="B138" s="235"/>
      <c r="C138" s="235"/>
      <c r="D138" s="236"/>
      <c r="E138" s="235"/>
      <c r="F138" s="235"/>
      <c r="G138" s="237"/>
      <c r="H138" s="235"/>
      <c r="I138" s="235"/>
      <c r="J138" s="235"/>
      <c r="K138" s="66"/>
      <c r="L138" s="238"/>
      <c r="M138" s="238"/>
    </row>
    <row r="139" ht="12.75" customHeight="1">
      <c r="A139" s="238"/>
      <c r="B139" s="235"/>
      <c r="C139" s="235"/>
      <c r="D139" s="236"/>
      <c r="E139" s="235"/>
      <c r="F139" s="235"/>
      <c r="G139" s="237"/>
      <c r="H139" s="235"/>
      <c r="I139" s="235"/>
      <c r="J139" s="235"/>
      <c r="K139" s="66"/>
      <c r="L139" s="238"/>
      <c r="M139" s="238"/>
    </row>
    <row r="140" ht="12.75" customHeight="1">
      <c r="A140" s="238"/>
      <c r="B140" s="235"/>
      <c r="C140" s="235"/>
      <c r="D140" s="236"/>
      <c r="E140" s="235"/>
      <c r="F140" s="235"/>
      <c r="G140" s="237"/>
      <c r="H140" s="235"/>
      <c r="I140" s="235"/>
      <c r="J140" s="235"/>
      <c r="K140" s="66"/>
      <c r="L140" s="238"/>
      <c r="M140" s="238"/>
    </row>
    <row r="141" ht="12.75" customHeight="1">
      <c r="A141" s="238"/>
      <c r="B141" s="235"/>
      <c r="C141" s="235"/>
      <c r="D141" s="236"/>
      <c r="E141" s="235"/>
      <c r="F141" s="235"/>
      <c r="G141" s="237"/>
      <c r="H141" s="235"/>
      <c r="I141" s="235"/>
      <c r="J141" s="235"/>
      <c r="K141" s="66"/>
      <c r="L141" s="238"/>
      <c r="M141" s="238"/>
    </row>
    <row r="142" ht="12.75" customHeight="1">
      <c r="A142" s="238"/>
      <c r="B142" s="235"/>
      <c r="C142" s="235"/>
      <c r="D142" s="236"/>
      <c r="E142" s="235"/>
      <c r="F142" s="235"/>
      <c r="G142" s="237"/>
      <c r="H142" s="235"/>
      <c r="I142" s="235"/>
      <c r="J142" s="235"/>
      <c r="K142" s="66"/>
      <c r="L142" s="238"/>
      <c r="M142" s="238"/>
    </row>
    <row r="143" ht="12.75" customHeight="1">
      <c r="A143" s="238"/>
      <c r="B143" s="235"/>
      <c r="C143" s="235"/>
      <c r="D143" s="236"/>
      <c r="E143" s="235"/>
      <c r="F143" s="235"/>
      <c r="G143" s="237"/>
      <c r="H143" s="235"/>
      <c r="I143" s="235"/>
      <c r="J143" s="235"/>
      <c r="K143" s="66"/>
      <c r="L143" s="238"/>
      <c r="M143" s="238"/>
    </row>
    <row r="144" ht="12.75" customHeight="1">
      <c r="A144" s="238"/>
      <c r="B144" s="235"/>
      <c r="C144" s="235"/>
      <c r="D144" s="236"/>
      <c r="E144" s="235"/>
      <c r="F144" s="235"/>
      <c r="G144" s="237"/>
      <c r="H144" s="235"/>
      <c r="I144" s="235"/>
      <c r="J144" s="235"/>
      <c r="K144" s="66"/>
      <c r="L144" s="238"/>
      <c r="M144" s="238"/>
    </row>
    <row r="145" ht="12.75" customHeight="1">
      <c r="A145" s="238"/>
      <c r="B145" s="235"/>
      <c r="C145" s="235"/>
      <c r="D145" s="236"/>
      <c r="E145" s="235"/>
      <c r="F145" s="235"/>
      <c r="G145" s="237"/>
      <c r="H145" s="235"/>
      <c r="I145" s="235"/>
      <c r="J145" s="235"/>
      <c r="K145" s="66"/>
      <c r="L145" s="238"/>
      <c r="M145" s="238"/>
    </row>
    <row r="146" ht="12.75" customHeight="1">
      <c r="A146" s="238"/>
      <c r="B146" s="235"/>
      <c r="C146" s="235"/>
      <c r="D146" s="236"/>
      <c r="E146" s="235"/>
      <c r="F146" s="235"/>
      <c r="G146" s="237"/>
      <c r="H146" s="235"/>
      <c r="I146" s="235"/>
      <c r="J146" s="235"/>
      <c r="K146" s="66"/>
      <c r="L146" s="238"/>
      <c r="M146" s="238"/>
    </row>
    <row r="147" ht="12.75" customHeight="1">
      <c r="A147" s="238"/>
      <c r="B147" s="235"/>
      <c r="C147" s="235"/>
      <c r="D147" s="236"/>
      <c r="E147" s="235"/>
      <c r="F147" s="235"/>
      <c r="G147" s="237"/>
      <c r="H147" s="235"/>
      <c r="I147" s="235"/>
      <c r="J147" s="235"/>
      <c r="K147" s="66"/>
      <c r="L147" s="238"/>
      <c r="M147" s="238"/>
    </row>
    <row r="148" ht="12.75" customHeight="1">
      <c r="A148" s="238"/>
      <c r="B148" s="235"/>
      <c r="C148" s="235"/>
      <c r="D148" s="236"/>
      <c r="E148" s="235"/>
      <c r="F148" s="235"/>
      <c r="G148" s="237"/>
      <c r="H148" s="235"/>
      <c r="I148" s="235"/>
      <c r="J148" s="235"/>
      <c r="K148" s="66"/>
      <c r="L148" s="238"/>
      <c r="M148" s="238"/>
    </row>
    <row r="149" ht="12.75" customHeight="1">
      <c r="A149" s="238"/>
      <c r="B149" s="235"/>
      <c r="C149" s="235"/>
      <c r="D149" s="236"/>
      <c r="E149" s="235"/>
      <c r="F149" s="235"/>
      <c r="G149" s="237"/>
      <c r="H149" s="235"/>
      <c r="I149" s="235"/>
      <c r="J149" s="235"/>
      <c r="K149" s="66"/>
      <c r="L149" s="238"/>
      <c r="M149" s="238"/>
    </row>
    <row r="150" ht="12.75" customHeight="1">
      <c r="A150" s="238"/>
      <c r="B150" s="235"/>
      <c r="C150" s="235"/>
      <c r="D150" s="236"/>
      <c r="E150" s="235"/>
      <c r="F150" s="235"/>
      <c r="G150" s="237"/>
      <c r="H150" s="235"/>
      <c r="I150" s="235"/>
      <c r="J150" s="235"/>
      <c r="K150" s="66"/>
      <c r="L150" s="238"/>
      <c r="M150" s="238"/>
    </row>
    <row r="151" ht="12.75" customHeight="1">
      <c r="A151" s="238"/>
      <c r="B151" s="235"/>
      <c r="C151" s="235"/>
      <c r="D151" s="236"/>
      <c r="E151" s="235"/>
      <c r="F151" s="235"/>
      <c r="G151" s="237"/>
      <c r="H151" s="235"/>
      <c r="I151" s="235"/>
      <c r="J151" s="235"/>
      <c r="K151" s="66"/>
      <c r="L151" s="238"/>
      <c r="M151" s="238"/>
    </row>
    <row r="152" ht="12.75" customHeight="1">
      <c r="A152" s="238"/>
      <c r="B152" s="235"/>
      <c r="C152" s="235"/>
      <c r="D152" s="236"/>
      <c r="E152" s="235"/>
      <c r="F152" s="235"/>
      <c r="G152" s="237"/>
      <c r="H152" s="235"/>
      <c r="I152" s="235"/>
      <c r="J152" s="235"/>
      <c r="K152" s="66"/>
      <c r="L152" s="238"/>
      <c r="M152" s="238"/>
    </row>
    <row r="153" ht="12.75" customHeight="1">
      <c r="A153" s="238"/>
      <c r="B153" s="235"/>
      <c r="C153" s="235"/>
      <c r="D153" s="236"/>
      <c r="E153" s="235"/>
      <c r="F153" s="235"/>
      <c r="G153" s="237"/>
      <c r="H153" s="235"/>
      <c r="I153" s="235"/>
      <c r="J153" s="235"/>
      <c r="K153" s="66"/>
      <c r="L153" s="238"/>
      <c r="M153" s="238"/>
    </row>
    <row r="154" ht="12.75" customHeight="1">
      <c r="A154" s="238"/>
      <c r="B154" s="235"/>
      <c r="C154" s="235"/>
      <c r="D154" s="236"/>
      <c r="E154" s="235"/>
      <c r="F154" s="235"/>
      <c r="G154" s="237"/>
      <c r="H154" s="235"/>
      <c r="I154" s="235"/>
      <c r="J154" s="235"/>
      <c r="K154" s="66"/>
      <c r="L154" s="238"/>
      <c r="M154" s="238"/>
    </row>
    <row r="155" ht="12.75" customHeight="1">
      <c r="A155" s="238"/>
      <c r="B155" s="235"/>
      <c r="C155" s="235"/>
      <c r="D155" s="236"/>
      <c r="E155" s="235"/>
      <c r="F155" s="235"/>
      <c r="G155" s="237"/>
      <c r="H155" s="235"/>
      <c r="I155" s="235"/>
      <c r="J155" s="235"/>
      <c r="K155" s="66"/>
      <c r="L155" s="238"/>
      <c r="M155" s="238"/>
    </row>
    <row r="156" ht="12.75" customHeight="1">
      <c r="A156" s="238"/>
      <c r="B156" s="235"/>
      <c r="C156" s="235"/>
      <c r="D156" s="236"/>
      <c r="E156" s="235"/>
      <c r="F156" s="235"/>
      <c r="G156" s="237"/>
      <c r="H156" s="235"/>
      <c r="I156" s="235"/>
      <c r="J156" s="235"/>
      <c r="K156" s="66"/>
      <c r="L156" s="238"/>
      <c r="M156" s="238"/>
    </row>
    <row r="157" ht="12.75" customHeight="1">
      <c r="A157" s="238"/>
      <c r="B157" s="235"/>
      <c r="C157" s="235"/>
      <c r="D157" s="236"/>
      <c r="E157" s="235"/>
      <c r="F157" s="235"/>
      <c r="G157" s="237"/>
      <c r="H157" s="235"/>
      <c r="I157" s="235"/>
      <c r="J157" s="235"/>
      <c r="K157" s="66"/>
      <c r="L157" s="238"/>
      <c r="M157" s="238"/>
    </row>
    <row r="158" ht="12.75" customHeight="1">
      <c r="A158" s="238"/>
      <c r="B158" s="235"/>
      <c r="C158" s="235"/>
      <c r="D158" s="236"/>
      <c r="E158" s="235"/>
      <c r="F158" s="235"/>
      <c r="G158" s="237"/>
      <c r="H158" s="235"/>
      <c r="I158" s="235"/>
      <c r="J158" s="235"/>
      <c r="K158" s="66"/>
      <c r="L158" s="238"/>
      <c r="M158" s="238"/>
    </row>
    <row r="159" ht="12.75" customHeight="1">
      <c r="A159" s="238"/>
      <c r="B159" s="235"/>
      <c r="C159" s="235"/>
      <c r="D159" s="236"/>
      <c r="E159" s="235"/>
      <c r="F159" s="235"/>
      <c r="G159" s="237"/>
      <c r="H159" s="235"/>
      <c r="I159" s="235"/>
      <c r="J159" s="235"/>
      <c r="K159" s="66"/>
      <c r="L159" s="238"/>
      <c r="M159" s="238"/>
    </row>
    <row r="160" ht="12.75" customHeight="1">
      <c r="A160" s="238"/>
      <c r="B160" s="235"/>
      <c r="C160" s="235"/>
      <c r="D160" s="236"/>
      <c r="E160" s="235"/>
      <c r="F160" s="235"/>
      <c r="G160" s="237"/>
      <c r="H160" s="235"/>
      <c r="I160" s="235"/>
      <c r="J160" s="235"/>
      <c r="K160" s="66"/>
      <c r="L160" s="238"/>
      <c r="M160" s="238"/>
    </row>
    <row r="161" ht="12.75" customHeight="1">
      <c r="A161" s="238"/>
      <c r="B161" s="235"/>
      <c r="C161" s="235"/>
      <c r="D161" s="236"/>
      <c r="E161" s="235"/>
      <c r="F161" s="235"/>
      <c r="G161" s="237"/>
      <c r="H161" s="235"/>
      <c r="I161" s="235"/>
      <c r="J161" s="235"/>
      <c r="K161" s="66"/>
      <c r="L161" s="238"/>
      <c r="M161" s="238"/>
    </row>
    <row r="162" ht="12.75" customHeight="1">
      <c r="A162" s="238"/>
      <c r="B162" s="235"/>
      <c r="C162" s="235"/>
      <c r="D162" s="236"/>
      <c r="E162" s="235"/>
      <c r="F162" s="235"/>
      <c r="G162" s="237"/>
      <c r="H162" s="235"/>
      <c r="I162" s="235"/>
      <c r="J162" s="235"/>
      <c r="K162" s="66"/>
      <c r="L162" s="238"/>
      <c r="M162" s="238"/>
    </row>
    <row r="163" ht="12.75" customHeight="1">
      <c r="A163" s="238"/>
      <c r="B163" s="235"/>
      <c r="C163" s="235"/>
      <c r="D163" s="236"/>
      <c r="E163" s="235"/>
      <c r="F163" s="235"/>
      <c r="G163" s="237"/>
      <c r="H163" s="235"/>
      <c r="I163" s="235"/>
      <c r="J163" s="235"/>
      <c r="K163" s="66"/>
      <c r="L163" s="238"/>
      <c r="M163" s="238"/>
    </row>
    <row r="164" ht="12.75" customHeight="1">
      <c r="A164" s="238"/>
      <c r="B164" s="235"/>
      <c r="C164" s="235"/>
      <c r="D164" s="236"/>
      <c r="E164" s="235"/>
      <c r="F164" s="235"/>
      <c r="G164" s="237"/>
      <c r="H164" s="235"/>
      <c r="I164" s="235"/>
      <c r="J164" s="235"/>
      <c r="K164" s="66"/>
      <c r="L164" s="238"/>
      <c r="M164" s="238"/>
    </row>
    <row r="165" ht="12.75" customHeight="1">
      <c r="A165" s="238"/>
      <c r="B165" s="235"/>
      <c r="C165" s="235"/>
      <c r="D165" s="236"/>
      <c r="E165" s="235"/>
      <c r="F165" s="235"/>
      <c r="G165" s="237"/>
      <c r="H165" s="235"/>
      <c r="I165" s="235"/>
      <c r="J165" s="235"/>
      <c r="K165" s="66"/>
      <c r="L165" s="238"/>
      <c r="M165" s="238"/>
    </row>
    <row r="166" ht="12.75" customHeight="1">
      <c r="A166" s="238"/>
      <c r="B166" s="235"/>
      <c r="C166" s="235"/>
      <c r="D166" s="236"/>
      <c r="E166" s="235"/>
      <c r="F166" s="235"/>
      <c r="G166" s="237"/>
      <c r="H166" s="235"/>
      <c r="I166" s="235"/>
      <c r="J166" s="235"/>
      <c r="K166" s="66"/>
      <c r="L166" s="238"/>
      <c r="M166" s="238"/>
    </row>
    <row r="167" ht="12.75" customHeight="1">
      <c r="A167" s="238"/>
      <c r="B167" s="235"/>
      <c r="C167" s="235"/>
      <c r="D167" s="236"/>
      <c r="E167" s="235"/>
      <c r="F167" s="235"/>
      <c r="G167" s="237"/>
      <c r="H167" s="235"/>
      <c r="I167" s="235"/>
      <c r="J167" s="235"/>
      <c r="K167" s="66"/>
      <c r="L167" s="238"/>
      <c r="M167" s="238"/>
    </row>
    <row r="168" ht="12.75" customHeight="1">
      <c r="A168" s="238"/>
      <c r="B168" s="235"/>
      <c r="C168" s="235"/>
      <c r="D168" s="236"/>
      <c r="E168" s="235"/>
      <c r="F168" s="235"/>
      <c r="G168" s="237"/>
      <c r="H168" s="235"/>
      <c r="I168" s="235"/>
      <c r="J168" s="235"/>
      <c r="K168" s="66"/>
      <c r="L168" s="238"/>
      <c r="M168" s="238"/>
    </row>
    <row r="169" ht="12.75" customHeight="1">
      <c r="A169" s="238"/>
      <c r="B169" s="235"/>
      <c r="C169" s="235"/>
      <c r="D169" s="236"/>
      <c r="E169" s="235"/>
      <c r="F169" s="235"/>
      <c r="G169" s="237"/>
      <c r="H169" s="235"/>
      <c r="I169" s="235"/>
      <c r="J169" s="235"/>
      <c r="K169" s="66"/>
      <c r="L169" s="238"/>
      <c r="M169" s="238"/>
    </row>
    <row r="170" ht="12.75" customHeight="1">
      <c r="A170" s="238"/>
      <c r="B170" s="235"/>
      <c r="C170" s="235"/>
      <c r="D170" s="236"/>
      <c r="E170" s="235"/>
      <c r="F170" s="235"/>
      <c r="G170" s="237"/>
      <c r="H170" s="235"/>
      <c r="I170" s="235"/>
      <c r="J170" s="235"/>
      <c r="K170" s="66"/>
      <c r="L170" s="238"/>
      <c r="M170" s="238"/>
    </row>
    <row r="171" ht="12.75" customHeight="1">
      <c r="A171" s="238"/>
      <c r="B171" s="235"/>
      <c r="C171" s="235"/>
      <c r="D171" s="236"/>
      <c r="E171" s="235"/>
      <c r="F171" s="235"/>
      <c r="G171" s="237"/>
      <c r="H171" s="235"/>
      <c r="I171" s="235"/>
      <c r="J171" s="235"/>
      <c r="K171" s="66"/>
      <c r="L171" s="238"/>
      <c r="M171" s="238"/>
    </row>
    <row r="172" ht="12.75" customHeight="1">
      <c r="A172" s="238"/>
      <c r="B172" s="235"/>
      <c r="C172" s="235"/>
      <c r="D172" s="236"/>
      <c r="E172" s="235"/>
      <c r="F172" s="235"/>
      <c r="G172" s="237"/>
      <c r="H172" s="235"/>
      <c r="I172" s="235"/>
      <c r="J172" s="235"/>
      <c r="K172" s="66"/>
      <c r="L172" s="238"/>
      <c r="M172" s="238"/>
    </row>
    <row r="173" ht="12.75" customHeight="1">
      <c r="A173" s="238"/>
      <c r="B173" s="235"/>
      <c r="C173" s="235"/>
      <c r="D173" s="236"/>
      <c r="E173" s="235"/>
      <c r="F173" s="235"/>
      <c r="G173" s="237"/>
      <c r="H173" s="235"/>
      <c r="I173" s="235"/>
      <c r="J173" s="235"/>
      <c r="K173" s="66"/>
      <c r="L173" s="238"/>
      <c r="M173" s="238"/>
    </row>
    <row r="174" ht="12.75" customHeight="1">
      <c r="A174" s="238"/>
      <c r="B174" s="235"/>
      <c r="C174" s="235"/>
      <c r="D174" s="236"/>
      <c r="E174" s="235"/>
      <c r="F174" s="235"/>
      <c r="G174" s="237"/>
      <c r="H174" s="235"/>
      <c r="I174" s="235"/>
      <c r="J174" s="235"/>
      <c r="K174" s="66"/>
      <c r="L174" s="238"/>
      <c r="M174" s="238"/>
    </row>
    <row r="175" ht="12.75" customHeight="1">
      <c r="A175" s="238"/>
      <c r="B175" s="235"/>
      <c r="C175" s="235"/>
      <c r="D175" s="236"/>
      <c r="E175" s="235"/>
      <c r="F175" s="235"/>
      <c r="G175" s="237"/>
      <c r="H175" s="235"/>
      <c r="I175" s="235"/>
      <c r="J175" s="235"/>
      <c r="K175" s="66"/>
      <c r="L175" s="238"/>
      <c r="M175" s="238"/>
    </row>
    <row r="176" ht="12.75" customHeight="1">
      <c r="A176" s="238"/>
      <c r="B176" s="235"/>
      <c r="C176" s="235"/>
      <c r="D176" s="236"/>
      <c r="E176" s="235"/>
      <c r="F176" s="235"/>
      <c r="G176" s="237"/>
      <c r="H176" s="235"/>
      <c r="I176" s="235"/>
      <c r="J176" s="235"/>
      <c r="K176" s="66"/>
      <c r="L176" s="238"/>
      <c r="M176" s="238"/>
    </row>
    <row r="177" ht="12.75" customHeight="1">
      <c r="A177" s="238"/>
      <c r="B177" s="235"/>
      <c r="C177" s="235"/>
      <c r="D177" s="236"/>
      <c r="E177" s="235"/>
      <c r="F177" s="235"/>
      <c r="G177" s="237"/>
      <c r="H177" s="235"/>
      <c r="I177" s="235"/>
      <c r="J177" s="235"/>
      <c r="K177" s="66"/>
      <c r="L177" s="238"/>
      <c r="M177" s="238"/>
    </row>
    <row r="178" ht="12.75" customHeight="1">
      <c r="A178" s="238"/>
      <c r="B178" s="235"/>
      <c r="C178" s="235"/>
      <c r="D178" s="236"/>
      <c r="E178" s="235"/>
      <c r="F178" s="235"/>
      <c r="G178" s="237"/>
      <c r="H178" s="235"/>
      <c r="I178" s="235"/>
      <c r="J178" s="235"/>
      <c r="K178" s="66"/>
      <c r="L178" s="238"/>
      <c r="M178" s="238"/>
    </row>
    <row r="179" ht="12.75" customHeight="1">
      <c r="A179" s="238"/>
      <c r="B179" s="235"/>
      <c r="C179" s="235"/>
      <c r="D179" s="236"/>
      <c r="E179" s="235"/>
      <c r="F179" s="235"/>
      <c r="G179" s="237"/>
      <c r="H179" s="235"/>
      <c r="I179" s="235"/>
      <c r="J179" s="235"/>
      <c r="K179" s="66"/>
      <c r="L179" s="238"/>
      <c r="M179" s="238"/>
    </row>
    <row r="180" ht="12.75" customHeight="1">
      <c r="A180" s="238"/>
      <c r="B180" s="235"/>
      <c r="C180" s="235"/>
      <c r="D180" s="236"/>
      <c r="E180" s="235"/>
      <c r="F180" s="235"/>
      <c r="G180" s="237"/>
      <c r="H180" s="235"/>
      <c r="I180" s="235"/>
      <c r="J180" s="235"/>
      <c r="K180" s="66"/>
      <c r="L180" s="238"/>
      <c r="M180" s="238"/>
    </row>
    <row r="181" ht="12.75" customHeight="1">
      <c r="A181" s="238"/>
      <c r="B181" s="235"/>
      <c r="C181" s="235"/>
      <c r="D181" s="236"/>
      <c r="E181" s="235"/>
      <c r="F181" s="235"/>
      <c r="G181" s="237"/>
      <c r="H181" s="235"/>
      <c r="I181" s="235"/>
      <c r="J181" s="235"/>
      <c r="K181" s="66"/>
      <c r="L181" s="238"/>
      <c r="M181" s="238"/>
    </row>
    <row r="182" ht="12.75" customHeight="1">
      <c r="A182" s="238"/>
      <c r="B182" s="235"/>
      <c r="C182" s="235"/>
      <c r="D182" s="236"/>
      <c r="E182" s="235"/>
      <c r="F182" s="235"/>
      <c r="G182" s="237"/>
      <c r="H182" s="235"/>
      <c r="I182" s="235"/>
      <c r="J182" s="235"/>
      <c r="K182" s="66"/>
      <c r="L182" s="238"/>
      <c r="M182" s="238"/>
    </row>
    <row r="183" ht="12.75" customHeight="1">
      <c r="A183" s="238"/>
      <c r="B183" s="235"/>
      <c r="C183" s="235"/>
      <c r="D183" s="236"/>
      <c r="E183" s="235"/>
      <c r="F183" s="235"/>
      <c r="G183" s="237"/>
      <c r="H183" s="235"/>
      <c r="I183" s="235"/>
      <c r="J183" s="235"/>
      <c r="K183" s="66"/>
      <c r="L183" s="238"/>
      <c r="M183" s="238"/>
    </row>
    <row r="184" ht="12.75" customHeight="1">
      <c r="A184" s="238"/>
      <c r="B184" s="235"/>
      <c r="C184" s="235"/>
      <c r="D184" s="236"/>
      <c r="E184" s="235"/>
      <c r="F184" s="235"/>
      <c r="G184" s="237"/>
      <c r="H184" s="235"/>
      <c r="I184" s="235"/>
      <c r="J184" s="235"/>
      <c r="K184" s="66"/>
      <c r="L184" s="238"/>
      <c r="M184" s="238"/>
    </row>
    <row r="185" ht="12.75" customHeight="1">
      <c r="A185" s="238"/>
      <c r="B185" s="235"/>
      <c r="C185" s="235"/>
      <c r="D185" s="236"/>
      <c r="E185" s="235"/>
      <c r="F185" s="235"/>
      <c r="G185" s="237"/>
      <c r="H185" s="235"/>
      <c r="I185" s="235"/>
      <c r="J185" s="235"/>
      <c r="K185" s="66"/>
      <c r="L185" s="238"/>
      <c r="M185" s="238"/>
    </row>
    <row r="186" ht="12.75" customHeight="1">
      <c r="A186" s="238"/>
      <c r="B186" s="235"/>
      <c r="C186" s="235"/>
      <c r="D186" s="236"/>
      <c r="E186" s="235"/>
      <c r="F186" s="235"/>
      <c r="G186" s="237"/>
      <c r="H186" s="235"/>
      <c r="I186" s="235"/>
      <c r="J186" s="235"/>
      <c r="K186" s="66"/>
      <c r="L186" s="238"/>
      <c r="M186" s="238"/>
    </row>
    <row r="187" ht="12.75" customHeight="1">
      <c r="A187" s="238"/>
      <c r="B187" s="235"/>
      <c r="C187" s="235"/>
      <c r="D187" s="236"/>
      <c r="E187" s="235"/>
      <c r="F187" s="235"/>
      <c r="G187" s="237"/>
      <c r="H187" s="235"/>
      <c r="I187" s="235"/>
      <c r="J187" s="235"/>
      <c r="K187" s="66"/>
      <c r="L187" s="238"/>
      <c r="M187" s="238"/>
    </row>
    <row r="188" ht="12.75" customHeight="1">
      <c r="A188" s="238"/>
      <c r="B188" s="235"/>
      <c r="C188" s="235"/>
      <c r="D188" s="236"/>
      <c r="E188" s="235"/>
      <c r="F188" s="235"/>
      <c r="G188" s="237"/>
      <c r="H188" s="235"/>
      <c r="I188" s="235"/>
      <c r="J188" s="235"/>
      <c r="K188" s="66"/>
      <c r="L188" s="238"/>
      <c r="M188" s="238"/>
    </row>
    <row r="189" ht="12.75" customHeight="1">
      <c r="A189" s="238"/>
      <c r="B189" s="235"/>
      <c r="C189" s="235"/>
      <c r="D189" s="236"/>
      <c r="E189" s="235"/>
      <c r="F189" s="235"/>
      <c r="G189" s="237"/>
      <c r="H189" s="235"/>
      <c r="I189" s="235"/>
      <c r="J189" s="235"/>
      <c r="K189" s="66"/>
      <c r="L189" s="238"/>
      <c r="M189" s="238"/>
    </row>
    <row r="190" ht="12.75" customHeight="1">
      <c r="A190" s="238"/>
      <c r="B190" s="235"/>
      <c r="C190" s="235"/>
      <c r="D190" s="236"/>
      <c r="E190" s="235"/>
      <c r="F190" s="235"/>
      <c r="G190" s="237"/>
      <c r="H190" s="235"/>
      <c r="I190" s="235"/>
      <c r="J190" s="235"/>
      <c r="K190" s="66"/>
      <c r="L190" s="238"/>
      <c r="M190" s="238"/>
    </row>
    <row r="191" ht="12.75" customHeight="1">
      <c r="A191" s="238"/>
      <c r="B191" s="235"/>
      <c r="C191" s="235"/>
      <c r="D191" s="236"/>
      <c r="E191" s="235"/>
      <c r="F191" s="235"/>
      <c r="G191" s="237"/>
      <c r="H191" s="235"/>
      <c r="I191" s="235"/>
      <c r="J191" s="235"/>
      <c r="K191" s="66"/>
      <c r="L191" s="238"/>
      <c r="M191" s="238"/>
    </row>
    <row r="192" ht="12.75" customHeight="1">
      <c r="A192" s="238"/>
      <c r="B192" s="235"/>
      <c r="C192" s="235"/>
      <c r="D192" s="236"/>
      <c r="E192" s="235"/>
      <c r="F192" s="235"/>
      <c r="G192" s="237"/>
      <c r="H192" s="235"/>
      <c r="I192" s="235"/>
      <c r="J192" s="235"/>
      <c r="K192" s="66"/>
      <c r="L192" s="238"/>
      <c r="M192" s="238"/>
    </row>
    <row r="193" ht="12.75" customHeight="1">
      <c r="A193" s="238"/>
      <c r="B193" s="235"/>
      <c r="C193" s="235"/>
      <c r="D193" s="236"/>
      <c r="E193" s="235"/>
      <c r="F193" s="235"/>
      <c r="G193" s="237"/>
      <c r="H193" s="235"/>
      <c r="I193" s="235"/>
      <c r="J193" s="235"/>
      <c r="K193" s="66"/>
      <c r="L193" s="238"/>
      <c r="M193" s="238"/>
    </row>
    <row r="194" ht="12.75" customHeight="1">
      <c r="A194" s="238"/>
      <c r="B194" s="235"/>
      <c r="C194" s="235"/>
      <c r="D194" s="236"/>
      <c r="E194" s="235"/>
      <c r="F194" s="235"/>
      <c r="G194" s="237"/>
      <c r="H194" s="235"/>
      <c r="I194" s="235"/>
      <c r="J194" s="235"/>
      <c r="K194" s="66"/>
      <c r="L194" s="238"/>
      <c r="M194" s="238"/>
    </row>
    <row r="195" ht="12.75" customHeight="1">
      <c r="A195" s="238"/>
      <c r="B195" s="235"/>
      <c r="C195" s="235"/>
      <c r="D195" s="236"/>
      <c r="E195" s="235"/>
      <c r="F195" s="235"/>
      <c r="G195" s="237"/>
      <c r="H195" s="235"/>
      <c r="I195" s="235"/>
      <c r="J195" s="235"/>
      <c r="K195" s="66"/>
      <c r="L195" s="238"/>
      <c r="M195" s="238"/>
    </row>
    <row r="196" ht="12.75" customHeight="1">
      <c r="A196" s="238"/>
      <c r="B196" s="235"/>
      <c r="C196" s="235"/>
      <c r="D196" s="236"/>
      <c r="E196" s="235"/>
      <c r="F196" s="235"/>
      <c r="G196" s="237"/>
      <c r="H196" s="235"/>
      <c r="I196" s="235"/>
      <c r="J196" s="235"/>
      <c r="K196" s="66"/>
      <c r="L196" s="238"/>
      <c r="M196" s="238"/>
    </row>
    <row r="197" ht="12.75" customHeight="1">
      <c r="A197" s="238"/>
      <c r="B197" s="235"/>
      <c r="C197" s="235"/>
      <c r="D197" s="236"/>
      <c r="E197" s="235"/>
      <c r="F197" s="235"/>
      <c r="G197" s="237"/>
      <c r="H197" s="235"/>
      <c r="I197" s="235"/>
      <c r="J197" s="235"/>
      <c r="K197" s="66"/>
      <c r="L197" s="238"/>
      <c r="M197" s="238"/>
    </row>
    <row r="198" ht="12.75" customHeight="1">
      <c r="A198" s="238"/>
      <c r="B198" s="235"/>
      <c r="C198" s="235"/>
      <c r="D198" s="236"/>
      <c r="E198" s="235"/>
      <c r="F198" s="235"/>
      <c r="G198" s="237"/>
      <c r="H198" s="235"/>
      <c r="I198" s="235"/>
      <c r="J198" s="235"/>
      <c r="K198" s="66"/>
      <c r="L198" s="238"/>
      <c r="M198" s="238"/>
    </row>
    <row r="199" ht="12.75" customHeight="1">
      <c r="A199" s="238"/>
      <c r="B199" s="235"/>
      <c r="C199" s="235"/>
      <c r="D199" s="236"/>
      <c r="E199" s="235"/>
      <c r="F199" s="235"/>
      <c r="G199" s="237"/>
      <c r="H199" s="235"/>
      <c r="I199" s="235"/>
      <c r="J199" s="235"/>
      <c r="K199" s="66"/>
      <c r="L199" s="238"/>
      <c r="M199" s="238"/>
    </row>
    <row r="200" ht="12.75" customHeight="1">
      <c r="A200" s="238"/>
      <c r="B200" s="235"/>
      <c r="C200" s="235"/>
      <c r="D200" s="236"/>
      <c r="E200" s="235"/>
      <c r="F200" s="235"/>
      <c r="G200" s="237"/>
      <c r="H200" s="235"/>
      <c r="I200" s="235"/>
      <c r="J200" s="235"/>
      <c r="K200" s="66"/>
      <c r="L200" s="238"/>
      <c r="M200" s="238"/>
    </row>
    <row r="201" ht="12.75" customHeight="1">
      <c r="A201" s="238"/>
      <c r="B201" s="235"/>
      <c r="C201" s="235"/>
      <c r="D201" s="236"/>
      <c r="E201" s="235"/>
      <c r="F201" s="235"/>
      <c r="G201" s="237"/>
      <c r="H201" s="235"/>
      <c r="I201" s="235"/>
      <c r="J201" s="235"/>
      <c r="K201" s="66"/>
      <c r="L201" s="238"/>
      <c r="M201" s="238"/>
    </row>
    <row r="202" ht="12.75" customHeight="1">
      <c r="A202" s="238"/>
      <c r="B202" s="235"/>
      <c r="C202" s="235"/>
      <c r="D202" s="236"/>
      <c r="E202" s="235"/>
      <c r="F202" s="235"/>
      <c r="G202" s="237"/>
      <c r="H202" s="235"/>
      <c r="I202" s="235"/>
      <c r="J202" s="235"/>
      <c r="K202" s="66"/>
      <c r="L202" s="238"/>
      <c r="M202" s="238"/>
    </row>
    <row r="203" ht="12.75" customHeight="1">
      <c r="A203" s="238"/>
      <c r="B203" s="235"/>
      <c r="C203" s="235"/>
      <c r="D203" s="236"/>
      <c r="E203" s="235"/>
      <c r="F203" s="235"/>
      <c r="G203" s="237"/>
      <c r="H203" s="235"/>
      <c r="I203" s="235"/>
      <c r="J203" s="235"/>
      <c r="K203" s="66"/>
      <c r="L203" s="238"/>
      <c r="M203" s="238"/>
    </row>
    <row r="204" ht="12.75" customHeight="1">
      <c r="A204" s="238"/>
      <c r="B204" s="235"/>
      <c r="C204" s="235"/>
      <c r="D204" s="236"/>
      <c r="E204" s="235"/>
      <c r="F204" s="235"/>
      <c r="G204" s="237"/>
      <c r="H204" s="235"/>
      <c r="I204" s="235"/>
      <c r="J204" s="235"/>
      <c r="K204" s="66"/>
      <c r="L204" s="238"/>
      <c r="M204" s="238"/>
    </row>
    <row r="205" ht="12.75" customHeight="1">
      <c r="A205" s="238"/>
      <c r="B205" s="235"/>
      <c r="C205" s="235"/>
      <c r="D205" s="236"/>
      <c r="E205" s="235"/>
      <c r="F205" s="235"/>
      <c r="G205" s="237"/>
      <c r="H205" s="235"/>
      <c r="I205" s="235"/>
      <c r="J205" s="235"/>
      <c r="K205" s="66"/>
      <c r="L205" s="238"/>
      <c r="M205" s="238"/>
    </row>
    <row r="206" ht="12.75" customHeight="1">
      <c r="A206" s="238"/>
      <c r="B206" s="235"/>
      <c r="C206" s="235"/>
      <c r="D206" s="236"/>
      <c r="E206" s="235"/>
      <c r="F206" s="235"/>
      <c r="G206" s="237"/>
      <c r="H206" s="235"/>
      <c r="I206" s="235"/>
      <c r="J206" s="235"/>
      <c r="K206" s="66"/>
      <c r="L206" s="238"/>
      <c r="M206" s="238"/>
    </row>
    <row r="207" ht="12.75" customHeight="1">
      <c r="A207" s="238"/>
      <c r="B207" s="235"/>
      <c r="C207" s="235"/>
      <c r="D207" s="236"/>
      <c r="E207" s="235"/>
      <c r="F207" s="235"/>
      <c r="G207" s="237"/>
      <c r="H207" s="235"/>
      <c r="I207" s="235"/>
      <c r="J207" s="235"/>
      <c r="K207" s="66"/>
      <c r="L207" s="238"/>
      <c r="M207" s="238"/>
    </row>
    <row r="208" ht="12.75" customHeight="1">
      <c r="A208" s="238"/>
      <c r="B208" s="235"/>
      <c r="C208" s="235"/>
      <c r="D208" s="236"/>
      <c r="E208" s="235"/>
      <c r="F208" s="235"/>
      <c r="G208" s="237"/>
      <c r="H208" s="235"/>
      <c r="I208" s="235"/>
      <c r="J208" s="235"/>
      <c r="K208" s="66"/>
      <c r="L208" s="238"/>
      <c r="M208" s="238"/>
    </row>
    <row r="209" ht="12.75" customHeight="1">
      <c r="A209" s="238"/>
      <c r="B209" s="235"/>
      <c r="C209" s="235"/>
      <c r="D209" s="236"/>
      <c r="E209" s="235"/>
      <c r="F209" s="235"/>
      <c r="G209" s="237"/>
      <c r="H209" s="235"/>
      <c r="I209" s="235"/>
      <c r="J209" s="235"/>
      <c r="K209" s="66"/>
      <c r="L209" s="238"/>
      <c r="M209" s="238"/>
    </row>
    <row r="210" ht="12.75" customHeight="1">
      <c r="A210" s="238"/>
      <c r="B210" s="235"/>
      <c r="C210" s="235"/>
      <c r="D210" s="236"/>
      <c r="E210" s="235"/>
      <c r="F210" s="235"/>
      <c r="G210" s="237"/>
      <c r="H210" s="235"/>
      <c r="I210" s="235"/>
      <c r="J210" s="235"/>
      <c r="K210" s="66"/>
      <c r="L210" s="238"/>
      <c r="M210" s="238"/>
    </row>
    <row r="211" ht="12.75" customHeight="1">
      <c r="A211" s="238"/>
      <c r="B211" s="235"/>
      <c r="C211" s="235"/>
      <c r="D211" s="236"/>
      <c r="E211" s="235"/>
      <c r="F211" s="235"/>
      <c r="G211" s="237"/>
      <c r="H211" s="235"/>
      <c r="I211" s="235"/>
      <c r="J211" s="235"/>
      <c r="K211" s="66"/>
      <c r="L211" s="238"/>
      <c r="M211" s="238"/>
    </row>
    <row r="212" ht="12.75" customHeight="1">
      <c r="A212" s="238"/>
      <c r="B212" s="235"/>
      <c r="C212" s="235"/>
      <c r="D212" s="236"/>
      <c r="E212" s="235"/>
      <c r="F212" s="235"/>
      <c r="G212" s="237"/>
      <c r="H212" s="235"/>
      <c r="I212" s="235"/>
      <c r="J212" s="235"/>
      <c r="K212" s="66"/>
      <c r="L212" s="238"/>
      <c r="M212" s="238"/>
    </row>
    <row r="213" ht="12.75" customHeight="1">
      <c r="A213" s="238"/>
      <c r="B213" s="235"/>
      <c r="C213" s="235"/>
      <c r="D213" s="236"/>
      <c r="E213" s="235"/>
      <c r="F213" s="235"/>
      <c r="G213" s="237"/>
      <c r="H213" s="235"/>
      <c r="I213" s="235"/>
      <c r="J213" s="235"/>
      <c r="K213" s="66"/>
      <c r="L213" s="238"/>
      <c r="M213" s="238"/>
    </row>
    <row r="214" ht="12.75" customHeight="1">
      <c r="A214" s="238"/>
      <c r="B214" s="235"/>
      <c r="C214" s="235"/>
      <c r="D214" s="236"/>
      <c r="E214" s="235"/>
      <c r="F214" s="235"/>
      <c r="G214" s="237"/>
      <c r="H214" s="235"/>
      <c r="I214" s="235"/>
      <c r="J214" s="235"/>
      <c r="K214" s="66"/>
      <c r="L214" s="238"/>
      <c r="M214" s="238"/>
    </row>
    <row r="215" ht="12.75" customHeight="1">
      <c r="A215" s="238"/>
      <c r="B215" s="235"/>
      <c r="C215" s="235"/>
      <c r="D215" s="236"/>
      <c r="E215" s="235"/>
      <c r="F215" s="235"/>
      <c r="G215" s="237"/>
      <c r="H215" s="235"/>
      <c r="I215" s="235"/>
      <c r="J215" s="235"/>
      <c r="K215" s="66"/>
      <c r="L215" s="238"/>
      <c r="M215" s="238"/>
    </row>
    <row r="216" ht="12.75" customHeight="1">
      <c r="A216" s="238"/>
      <c r="B216" s="235"/>
      <c r="C216" s="235"/>
      <c r="D216" s="236"/>
      <c r="E216" s="235"/>
      <c r="F216" s="235"/>
      <c r="G216" s="237"/>
      <c r="H216" s="235"/>
      <c r="I216" s="235"/>
      <c r="J216" s="235"/>
      <c r="K216" s="66"/>
      <c r="L216" s="238"/>
      <c r="M216" s="238"/>
    </row>
    <row r="217" ht="12.75" customHeight="1">
      <c r="A217" s="238"/>
      <c r="B217" s="235"/>
      <c r="C217" s="235"/>
      <c r="D217" s="236"/>
      <c r="E217" s="235"/>
      <c r="F217" s="235"/>
      <c r="G217" s="237"/>
      <c r="H217" s="235"/>
      <c r="I217" s="235"/>
      <c r="J217" s="235"/>
      <c r="K217" s="66"/>
      <c r="L217" s="238"/>
      <c r="M217" s="238"/>
    </row>
    <row r="218" ht="12.75" customHeight="1">
      <c r="A218" s="238"/>
      <c r="B218" s="235"/>
      <c r="C218" s="235"/>
      <c r="D218" s="236"/>
      <c r="E218" s="235"/>
      <c r="F218" s="235"/>
      <c r="G218" s="237"/>
      <c r="H218" s="235"/>
      <c r="I218" s="235"/>
      <c r="J218" s="235"/>
      <c r="K218" s="66"/>
      <c r="L218" s="238"/>
      <c r="M218" s="238"/>
    </row>
    <row r="219" ht="12.75" customHeight="1">
      <c r="A219" s="238"/>
      <c r="B219" s="235"/>
      <c r="C219" s="235"/>
      <c r="D219" s="236"/>
      <c r="E219" s="235"/>
      <c r="F219" s="235"/>
      <c r="G219" s="237"/>
      <c r="H219" s="235"/>
      <c r="I219" s="235"/>
      <c r="J219" s="235"/>
      <c r="K219" s="66"/>
      <c r="L219" s="238"/>
      <c r="M219" s="238"/>
    </row>
    <row r="220" ht="12.75" customHeight="1">
      <c r="A220" s="238"/>
      <c r="B220" s="235"/>
      <c r="C220" s="235"/>
      <c r="D220" s="236"/>
      <c r="E220" s="235"/>
      <c r="F220" s="235"/>
      <c r="G220" s="237"/>
      <c r="H220" s="235"/>
      <c r="I220" s="235"/>
      <c r="J220" s="235"/>
      <c r="K220" s="66"/>
      <c r="L220" s="238"/>
      <c r="M220" s="238"/>
    </row>
    <row r="221" ht="12.75" customHeight="1">
      <c r="A221" s="238"/>
      <c r="B221" s="235"/>
      <c r="C221" s="235"/>
      <c r="D221" s="236"/>
      <c r="E221" s="235"/>
      <c r="F221" s="235"/>
      <c r="G221" s="237"/>
      <c r="H221" s="235"/>
      <c r="I221" s="235"/>
      <c r="J221" s="235"/>
      <c r="K221" s="66"/>
      <c r="L221" s="238"/>
      <c r="M221" s="238"/>
    </row>
    <row r="222" ht="12.75" customHeight="1">
      <c r="A222" s="238"/>
      <c r="B222" s="235"/>
      <c r="C222" s="235"/>
      <c r="D222" s="236"/>
      <c r="E222" s="235"/>
      <c r="F222" s="235"/>
      <c r="G222" s="237"/>
      <c r="H222" s="235"/>
      <c r="I222" s="235"/>
      <c r="J222" s="235"/>
      <c r="K222" s="66"/>
      <c r="L222" s="238"/>
      <c r="M222" s="238"/>
    </row>
    <row r="223" ht="12.75" customHeight="1">
      <c r="A223" s="238"/>
      <c r="B223" s="235"/>
      <c r="C223" s="235"/>
      <c r="D223" s="236"/>
      <c r="E223" s="235"/>
      <c r="F223" s="235"/>
      <c r="G223" s="237"/>
      <c r="H223" s="235"/>
      <c r="I223" s="235"/>
      <c r="J223" s="235"/>
      <c r="K223" s="66"/>
      <c r="L223" s="238"/>
      <c r="M223" s="238"/>
    </row>
    <row r="224" ht="12.75" customHeight="1">
      <c r="A224" s="238"/>
      <c r="B224" s="235"/>
      <c r="C224" s="235"/>
      <c r="D224" s="236"/>
      <c r="E224" s="235"/>
      <c r="F224" s="235"/>
      <c r="G224" s="237"/>
      <c r="H224" s="235"/>
      <c r="I224" s="235"/>
      <c r="J224" s="235"/>
      <c r="K224" s="66"/>
      <c r="L224" s="238"/>
      <c r="M224" s="238"/>
    </row>
    <row r="225" ht="12.75" customHeight="1">
      <c r="A225" s="238"/>
      <c r="B225" s="235"/>
      <c r="C225" s="235"/>
      <c r="D225" s="236"/>
      <c r="E225" s="235"/>
      <c r="F225" s="235"/>
      <c r="G225" s="237"/>
      <c r="H225" s="235"/>
      <c r="I225" s="235"/>
      <c r="J225" s="235"/>
      <c r="K225" s="66"/>
      <c r="L225" s="238"/>
      <c r="M225" s="238"/>
    </row>
    <row r="226" ht="12.75" customHeight="1">
      <c r="A226" s="238"/>
      <c r="B226" s="235"/>
      <c r="C226" s="235"/>
      <c r="D226" s="236"/>
      <c r="E226" s="235"/>
      <c r="F226" s="235"/>
      <c r="G226" s="237"/>
      <c r="H226" s="235"/>
      <c r="I226" s="235"/>
      <c r="J226" s="235"/>
      <c r="K226" s="66"/>
      <c r="L226" s="238"/>
      <c r="M226" s="238"/>
    </row>
    <row r="227" ht="12.75" customHeight="1">
      <c r="A227" s="238"/>
      <c r="B227" s="235"/>
      <c r="C227" s="235"/>
      <c r="D227" s="236"/>
      <c r="E227" s="235"/>
      <c r="F227" s="235"/>
      <c r="G227" s="237"/>
      <c r="H227" s="235"/>
      <c r="I227" s="235"/>
      <c r="J227" s="235"/>
      <c r="K227" s="66"/>
      <c r="L227" s="238"/>
      <c r="M227" s="238"/>
    </row>
    <row r="228" ht="12.75" customHeight="1">
      <c r="A228" s="238"/>
      <c r="B228" s="235"/>
      <c r="C228" s="235"/>
      <c r="D228" s="236"/>
      <c r="E228" s="235"/>
      <c r="F228" s="235"/>
      <c r="G228" s="237"/>
      <c r="H228" s="235"/>
      <c r="I228" s="235"/>
      <c r="J228" s="235"/>
      <c r="K228" s="66"/>
      <c r="L228" s="238"/>
      <c r="M228" s="238"/>
    </row>
    <row r="229" ht="12.75" customHeight="1">
      <c r="A229" s="238"/>
      <c r="B229" s="235"/>
      <c r="C229" s="235"/>
      <c r="D229" s="236"/>
      <c r="E229" s="235"/>
      <c r="F229" s="235"/>
      <c r="G229" s="237"/>
      <c r="H229" s="235"/>
      <c r="I229" s="235"/>
      <c r="J229" s="235"/>
      <c r="K229" s="66"/>
      <c r="L229" s="238"/>
      <c r="M229" s="238"/>
    </row>
    <row r="230" ht="12.75" customHeight="1">
      <c r="A230" s="238"/>
      <c r="B230" s="235"/>
      <c r="C230" s="235"/>
      <c r="D230" s="236"/>
      <c r="E230" s="235"/>
      <c r="F230" s="235"/>
      <c r="G230" s="237"/>
      <c r="H230" s="235"/>
      <c r="I230" s="235"/>
      <c r="J230" s="235"/>
      <c r="K230" s="66"/>
      <c r="L230" s="238"/>
      <c r="M230" s="238"/>
    </row>
    <row r="231" ht="12.75" customHeight="1">
      <c r="A231" s="238"/>
      <c r="B231" s="235"/>
      <c r="C231" s="235"/>
      <c r="D231" s="236"/>
      <c r="E231" s="235"/>
      <c r="F231" s="235"/>
      <c r="G231" s="237"/>
      <c r="H231" s="235"/>
      <c r="I231" s="235"/>
      <c r="J231" s="235"/>
      <c r="K231" s="66"/>
      <c r="L231" s="238"/>
      <c r="M231" s="238"/>
    </row>
    <row r="232" ht="12.75" customHeight="1">
      <c r="A232" s="238"/>
      <c r="B232" s="235"/>
      <c r="C232" s="235"/>
      <c r="D232" s="236"/>
      <c r="E232" s="235"/>
      <c r="F232" s="235"/>
      <c r="G232" s="237"/>
      <c r="H232" s="235"/>
      <c r="I232" s="235"/>
      <c r="J232" s="235"/>
      <c r="K232" s="66"/>
      <c r="L232" s="238"/>
      <c r="M232" s="238"/>
    </row>
    <row r="233" ht="12.75" customHeight="1">
      <c r="A233" s="238"/>
      <c r="B233" s="235"/>
      <c r="C233" s="235"/>
      <c r="D233" s="236"/>
      <c r="E233" s="235"/>
      <c r="F233" s="235"/>
      <c r="G233" s="237"/>
      <c r="H233" s="235"/>
      <c r="I233" s="235"/>
      <c r="J233" s="235"/>
      <c r="K233" s="66"/>
      <c r="L233" s="238"/>
      <c r="M233" s="238"/>
    </row>
    <row r="234" ht="12.75" customHeight="1">
      <c r="A234" s="238"/>
      <c r="B234" s="235"/>
      <c r="C234" s="235"/>
      <c r="D234" s="236"/>
      <c r="E234" s="235"/>
      <c r="F234" s="235"/>
      <c r="G234" s="237"/>
      <c r="H234" s="235"/>
      <c r="I234" s="235"/>
      <c r="J234" s="235"/>
      <c r="K234" s="66"/>
      <c r="L234" s="238"/>
      <c r="M234" s="238"/>
    </row>
    <row r="235" ht="12.75" customHeight="1">
      <c r="A235" s="238"/>
      <c r="B235" s="235"/>
      <c r="C235" s="235"/>
      <c r="D235" s="236"/>
      <c r="E235" s="235"/>
      <c r="F235" s="235"/>
      <c r="G235" s="237"/>
      <c r="H235" s="235"/>
      <c r="I235" s="235"/>
      <c r="J235" s="235"/>
      <c r="K235" s="66"/>
      <c r="L235" s="238"/>
      <c r="M235" s="238"/>
    </row>
    <row r="236" ht="12.75" customHeight="1">
      <c r="A236" s="238"/>
      <c r="B236" s="235"/>
      <c r="C236" s="235"/>
      <c r="D236" s="236"/>
      <c r="E236" s="235"/>
      <c r="F236" s="235"/>
      <c r="G236" s="237"/>
      <c r="H236" s="235"/>
      <c r="I236" s="235"/>
      <c r="J236" s="235"/>
      <c r="K236" s="66"/>
      <c r="L236" s="238"/>
      <c r="M236" s="238"/>
    </row>
    <row r="237" ht="12.75" customHeight="1">
      <c r="A237" s="238"/>
      <c r="B237" s="235"/>
      <c r="C237" s="235"/>
      <c r="D237" s="236"/>
      <c r="E237" s="235"/>
      <c r="F237" s="235"/>
      <c r="G237" s="237"/>
      <c r="H237" s="235"/>
      <c r="I237" s="235"/>
      <c r="J237" s="235"/>
      <c r="K237" s="66"/>
      <c r="L237" s="238"/>
      <c r="M237" s="238"/>
    </row>
    <row r="238" ht="12.75" customHeight="1">
      <c r="A238" s="238"/>
      <c r="B238" s="235"/>
      <c r="C238" s="235"/>
      <c r="D238" s="236"/>
      <c r="E238" s="235"/>
      <c r="F238" s="235"/>
      <c r="G238" s="237"/>
      <c r="H238" s="235"/>
      <c r="I238" s="235"/>
      <c r="J238" s="235"/>
      <c r="K238" s="66"/>
      <c r="L238" s="238"/>
      <c r="M238" s="238"/>
    </row>
    <row r="239" ht="12.75" customHeight="1">
      <c r="A239" s="238"/>
      <c r="B239" s="235"/>
      <c r="C239" s="235"/>
      <c r="D239" s="236"/>
      <c r="E239" s="235"/>
      <c r="F239" s="235"/>
      <c r="G239" s="237"/>
      <c r="H239" s="235"/>
      <c r="I239" s="235"/>
      <c r="J239" s="235"/>
      <c r="K239" s="66"/>
      <c r="L239" s="238"/>
      <c r="M239" s="238"/>
    </row>
    <row r="240" ht="12.75" customHeight="1">
      <c r="A240" s="238"/>
      <c r="B240" s="235"/>
      <c r="C240" s="235"/>
      <c r="D240" s="236"/>
      <c r="E240" s="235"/>
      <c r="F240" s="235"/>
      <c r="G240" s="237"/>
      <c r="H240" s="235"/>
      <c r="I240" s="235"/>
      <c r="J240" s="235"/>
      <c r="K240" s="66"/>
      <c r="L240" s="238"/>
      <c r="M240" s="238"/>
    </row>
    <row r="241" ht="12.75" customHeight="1">
      <c r="A241" s="238"/>
      <c r="B241" s="235"/>
      <c r="C241" s="235"/>
      <c r="D241" s="236"/>
      <c r="E241" s="235"/>
      <c r="F241" s="235"/>
      <c r="G241" s="237"/>
      <c r="H241" s="235"/>
      <c r="I241" s="235"/>
      <c r="J241" s="235"/>
      <c r="K241" s="66"/>
      <c r="L241" s="238"/>
      <c r="M241" s="238"/>
    </row>
    <row r="242" ht="12.75" customHeight="1">
      <c r="A242" s="238"/>
      <c r="B242" s="235"/>
      <c r="C242" s="235"/>
      <c r="D242" s="236"/>
      <c r="E242" s="235"/>
      <c r="F242" s="235"/>
      <c r="G242" s="237"/>
      <c r="H242" s="235"/>
      <c r="I242" s="235"/>
      <c r="J242" s="235"/>
      <c r="K242" s="66"/>
      <c r="L242" s="238"/>
      <c r="M242" s="238"/>
    </row>
    <row r="243" ht="12.75" customHeight="1">
      <c r="A243" s="238"/>
      <c r="B243" s="235"/>
      <c r="C243" s="235"/>
      <c r="D243" s="236"/>
      <c r="E243" s="235"/>
      <c r="F243" s="235"/>
      <c r="G243" s="237"/>
      <c r="H243" s="235"/>
      <c r="I243" s="235"/>
      <c r="J243" s="235"/>
      <c r="K243" s="66"/>
      <c r="L243" s="238"/>
      <c r="M243" s="238"/>
    </row>
    <row r="244" ht="12.75" customHeight="1">
      <c r="A244" s="238"/>
      <c r="B244" s="235"/>
      <c r="C244" s="235"/>
      <c r="D244" s="236"/>
      <c r="E244" s="235"/>
      <c r="F244" s="235"/>
      <c r="G244" s="237"/>
      <c r="H244" s="235"/>
      <c r="I244" s="235"/>
      <c r="J244" s="235"/>
      <c r="K244" s="66"/>
      <c r="L244" s="238"/>
      <c r="M244" s="238"/>
    </row>
    <row r="245" ht="12.75" customHeight="1">
      <c r="A245" s="238"/>
      <c r="B245" s="235"/>
      <c r="C245" s="235"/>
      <c r="D245" s="236"/>
      <c r="E245" s="235"/>
      <c r="F245" s="235"/>
      <c r="G245" s="237"/>
      <c r="H245" s="235"/>
      <c r="I245" s="235"/>
      <c r="J245" s="235"/>
      <c r="K245" s="66"/>
      <c r="L245" s="238"/>
      <c r="M245" s="238"/>
    </row>
    <row r="246" ht="12.75" customHeight="1">
      <c r="A246" s="238"/>
      <c r="B246" s="235"/>
      <c r="C246" s="235"/>
      <c r="D246" s="236"/>
      <c r="E246" s="235"/>
      <c r="F246" s="235"/>
      <c r="G246" s="237"/>
      <c r="H246" s="235"/>
      <c r="I246" s="235"/>
      <c r="J246" s="235"/>
      <c r="K246" s="66"/>
      <c r="L246" s="238"/>
      <c r="M246" s="238"/>
    </row>
    <row r="247" ht="12.75" customHeight="1">
      <c r="A247" s="238"/>
      <c r="B247" s="235"/>
      <c r="C247" s="235"/>
      <c r="D247" s="236"/>
      <c r="E247" s="235"/>
      <c r="F247" s="235"/>
      <c r="G247" s="237"/>
      <c r="H247" s="235"/>
      <c r="I247" s="235"/>
      <c r="J247" s="235"/>
      <c r="K247" s="66"/>
      <c r="L247" s="238"/>
      <c r="M247" s="238"/>
    </row>
    <row r="248" ht="12.75" customHeight="1">
      <c r="A248" s="238"/>
      <c r="B248" s="235"/>
      <c r="C248" s="235"/>
      <c r="D248" s="236"/>
      <c r="E248" s="235"/>
      <c r="F248" s="235"/>
      <c r="G248" s="237"/>
      <c r="H248" s="235"/>
      <c r="I248" s="235"/>
      <c r="J248" s="235"/>
      <c r="K248" s="66"/>
      <c r="L248" s="238"/>
      <c r="M248" s="238"/>
    </row>
    <row r="249" ht="12.75" customHeight="1">
      <c r="A249" s="238"/>
      <c r="B249" s="235"/>
      <c r="C249" s="235"/>
      <c r="D249" s="236"/>
      <c r="E249" s="235"/>
      <c r="F249" s="235"/>
      <c r="G249" s="237"/>
      <c r="H249" s="235"/>
      <c r="I249" s="235"/>
      <c r="J249" s="235"/>
      <c r="K249" s="66"/>
      <c r="L249" s="238"/>
      <c r="M249" s="238"/>
    </row>
    <row r="250" ht="12.75" customHeight="1">
      <c r="A250" s="238"/>
      <c r="B250" s="235"/>
      <c r="C250" s="235"/>
      <c r="D250" s="236"/>
      <c r="E250" s="235"/>
      <c r="F250" s="235"/>
      <c r="G250" s="237"/>
      <c r="H250" s="235"/>
      <c r="I250" s="235"/>
      <c r="J250" s="235"/>
      <c r="K250" s="66"/>
      <c r="L250" s="238"/>
      <c r="M250" s="238"/>
    </row>
    <row r="251" ht="12.75" customHeight="1">
      <c r="A251" s="238"/>
      <c r="B251" s="235"/>
      <c r="C251" s="235"/>
      <c r="D251" s="236"/>
      <c r="E251" s="235"/>
      <c r="F251" s="235"/>
      <c r="G251" s="237"/>
      <c r="H251" s="235"/>
      <c r="I251" s="235"/>
      <c r="J251" s="235"/>
      <c r="K251" s="66"/>
      <c r="L251" s="238"/>
      <c r="M251" s="238"/>
    </row>
    <row r="252" ht="12.75" customHeight="1">
      <c r="A252" s="238"/>
      <c r="B252" s="235"/>
      <c r="C252" s="235"/>
      <c r="D252" s="236"/>
      <c r="E252" s="235"/>
      <c r="F252" s="235"/>
      <c r="G252" s="237"/>
      <c r="H252" s="235"/>
      <c r="I252" s="235"/>
      <c r="J252" s="235"/>
      <c r="K252" s="66"/>
      <c r="L252" s="238"/>
      <c r="M252" s="238"/>
    </row>
    <row r="253" ht="12.75" customHeight="1">
      <c r="A253" s="238"/>
      <c r="B253" s="235"/>
      <c r="C253" s="235"/>
      <c r="D253" s="236"/>
      <c r="E253" s="235"/>
      <c r="F253" s="235"/>
      <c r="G253" s="237"/>
      <c r="H253" s="235"/>
      <c r="I253" s="235"/>
      <c r="J253" s="235"/>
      <c r="K253" s="66"/>
      <c r="L253" s="238"/>
      <c r="M253" s="238"/>
    </row>
    <row r="254" ht="12.75" customHeight="1">
      <c r="A254" s="238"/>
      <c r="B254" s="235"/>
      <c r="C254" s="235"/>
      <c r="D254" s="236"/>
      <c r="E254" s="235"/>
      <c r="F254" s="235"/>
      <c r="G254" s="237"/>
      <c r="H254" s="235"/>
      <c r="I254" s="235"/>
      <c r="J254" s="235"/>
      <c r="K254" s="66"/>
      <c r="L254" s="238"/>
      <c r="M254" s="238"/>
    </row>
    <row r="255" ht="12.75" customHeight="1">
      <c r="A255" s="238"/>
      <c r="B255" s="235"/>
      <c r="C255" s="235"/>
      <c r="D255" s="236"/>
      <c r="E255" s="235"/>
      <c r="F255" s="235"/>
      <c r="G255" s="237"/>
      <c r="H255" s="235"/>
      <c r="I255" s="235"/>
      <c r="J255" s="235"/>
      <c r="K255" s="66"/>
      <c r="L255" s="238"/>
      <c r="M255" s="238"/>
    </row>
    <row r="256" ht="12.75" customHeight="1">
      <c r="A256" s="238"/>
      <c r="B256" s="235"/>
      <c r="C256" s="235"/>
      <c r="D256" s="236"/>
      <c r="E256" s="235"/>
      <c r="F256" s="235"/>
      <c r="G256" s="237"/>
      <c r="H256" s="235"/>
      <c r="I256" s="235"/>
      <c r="J256" s="235"/>
      <c r="K256" s="66"/>
      <c r="L256" s="238"/>
      <c r="M256" s="238"/>
    </row>
    <row r="257" ht="12.75" customHeight="1">
      <c r="A257" s="238"/>
      <c r="B257" s="235"/>
      <c r="C257" s="235"/>
      <c r="D257" s="236"/>
      <c r="E257" s="235"/>
      <c r="F257" s="235"/>
      <c r="G257" s="237"/>
      <c r="H257" s="235"/>
      <c r="I257" s="235"/>
      <c r="J257" s="235"/>
      <c r="K257" s="66"/>
      <c r="L257" s="238"/>
      <c r="M257" s="238"/>
    </row>
    <row r="258" ht="12.75" customHeight="1">
      <c r="A258" s="238"/>
      <c r="B258" s="235"/>
      <c r="C258" s="235"/>
      <c r="D258" s="236"/>
      <c r="E258" s="235"/>
      <c r="F258" s="235"/>
      <c r="G258" s="237"/>
      <c r="H258" s="235"/>
      <c r="I258" s="235"/>
      <c r="J258" s="235"/>
      <c r="K258" s="66"/>
      <c r="L258" s="238"/>
      <c r="M258" s="238"/>
    </row>
    <row r="259" ht="12.75" customHeight="1">
      <c r="A259" s="238"/>
      <c r="B259" s="235"/>
      <c r="C259" s="235"/>
      <c r="D259" s="236"/>
      <c r="E259" s="235"/>
      <c r="F259" s="235"/>
      <c r="G259" s="237"/>
      <c r="H259" s="235"/>
      <c r="I259" s="235"/>
      <c r="J259" s="235"/>
      <c r="K259" s="66"/>
      <c r="L259" s="238"/>
      <c r="M259" s="238"/>
    </row>
    <row r="260" ht="12.75" customHeight="1">
      <c r="A260" s="238"/>
      <c r="B260" s="235"/>
      <c r="C260" s="235"/>
      <c r="D260" s="236"/>
      <c r="E260" s="235"/>
      <c r="F260" s="235"/>
      <c r="G260" s="237"/>
      <c r="H260" s="235"/>
      <c r="I260" s="235"/>
      <c r="J260" s="235"/>
      <c r="K260" s="66"/>
      <c r="L260" s="238"/>
      <c r="M260" s="238"/>
    </row>
    <row r="261" ht="12.75" customHeight="1">
      <c r="A261" s="238"/>
      <c r="B261" s="235"/>
      <c r="C261" s="235"/>
      <c r="D261" s="236"/>
      <c r="E261" s="235"/>
      <c r="F261" s="235"/>
      <c r="G261" s="237"/>
      <c r="H261" s="235"/>
      <c r="I261" s="235"/>
      <c r="J261" s="235"/>
      <c r="K261" s="66"/>
      <c r="L261" s="238"/>
      <c r="M261" s="238"/>
    </row>
    <row r="262" ht="12.75" customHeight="1">
      <c r="A262" s="238"/>
      <c r="B262" s="235"/>
      <c r="C262" s="235"/>
      <c r="D262" s="236"/>
      <c r="E262" s="235"/>
      <c r="F262" s="235"/>
      <c r="G262" s="237"/>
      <c r="H262" s="235"/>
      <c r="I262" s="235"/>
      <c r="J262" s="235"/>
      <c r="K262" s="66"/>
      <c r="L262" s="238"/>
      <c r="M262" s="238"/>
    </row>
    <row r="263" ht="12.75" customHeight="1">
      <c r="A263" s="238"/>
      <c r="B263" s="235"/>
      <c r="C263" s="235"/>
      <c r="D263" s="236"/>
      <c r="E263" s="235"/>
      <c r="F263" s="235"/>
      <c r="G263" s="237"/>
      <c r="H263" s="235"/>
      <c r="I263" s="235"/>
      <c r="J263" s="235"/>
      <c r="K263" s="66"/>
      <c r="L263" s="238"/>
      <c r="M263" s="238"/>
    </row>
    <row r="264" ht="12.75" customHeight="1">
      <c r="A264" s="238"/>
      <c r="B264" s="235"/>
      <c r="C264" s="235"/>
      <c r="D264" s="236"/>
      <c r="E264" s="235"/>
      <c r="F264" s="235"/>
      <c r="G264" s="237"/>
      <c r="H264" s="235"/>
      <c r="I264" s="235"/>
      <c r="J264" s="235"/>
      <c r="K264" s="66"/>
      <c r="L264" s="238"/>
      <c r="M264" s="238"/>
    </row>
    <row r="265" ht="12.75" customHeight="1">
      <c r="A265" s="238"/>
      <c r="B265" s="235"/>
      <c r="C265" s="235"/>
      <c r="D265" s="236"/>
      <c r="E265" s="235"/>
      <c r="F265" s="235"/>
      <c r="G265" s="237"/>
      <c r="H265" s="235"/>
      <c r="I265" s="235"/>
      <c r="J265" s="235"/>
      <c r="K265" s="66"/>
      <c r="L265" s="238"/>
      <c r="M265" s="238"/>
    </row>
    <row r="266" ht="12.75" customHeight="1">
      <c r="A266" s="238"/>
      <c r="B266" s="235"/>
      <c r="C266" s="235"/>
      <c r="D266" s="236"/>
      <c r="E266" s="235"/>
      <c r="F266" s="235"/>
      <c r="G266" s="237"/>
      <c r="H266" s="235"/>
      <c r="I266" s="235"/>
      <c r="J266" s="235"/>
      <c r="K266" s="66"/>
      <c r="L266" s="238"/>
      <c r="M266" s="238"/>
    </row>
    <row r="267" ht="12.75" customHeight="1">
      <c r="A267" s="238"/>
      <c r="B267" s="235"/>
      <c r="C267" s="235"/>
      <c r="D267" s="236"/>
      <c r="E267" s="235"/>
      <c r="F267" s="235"/>
      <c r="G267" s="237"/>
      <c r="H267" s="235"/>
      <c r="I267" s="235"/>
      <c r="J267" s="235"/>
      <c r="K267" s="66"/>
      <c r="L267" s="238"/>
      <c r="M267" s="238"/>
    </row>
    <row r="268" ht="12.75" customHeight="1">
      <c r="A268" s="238"/>
      <c r="B268" s="235"/>
      <c r="C268" s="235"/>
      <c r="D268" s="236"/>
      <c r="E268" s="235"/>
      <c r="F268" s="235"/>
      <c r="G268" s="237"/>
      <c r="H268" s="235"/>
      <c r="I268" s="235"/>
      <c r="J268" s="235"/>
      <c r="K268" s="66"/>
      <c r="L268" s="238"/>
      <c r="M268" s="238"/>
    </row>
    <row r="269" ht="12.75" customHeight="1">
      <c r="A269" s="238"/>
      <c r="B269" s="235"/>
      <c r="C269" s="235"/>
      <c r="D269" s="236"/>
      <c r="E269" s="235"/>
      <c r="F269" s="235"/>
      <c r="G269" s="237"/>
      <c r="H269" s="235"/>
      <c r="I269" s="235"/>
      <c r="J269" s="235"/>
      <c r="K269" s="66"/>
      <c r="L269" s="238"/>
      <c r="M269" s="238"/>
    </row>
    <row r="270" ht="12.75" customHeight="1">
      <c r="A270" s="238"/>
      <c r="B270" s="235"/>
      <c r="C270" s="235"/>
      <c r="D270" s="236"/>
      <c r="E270" s="235"/>
      <c r="F270" s="235"/>
      <c r="G270" s="237"/>
      <c r="H270" s="235"/>
      <c r="I270" s="235"/>
      <c r="J270" s="235"/>
      <c r="K270" s="66"/>
      <c r="L270" s="238"/>
      <c r="M270" s="238"/>
    </row>
    <row r="271" ht="12.75" customHeight="1">
      <c r="A271" s="238"/>
      <c r="B271" s="235"/>
      <c r="C271" s="235"/>
      <c r="D271" s="236"/>
      <c r="E271" s="235"/>
      <c r="F271" s="235"/>
      <c r="G271" s="237"/>
      <c r="H271" s="235"/>
      <c r="I271" s="235"/>
      <c r="J271" s="235"/>
      <c r="K271" s="66"/>
      <c r="L271" s="238"/>
      <c r="M271" s="238"/>
    </row>
    <row r="272" ht="12.75" customHeight="1">
      <c r="A272" s="238"/>
      <c r="B272" s="235"/>
      <c r="C272" s="235"/>
      <c r="D272" s="236"/>
      <c r="E272" s="235"/>
      <c r="F272" s="235"/>
      <c r="G272" s="237"/>
      <c r="H272" s="235"/>
      <c r="I272" s="235"/>
      <c r="J272" s="235"/>
      <c r="K272" s="66"/>
      <c r="L272" s="238"/>
      <c r="M272" s="238"/>
    </row>
    <row r="273" ht="12.75" customHeight="1">
      <c r="A273" s="238"/>
      <c r="B273" s="235"/>
      <c r="C273" s="235"/>
      <c r="D273" s="236"/>
      <c r="E273" s="235"/>
      <c r="F273" s="235"/>
      <c r="G273" s="237"/>
      <c r="H273" s="235"/>
      <c r="I273" s="235"/>
      <c r="J273" s="235"/>
      <c r="K273" s="66"/>
      <c r="L273" s="238"/>
      <c r="M273" s="238"/>
    </row>
    <row r="274" ht="12.75" customHeight="1">
      <c r="A274" s="238"/>
      <c r="B274" s="235"/>
      <c r="C274" s="235"/>
      <c r="D274" s="236"/>
      <c r="E274" s="235"/>
      <c r="F274" s="235"/>
      <c r="G274" s="237"/>
      <c r="H274" s="235"/>
      <c r="I274" s="235"/>
      <c r="J274" s="235"/>
      <c r="K274" s="66"/>
      <c r="L274" s="238"/>
      <c r="M274" s="238"/>
    </row>
    <row r="275" ht="12.75" customHeight="1">
      <c r="A275" s="238"/>
      <c r="B275" s="235"/>
      <c r="C275" s="235"/>
      <c r="D275" s="236"/>
      <c r="E275" s="235"/>
      <c r="F275" s="235"/>
      <c r="G275" s="237"/>
      <c r="H275" s="235"/>
      <c r="I275" s="235"/>
      <c r="J275" s="235"/>
      <c r="K275" s="66"/>
      <c r="L275" s="238"/>
      <c r="M275" s="238"/>
    </row>
    <row r="276" ht="12.75" customHeight="1">
      <c r="A276" s="238"/>
      <c r="B276" s="235"/>
      <c r="C276" s="235"/>
      <c r="D276" s="236"/>
      <c r="E276" s="235"/>
      <c r="F276" s="235"/>
      <c r="G276" s="237"/>
      <c r="H276" s="235"/>
      <c r="I276" s="235"/>
      <c r="J276" s="235"/>
      <c r="K276" s="66"/>
      <c r="L276" s="238"/>
      <c r="M276" s="238"/>
    </row>
    <row r="277" ht="12.75" customHeight="1">
      <c r="A277" s="238"/>
      <c r="B277" s="235"/>
      <c r="C277" s="235"/>
      <c r="D277" s="236"/>
      <c r="E277" s="235"/>
      <c r="F277" s="235"/>
      <c r="G277" s="237"/>
      <c r="H277" s="235"/>
      <c r="I277" s="235"/>
      <c r="J277" s="235"/>
      <c r="K277" s="66"/>
      <c r="L277" s="238"/>
      <c r="M277" s="238"/>
    </row>
    <row r="278" ht="12.75" customHeight="1">
      <c r="A278" s="238"/>
      <c r="B278" s="235"/>
      <c r="C278" s="235"/>
      <c r="D278" s="236"/>
      <c r="E278" s="235"/>
      <c r="F278" s="235"/>
      <c r="G278" s="237"/>
      <c r="H278" s="235"/>
      <c r="I278" s="235"/>
      <c r="J278" s="235"/>
      <c r="K278" s="66"/>
      <c r="L278" s="238"/>
      <c r="M278" s="238"/>
    </row>
    <row r="279" ht="12.75" customHeight="1">
      <c r="A279" s="238"/>
      <c r="B279" s="235"/>
      <c r="C279" s="235"/>
      <c r="D279" s="236"/>
      <c r="E279" s="235"/>
      <c r="F279" s="235"/>
      <c r="G279" s="237"/>
      <c r="H279" s="235"/>
      <c r="I279" s="235"/>
      <c r="J279" s="235"/>
      <c r="K279" s="66"/>
      <c r="L279" s="238"/>
      <c r="M279" s="238"/>
    </row>
    <row r="280" ht="12.75" customHeight="1">
      <c r="A280" s="238"/>
      <c r="B280" s="235"/>
      <c r="C280" s="235"/>
      <c r="D280" s="236"/>
      <c r="E280" s="235"/>
      <c r="F280" s="235"/>
      <c r="G280" s="237"/>
      <c r="H280" s="235"/>
      <c r="I280" s="235"/>
      <c r="J280" s="235"/>
      <c r="K280" s="66"/>
      <c r="L280" s="238"/>
      <c r="M280" s="238"/>
    </row>
    <row r="281" ht="12.75" customHeight="1">
      <c r="A281" s="238"/>
      <c r="B281" s="235"/>
      <c r="C281" s="235"/>
      <c r="D281" s="236"/>
      <c r="E281" s="235"/>
      <c r="F281" s="235"/>
      <c r="G281" s="237"/>
      <c r="H281" s="235"/>
      <c r="I281" s="235"/>
      <c r="J281" s="235"/>
      <c r="K281" s="66"/>
      <c r="L281" s="238"/>
      <c r="M281" s="238"/>
    </row>
    <row r="282" ht="12.75" customHeight="1">
      <c r="A282" s="238"/>
      <c r="B282" s="235"/>
      <c r="C282" s="235"/>
      <c r="D282" s="236"/>
      <c r="E282" s="235"/>
      <c r="F282" s="235"/>
      <c r="G282" s="237"/>
      <c r="H282" s="235"/>
      <c r="I282" s="235"/>
      <c r="J282" s="235"/>
      <c r="K282" s="66"/>
      <c r="L282" s="238"/>
      <c r="M282" s="238"/>
    </row>
    <row r="283" ht="12.75" customHeight="1">
      <c r="A283" s="238"/>
      <c r="B283" s="235"/>
      <c r="C283" s="235"/>
      <c r="D283" s="236"/>
      <c r="E283" s="235"/>
      <c r="F283" s="235"/>
      <c r="G283" s="237"/>
      <c r="H283" s="235"/>
      <c r="I283" s="235"/>
      <c r="J283" s="235"/>
      <c r="K283" s="66"/>
      <c r="L283" s="238"/>
      <c r="M283" s="238"/>
    </row>
    <row r="284" ht="12.75" customHeight="1">
      <c r="A284" s="238"/>
      <c r="B284" s="235"/>
      <c r="C284" s="235"/>
      <c r="D284" s="236"/>
      <c r="E284" s="235"/>
      <c r="F284" s="235"/>
      <c r="G284" s="237"/>
      <c r="H284" s="235"/>
      <c r="I284" s="235"/>
      <c r="J284" s="235"/>
      <c r="K284" s="66"/>
      <c r="L284" s="238"/>
      <c r="M284" s="238"/>
    </row>
    <row r="285" ht="12.75" customHeight="1">
      <c r="A285" s="238"/>
      <c r="B285" s="235"/>
      <c r="C285" s="235"/>
      <c r="D285" s="236"/>
      <c r="E285" s="235"/>
      <c r="F285" s="235"/>
      <c r="G285" s="237"/>
      <c r="H285" s="235"/>
      <c r="I285" s="235"/>
      <c r="J285" s="235"/>
      <c r="K285" s="66"/>
      <c r="L285" s="238"/>
      <c r="M285" s="238"/>
    </row>
    <row r="286" ht="12.75" customHeight="1">
      <c r="A286" s="238"/>
      <c r="B286" s="235"/>
      <c r="C286" s="235"/>
      <c r="D286" s="236"/>
      <c r="E286" s="235"/>
      <c r="F286" s="235"/>
      <c r="G286" s="237"/>
      <c r="H286" s="235"/>
      <c r="I286" s="235"/>
      <c r="J286" s="235"/>
      <c r="K286" s="66"/>
      <c r="L286" s="238"/>
      <c r="M286" s="238"/>
    </row>
    <row r="287" ht="12.75" customHeight="1">
      <c r="A287" s="238"/>
      <c r="B287" s="235"/>
      <c r="C287" s="235"/>
      <c r="D287" s="236"/>
      <c r="E287" s="235"/>
      <c r="F287" s="235"/>
      <c r="G287" s="237"/>
      <c r="H287" s="235"/>
      <c r="I287" s="235"/>
      <c r="J287" s="235"/>
      <c r="K287" s="66"/>
      <c r="L287" s="238"/>
      <c r="M287" s="238"/>
    </row>
    <row r="288" ht="12.75" customHeight="1">
      <c r="A288" s="238"/>
      <c r="B288" s="235"/>
      <c r="C288" s="235"/>
      <c r="D288" s="236"/>
      <c r="E288" s="235"/>
      <c r="F288" s="235"/>
      <c r="G288" s="237"/>
      <c r="H288" s="235"/>
      <c r="I288" s="235"/>
      <c r="J288" s="235"/>
      <c r="K288" s="66"/>
      <c r="L288" s="238"/>
      <c r="M288" s="238"/>
    </row>
    <row r="289" ht="12.75" customHeight="1">
      <c r="A289" s="238"/>
      <c r="B289" s="235"/>
      <c r="C289" s="235"/>
      <c r="D289" s="236"/>
      <c r="E289" s="235"/>
      <c r="F289" s="235"/>
      <c r="G289" s="237"/>
      <c r="H289" s="235"/>
      <c r="I289" s="235"/>
      <c r="J289" s="235"/>
      <c r="K289" s="66"/>
      <c r="L289" s="238"/>
      <c r="M289" s="238"/>
    </row>
    <row r="290" ht="12.75" customHeight="1">
      <c r="A290" s="238"/>
      <c r="B290" s="235"/>
      <c r="C290" s="235"/>
      <c r="D290" s="236"/>
      <c r="E290" s="235"/>
      <c r="F290" s="235"/>
      <c r="G290" s="237"/>
      <c r="H290" s="235"/>
      <c r="I290" s="235"/>
      <c r="J290" s="235"/>
      <c r="K290" s="66"/>
      <c r="L290" s="238"/>
      <c r="M290" s="238"/>
    </row>
    <row r="291" ht="12.75" customHeight="1">
      <c r="A291" s="238"/>
      <c r="B291" s="235"/>
      <c r="C291" s="235"/>
      <c r="D291" s="236"/>
      <c r="E291" s="235"/>
      <c r="F291" s="235"/>
      <c r="G291" s="237"/>
      <c r="H291" s="235"/>
      <c r="I291" s="235"/>
      <c r="J291" s="235"/>
      <c r="K291" s="66"/>
      <c r="L291" s="238"/>
      <c r="M291" s="238"/>
    </row>
    <row r="292" ht="12.75" customHeight="1">
      <c r="A292" s="238"/>
      <c r="B292" s="235"/>
      <c r="C292" s="235"/>
      <c r="D292" s="236"/>
      <c r="E292" s="235"/>
      <c r="F292" s="235"/>
      <c r="G292" s="237"/>
      <c r="H292" s="235"/>
      <c r="I292" s="235"/>
      <c r="J292" s="235"/>
      <c r="K292" s="66"/>
      <c r="L292" s="238"/>
      <c r="M292" s="238"/>
    </row>
    <row r="293" ht="12.75" customHeight="1">
      <c r="A293" s="238"/>
      <c r="B293" s="235"/>
      <c r="C293" s="235"/>
      <c r="D293" s="236"/>
      <c r="E293" s="235"/>
      <c r="F293" s="235"/>
      <c r="G293" s="237"/>
      <c r="H293" s="235"/>
      <c r="I293" s="235"/>
      <c r="J293" s="235"/>
      <c r="K293" s="66"/>
      <c r="L293" s="238"/>
      <c r="M293" s="238"/>
    </row>
    <row r="294" ht="12.75" customHeight="1">
      <c r="A294" s="238"/>
      <c r="B294" s="235"/>
      <c r="C294" s="235"/>
      <c r="D294" s="236"/>
      <c r="E294" s="235"/>
      <c r="F294" s="235"/>
      <c r="G294" s="237"/>
      <c r="H294" s="235"/>
      <c r="I294" s="235"/>
      <c r="J294" s="235"/>
      <c r="K294" s="66"/>
      <c r="L294" s="238"/>
      <c r="M294" s="238"/>
    </row>
    <row r="295" ht="12.75" customHeight="1">
      <c r="A295" s="238"/>
      <c r="B295" s="235"/>
      <c r="C295" s="235"/>
      <c r="D295" s="236"/>
      <c r="E295" s="235"/>
      <c r="F295" s="235"/>
      <c r="G295" s="237"/>
      <c r="H295" s="235"/>
      <c r="I295" s="235"/>
      <c r="J295" s="235"/>
      <c r="K295" s="66"/>
      <c r="L295" s="238"/>
      <c r="M295" s="238"/>
    </row>
    <row r="296" ht="12.75" customHeight="1">
      <c r="A296" s="238"/>
      <c r="B296" s="235"/>
      <c r="C296" s="235"/>
      <c r="D296" s="236"/>
      <c r="E296" s="235"/>
      <c r="F296" s="235"/>
      <c r="G296" s="237"/>
      <c r="H296" s="235"/>
      <c r="I296" s="235"/>
      <c r="J296" s="235"/>
      <c r="K296" s="66"/>
      <c r="L296" s="238"/>
      <c r="M296" s="238"/>
    </row>
    <row r="297" ht="12.75" customHeight="1">
      <c r="A297" s="238"/>
      <c r="B297" s="235"/>
      <c r="C297" s="235"/>
      <c r="D297" s="236"/>
      <c r="E297" s="235"/>
      <c r="F297" s="235"/>
      <c r="G297" s="237"/>
      <c r="H297" s="235"/>
      <c r="I297" s="235"/>
      <c r="J297" s="235"/>
      <c r="K297" s="66"/>
      <c r="L297" s="238"/>
      <c r="M297" s="238"/>
    </row>
    <row r="298" ht="12.75" customHeight="1">
      <c r="A298" s="238"/>
      <c r="B298" s="235"/>
      <c r="C298" s="235"/>
      <c r="D298" s="236"/>
      <c r="E298" s="235"/>
      <c r="F298" s="235"/>
      <c r="G298" s="237"/>
      <c r="H298" s="235"/>
      <c r="I298" s="235"/>
      <c r="J298" s="235"/>
      <c r="K298" s="66"/>
      <c r="L298" s="238"/>
      <c r="M298" s="238"/>
    </row>
    <row r="299" ht="12.75" customHeight="1">
      <c r="A299" s="238"/>
      <c r="B299" s="235"/>
      <c r="C299" s="235"/>
      <c r="D299" s="236"/>
      <c r="E299" s="235"/>
      <c r="F299" s="235"/>
      <c r="G299" s="237"/>
      <c r="H299" s="235"/>
      <c r="I299" s="235"/>
      <c r="J299" s="235"/>
      <c r="K299" s="66"/>
      <c r="L299" s="238"/>
      <c r="M299" s="238"/>
    </row>
    <row r="300" ht="12.75" customHeight="1">
      <c r="A300" s="238"/>
      <c r="B300" s="235"/>
      <c r="C300" s="235"/>
      <c r="D300" s="236"/>
      <c r="E300" s="235"/>
      <c r="F300" s="235"/>
      <c r="G300" s="237"/>
      <c r="H300" s="235"/>
      <c r="I300" s="235"/>
      <c r="J300" s="235"/>
      <c r="K300" s="66"/>
      <c r="L300" s="238"/>
      <c r="M300" s="238"/>
    </row>
    <row r="301" ht="12.75" customHeight="1">
      <c r="A301" s="238"/>
      <c r="B301" s="235"/>
      <c r="C301" s="235"/>
      <c r="D301" s="236"/>
      <c r="E301" s="235"/>
      <c r="F301" s="235"/>
      <c r="G301" s="237"/>
      <c r="H301" s="235"/>
      <c r="I301" s="235"/>
      <c r="J301" s="235"/>
      <c r="K301" s="66"/>
      <c r="L301" s="238"/>
      <c r="M301" s="238"/>
    </row>
    <row r="302" ht="12.75" customHeight="1">
      <c r="A302" s="238"/>
      <c r="B302" s="235"/>
      <c r="C302" s="235"/>
      <c r="D302" s="236"/>
      <c r="E302" s="235"/>
      <c r="F302" s="235"/>
      <c r="G302" s="237"/>
      <c r="H302" s="235"/>
      <c r="I302" s="235"/>
      <c r="J302" s="235"/>
      <c r="K302" s="66"/>
      <c r="L302" s="238"/>
      <c r="M302" s="238"/>
    </row>
    <row r="303" ht="12.75" customHeight="1">
      <c r="A303" s="238"/>
      <c r="B303" s="235"/>
      <c r="C303" s="235"/>
      <c r="D303" s="236"/>
      <c r="E303" s="235"/>
      <c r="F303" s="235"/>
      <c r="G303" s="237"/>
      <c r="H303" s="235"/>
      <c r="I303" s="235"/>
      <c r="J303" s="235"/>
      <c r="K303" s="66"/>
      <c r="L303" s="238"/>
      <c r="M303" s="238"/>
    </row>
    <row r="304" ht="12.75" customHeight="1">
      <c r="A304" s="238"/>
      <c r="B304" s="235"/>
      <c r="C304" s="235"/>
      <c r="D304" s="236"/>
      <c r="E304" s="235"/>
      <c r="F304" s="235"/>
      <c r="G304" s="237"/>
      <c r="H304" s="235"/>
      <c r="I304" s="235"/>
      <c r="J304" s="235"/>
      <c r="K304" s="66"/>
      <c r="L304" s="238"/>
      <c r="M304" s="238"/>
    </row>
    <row r="305" ht="12.75" customHeight="1">
      <c r="A305" s="238"/>
      <c r="B305" s="235"/>
      <c r="C305" s="235"/>
      <c r="D305" s="236"/>
      <c r="E305" s="235"/>
      <c r="F305" s="235"/>
      <c r="G305" s="237"/>
      <c r="H305" s="235"/>
      <c r="I305" s="235"/>
      <c r="J305" s="235"/>
      <c r="K305" s="66"/>
      <c r="L305" s="238"/>
      <c r="M305" s="238"/>
    </row>
    <row r="306" ht="12.75" customHeight="1">
      <c r="A306" s="238"/>
      <c r="B306" s="235"/>
      <c r="C306" s="235"/>
      <c r="D306" s="236"/>
      <c r="E306" s="235"/>
      <c r="F306" s="235"/>
      <c r="G306" s="237"/>
      <c r="H306" s="235"/>
      <c r="I306" s="235"/>
      <c r="J306" s="235"/>
      <c r="K306" s="66"/>
      <c r="L306" s="238"/>
      <c r="M306" s="238"/>
    </row>
    <row r="307" ht="12.75" customHeight="1">
      <c r="A307" s="238"/>
      <c r="B307" s="235"/>
      <c r="C307" s="235"/>
      <c r="D307" s="236"/>
      <c r="E307" s="235"/>
      <c r="F307" s="235"/>
      <c r="G307" s="237"/>
      <c r="H307" s="235"/>
      <c r="I307" s="235"/>
      <c r="J307" s="235"/>
      <c r="K307" s="66"/>
      <c r="L307" s="238"/>
      <c r="M307" s="238"/>
    </row>
    <row r="308" ht="12.75" customHeight="1">
      <c r="A308" s="238"/>
      <c r="B308" s="235"/>
      <c r="C308" s="235"/>
      <c r="D308" s="236"/>
      <c r="E308" s="235"/>
      <c r="F308" s="235"/>
      <c r="G308" s="237"/>
      <c r="H308" s="235"/>
      <c r="I308" s="235"/>
      <c r="J308" s="235"/>
      <c r="K308" s="66"/>
      <c r="L308" s="238"/>
      <c r="M308" s="238"/>
    </row>
    <row r="309" ht="12.75" customHeight="1">
      <c r="A309" s="238"/>
      <c r="B309" s="235"/>
      <c r="C309" s="235"/>
      <c r="D309" s="236"/>
      <c r="E309" s="235"/>
      <c r="F309" s="235"/>
      <c r="G309" s="237"/>
      <c r="H309" s="235"/>
      <c r="I309" s="235"/>
      <c r="J309" s="235"/>
      <c r="K309" s="66"/>
      <c r="L309" s="238"/>
      <c r="M309" s="238"/>
    </row>
    <row r="310" ht="12.75" customHeight="1">
      <c r="A310" s="238"/>
      <c r="B310" s="235"/>
      <c r="C310" s="235"/>
      <c r="D310" s="236"/>
      <c r="E310" s="235"/>
      <c r="F310" s="235"/>
      <c r="G310" s="237"/>
      <c r="H310" s="235"/>
      <c r="I310" s="235"/>
      <c r="J310" s="235"/>
      <c r="K310" s="66"/>
      <c r="L310" s="238"/>
      <c r="M310" s="238"/>
    </row>
    <row r="311" ht="12.75" customHeight="1">
      <c r="A311" s="238"/>
      <c r="B311" s="235"/>
      <c r="C311" s="235"/>
      <c r="D311" s="236"/>
      <c r="E311" s="235"/>
      <c r="F311" s="235"/>
      <c r="G311" s="237"/>
      <c r="H311" s="235"/>
      <c r="I311" s="235"/>
      <c r="J311" s="235"/>
      <c r="K311" s="66"/>
      <c r="L311" s="238"/>
      <c r="M311" s="238"/>
    </row>
    <row r="312" ht="12.75" customHeight="1">
      <c r="A312" s="238"/>
      <c r="B312" s="235"/>
      <c r="C312" s="235"/>
      <c r="D312" s="236"/>
      <c r="E312" s="235"/>
      <c r="F312" s="235"/>
      <c r="G312" s="237"/>
      <c r="H312" s="235"/>
      <c r="I312" s="235"/>
      <c r="J312" s="235"/>
      <c r="K312" s="66"/>
      <c r="L312" s="238"/>
      <c r="M312" s="238"/>
    </row>
    <row r="313" ht="12.75" customHeight="1">
      <c r="A313" s="238"/>
      <c r="B313" s="235"/>
      <c r="C313" s="235"/>
      <c r="D313" s="236"/>
      <c r="E313" s="235"/>
      <c r="F313" s="235"/>
      <c r="G313" s="237"/>
      <c r="H313" s="235"/>
      <c r="I313" s="235"/>
      <c r="J313" s="235"/>
      <c r="K313" s="66"/>
      <c r="L313" s="238"/>
      <c r="M313" s="238"/>
    </row>
    <row r="314" ht="12.75" customHeight="1">
      <c r="A314" s="238"/>
      <c r="B314" s="235"/>
      <c r="C314" s="235"/>
      <c r="D314" s="236"/>
      <c r="E314" s="235"/>
      <c r="F314" s="235"/>
      <c r="G314" s="237"/>
      <c r="H314" s="235"/>
      <c r="I314" s="235"/>
      <c r="J314" s="235"/>
      <c r="K314" s="66"/>
      <c r="L314" s="238"/>
      <c r="M314" s="238"/>
    </row>
    <row r="315" ht="12.75" customHeight="1">
      <c r="A315" s="238"/>
      <c r="B315" s="235"/>
      <c r="C315" s="235"/>
      <c r="D315" s="236"/>
      <c r="E315" s="235"/>
      <c r="F315" s="235"/>
      <c r="G315" s="237"/>
      <c r="H315" s="235"/>
      <c r="I315" s="235"/>
      <c r="J315" s="235"/>
      <c r="K315" s="66"/>
      <c r="L315" s="238"/>
      <c r="M315" s="238"/>
    </row>
    <row r="316" ht="12.75" customHeight="1">
      <c r="A316" s="238"/>
      <c r="B316" s="235"/>
      <c r="C316" s="235"/>
      <c r="D316" s="236"/>
      <c r="E316" s="235"/>
      <c r="F316" s="235"/>
      <c r="G316" s="237"/>
      <c r="H316" s="235"/>
      <c r="I316" s="235"/>
      <c r="J316" s="235"/>
      <c r="K316" s="66"/>
      <c r="L316" s="238"/>
      <c r="M316" s="238"/>
    </row>
    <row r="317" ht="12.75" customHeight="1">
      <c r="A317" s="238"/>
      <c r="B317" s="235"/>
      <c r="C317" s="235"/>
      <c r="D317" s="236"/>
      <c r="E317" s="235"/>
      <c r="F317" s="235"/>
      <c r="G317" s="237"/>
      <c r="H317" s="235"/>
      <c r="I317" s="235"/>
      <c r="J317" s="235"/>
      <c r="K317" s="66"/>
      <c r="L317" s="238"/>
      <c r="M317" s="238"/>
    </row>
    <row r="318" ht="12.75" customHeight="1">
      <c r="A318" s="238"/>
      <c r="B318" s="235"/>
      <c r="C318" s="235"/>
      <c r="D318" s="236"/>
      <c r="E318" s="235"/>
      <c r="F318" s="235"/>
      <c r="G318" s="237"/>
      <c r="H318" s="235"/>
      <c r="I318" s="235"/>
      <c r="J318" s="235"/>
      <c r="K318" s="66"/>
      <c r="L318" s="238"/>
      <c r="M318" s="238"/>
    </row>
    <row r="319" ht="12.75" customHeight="1">
      <c r="A319" s="238"/>
      <c r="B319" s="235"/>
      <c r="C319" s="235"/>
      <c r="D319" s="236"/>
      <c r="E319" s="235"/>
      <c r="F319" s="235"/>
      <c r="G319" s="237"/>
      <c r="H319" s="235"/>
      <c r="I319" s="235"/>
      <c r="J319" s="235"/>
      <c r="K319" s="66"/>
      <c r="L319" s="238"/>
      <c r="M319" s="238"/>
    </row>
    <row r="320" ht="12.75" customHeight="1">
      <c r="A320" s="238"/>
      <c r="B320" s="235"/>
      <c r="C320" s="235"/>
      <c r="D320" s="236"/>
      <c r="E320" s="235"/>
      <c r="F320" s="235"/>
      <c r="G320" s="237"/>
      <c r="H320" s="235"/>
      <c r="I320" s="235"/>
      <c r="J320" s="235"/>
      <c r="K320" s="66"/>
      <c r="L320" s="238"/>
      <c r="M320" s="238"/>
    </row>
    <row r="321" ht="12.75" customHeight="1">
      <c r="A321" s="238"/>
      <c r="B321" s="235"/>
      <c r="C321" s="235"/>
      <c r="D321" s="236"/>
      <c r="E321" s="235"/>
      <c r="F321" s="235"/>
      <c r="G321" s="237"/>
      <c r="H321" s="235"/>
      <c r="I321" s="235"/>
      <c r="J321" s="235"/>
      <c r="K321" s="66"/>
      <c r="L321" s="238"/>
      <c r="M321" s="238"/>
    </row>
    <row r="322" ht="12.75" customHeight="1">
      <c r="A322" s="238"/>
      <c r="B322" s="235"/>
      <c r="C322" s="235"/>
      <c r="D322" s="236"/>
      <c r="E322" s="235"/>
      <c r="F322" s="235"/>
      <c r="G322" s="237"/>
      <c r="H322" s="235"/>
      <c r="I322" s="235"/>
      <c r="J322" s="235"/>
      <c r="K322" s="66"/>
      <c r="L322" s="238"/>
      <c r="M322" s="238"/>
    </row>
    <row r="323" ht="12.75" customHeight="1">
      <c r="A323" s="238"/>
      <c r="B323" s="235"/>
      <c r="C323" s="235"/>
      <c r="D323" s="236"/>
      <c r="E323" s="235"/>
      <c r="F323" s="235"/>
      <c r="G323" s="237"/>
      <c r="H323" s="235"/>
      <c r="I323" s="235"/>
      <c r="J323" s="235"/>
      <c r="K323" s="66"/>
      <c r="L323" s="238"/>
      <c r="M323" s="238"/>
    </row>
    <row r="324" ht="12.75" customHeight="1">
      <c r="A324" s="238"/>
      <c r="B324" s="235"/>
      <c r="C324" s="235"/>
      <c r="D324" s="236"/>
      <c r="E324" s="235"/>
      <c r="F324" s="235"/>
      <c r="G324" s="237"/>
      <c r="H324" s="235"/>
      <c r="I324" s="235"/>
      <c r="J324" s="235"/>
      <c r="K324" s="66"/>
      <c r="L324" s="238"/>
      <c r="M324" s="238"/>
    </row>
    <row r="325" ht="12.75" customHeight="1">
      <c r="A325" s="238"/>
      <c r="B325" s="235"/>
      <c r="C325" s="235"/>
      <c r="D325" s="236"/>
      <c r="E325" s="235"/>
      <c r="F325" s="235"/>
      <c r="G325" s="237"/>
      <c r="H325" s="235"/>
      <c r="I325" s="235"/>
      <c r="J325" s="235"/>
      <c r="K325" s="66"/>
      <c r="L325" s="238"/>
      <c r="M325" s="238"/>
    </row>
    <row r="326" ht="12.75" customHeight="1">
      <c r="A326" s="238"/>
      <c r="B326" s="235"/>
      <c r="C326" s="235"/>
      <c r="D326" s="236"/>
      <c r="E326" s="235"/>
      <c r="F326" s="235"/>
      <c r="G326" s="237"/>
      <c r="H326" s="235"/>
      <c r="I326" s="235"/>
      <c r="J326" s="235"/>
      <c r="K326" s="66"/>
      <c r="L326" s="238"/>
      <c r="M326" s="238"/>
    </row>
    <row r="327" ht="12.75" customHeight="1">
      <c r="A327" s="238"/>
      <c r="B327" s="235"/>
      <c r="C327" s="235"/>
      <c r="D327" s="236"/>
      <c r="E327" s="235"/>
      <c r="F327" s="235"/>
      <c r="G327" s="237"/>
      <c r="H327" s="235"/>
      <c r="I327" s="235"/>
      <c r="J327" s="235"/>
      <c r="K327" s="66"/>
      <c r="L327" s="238"/>
      <c r="M327" s="238"/>
    </row>
    <row r="328" ht="12.75" customHeight="1">
      <c r="A328" s="238"/>
      <c r="B328" s="235"/>
      <c r="C328" s="235"/>
      <c r="D328" s="236"/>
      <c r="E328" s="235"/>
      <c r="F328" s="235"/>
      <c r="G328" s="237"/>
      <c r="H328" s="235"/>
      <c r="I328" s="235"/>
      <c r="J328" s="235"/>
      <c r="K328" s="66"/>
      <c r="L328" s="238"/>
      <c r="M328" s="238"/>
    </row>
    <row r="329" ht="12.75" customHeight="1">
      <c r="A329" s="238"/>
      <c r="B329" s="235"/>
      <c r="C329" s="235"/>
      <c r="D329" s="236"/>
      <c r="E329" s="235"/>
      <c r="F329" s="235"/>
      <c r="G329" s="237"/>
      <c r="H329" s="235"/>
      <c r="I329" s="235"/>
      <c r="J329" s="235"/>
      <c r="K329" s="66"/>
      <c r="L329" s="238"/>
      <c r="M329" s="238"/>
    </row>
    <row r="330" ht="12.75" customHeight="1">
      <c r="A330" s="238"/>
      <c r="B330" s="235"/>
      <c r="C330" s="235"/>
      <c r="D330" s="236"/>
      <c r="E330" s="235"/>
      <c r="F330" s="235"/>
      <c r="G330" s="237"/>
      <c r="H330" s="235"/>
      <c r="I330" s="235"/>
      <c r="J330" s="235"/>
      <c r="K330" s="66"/>
      <c r="L330" s="238"/>
      <c r="M330" s="238"/>
    </row>
    <row r="331" ht="12.75" customHeight="1">
      <c r="A331" s="238"/>
      <c r="B331" s="235"/>
      <c r="C331" s="235"/>
      <c r="D331" s="236"/>
      <c r="E331" s="235"/>
      <c r="F331" s="235"/>
      <c r="G331" s="237"/>
      <c r="H331" s="235"/>
      <c r="I331" s="235"/>
      <c r="J331" s="235"/>
      <c r="K331" s="66"/>
      <c r="L331" s="238"/>
      <c r="M331" s="238"/>
    </row>
    <row r="332" ht="12.75" customHeight="1">
      <c r="A332" s="238"/>
      <c r="B332" s="235"/>
      <c r="C332" s="235"/>
      <c r="D332" s="236"/>
      <c r="E332" s="235"/>
      <c r="F332" s="235"/>
      <c r="G332" s="237"/>
      <c r="H332" s="235"/>
      <c r="I332" s="235"/>
      <c r="J332" s="235"/>
      <c r="K332" s="66"/>
      <c r="L332" s="238"/>
      <c r="M332" s="238"/>
    </row>
    <row r="333" ht="12.75" customHeight="1">
      <c r="A333" s="238"/>
      <c r="B333" s="235"/>
      <c r="C333" s="235"/>
      <c r="D333" s="236"/>
      <c r="E333" s="235"/>
      <c r="F333" s="235"/>
      <c r="G333" s="237"/>
      <c r="H333" s="235"/>
      <c r="I333" s="235"/>
      <c r="J333" s="235"/>
      <c r="K333" s="66"/>
      <c r="L333" s="238"/>
      <c r="M333" s="238"/>
    </row>
    <row r="334" ht="12.75" customHeight="1">
      <c r="A334" s="238"/>
      <c r="B334" s="235"/>
      <c r="C334" s="235"/>
      <c r="D334" s="236"/>
      <c r="E334" s="235"/>
      <c r="F334" s="235"/>
      <c r="G334" s="237"/>
      <c r="H334" s="235"/>
      <c r="I334" s="235"/>
      <c r="J334" s="235"/>
      <c r="K334" s="66"/>
      <c r="L334" s="238"/>
      <c r="M334" s="238"/>
    </row>
    <row r="335" ht="12.75" customHeight="1">
      <c r="A335" s="238"/>
      <c r="B335" s="235"/>
      <c r="C335" s="235"/>
      <c r="D335" s="236"/>
      <c r="E335" s="235"/>
      <c r="F335" s="235"/>
      <c r="G335" s="237"/>
      <c r="H335" s="235"/>
      <c r="I335" s="235"/>
      <c r="J335" s="235"/>
      <c r="K335" s="66"/>
      <c r="L335" s="238"/>
      <c r="M335" s="238"/>
    </row>
    <row r="336" ht="12.75" customHeight="1">
      <c r="A336" s="238"/>
      <c r="B336" s="235"/>
      <c r="C336" s="235"/>
      <c r="D336" s="236"/>
      <c r="E336" s="235"/>
      <c r="F336" s="235"/>
      <c r="G336" s="237"/>
      <c r="H336" s="235"/>
      <c r="I336" s="235"/>
      <c r="J336" s="235"/>
      <c r="K336" s="66"/>
      <c r="L336" s="238"/>
      <c r="M336" s="238"/>
    </row>
    <row r="337" ht="12.75" customHeight="1">
      <c r="A337" s="238"/>
      <c r="B337" s="235"/>
      <c r="C337" s="235"/>
      <c r="D337" s="236"/>
      <c r="E337" s="235"/>
      <c r="F337" s="235"/>
      <c r="G337" s="237"/>
      <c r="H337" s="235"/>
      <c r="I337" s="235"/>
      <c r="J337" s="235"/>
      <c r="K337" s="66"/>
      <c r="L337" s="238"/>
      <c r="M337" s="238"/>
    </row>
    <row r="338" ht="12.75" customHeight="1">
      <c r="A338" s="238"/>
      <c r="B338" s="235"/>
      <c r="C338" s="235"/>
      <c r="D338" s="236"/>
      <c r="E338" s="235"/>
      <c r="F338" s="235"/>
      <c r="G338" s="237"/>
      <c r="H338" s="235"/>
      <c r="I338" s="235"/>
      <c r="J338" s="235"/>
      <c r="K338" s="66"/>
      <c r="L338" s="238"/>
      <c r="M338" s="238"/>
    </row>
    <row r="339" ht="12.75" customHeight="1">
      <c r="A339" s="238"/>
      <c r="B339" s="235"/>
      <c r="C339" s="235"/>
      <c r="D339" s="236"/>
      <c r="E339" s="235"/>
      <c r="F339" s="235"/>
      <c r="G339" s="237"/>
      <c r="H339" s="235"/>
      <c r="I339" s="235"/>
      <c r="J339" s="235"/>
      <c r="K339" s="66"/>
      <c r="L339" s="238"/>
      <c r="M339" s="238"/>
    </row>
    <row r="340" ht="12.75" customHeight="1">
      <c r="A340" s="238"/>
      <c r="B340" s="235"/>
      <c r="C340" s="235"/>
      <c r="D340" s="236"/>
      <c r="E340" s="235"/>
      <c r="F340" s="235"/>
      <c r="G340" s="237"/>
      <c r="H340" s="235"/>
      <c r="I340" s="235"/>
      <c r="J340" s="235"/>
      <c r="K340" s="66"/>
      <c r="L340" s="238"/>
      <c r="M340" s="238"/>
    </row>
    <row r="341" ht="12.75" customHeight="1">
      <c r="A341" s="238"/>
      <c r="B341" s="235"/>
      <c r="C341" s="235"/>
      <c r="D341" s="236"/>
      <c r="E341" s="235"/>
      <c r="F341" s="235"/>
      <c r="G341" s="237"/>
      <c r="H341" s="235"/>
      <c r="I341" s="235"/>
      <c r="J341" s="235"/>
      <c r="K341" s="66"/>
      <c r="L341" s="238"/>
      <c r="M341" s="238"/>
    </row>
    <row r="342" ht="12.75" customHeight="1">
      <c r="A342" s="238"/>
      <c r="B342" s="235"/>
      <c r="C342" s="235"/>
      <c r="D342" s="236"/>
      <c r="E342" s="235"/>
      <c r="F342" s="235"/>
      <c r="G342" s="237"/>
      <c r="H342" s="235"/>
      <c r="I342" s="235"/>
      <c r="J342" s="235"/>
      <c r="K342" s="66"/>
      <c r="L342" s="238"/>
      <c r="M342" s="238"/>
    </row>
    <row r="343" ht="12.75" customHeight="1">
      <c r="A343" s="238"/>
      <c r="B343" s="235"/>
      <c r="C343" s="235"/>
      <c r="D343" s="236"/>
      <c r="E343" s="235"/>
      <c r="F343" s="235"/>
      <c r="G343" s="237"/>
      <c r="H343" s="235"/>
      <c r="I343" s="235"/>
      <c r="J343" s="235"/>
      <c r="K343" s="66"/>
      <c r="L343" s="238"/>
      <c r="M343" s="238"/>
    </row>
    <row r="344" ht="12.75" customHeight="1">
      <c r="A344" s="238"/>
      <c r="B344" s="235"/>
      <c r="C344" s="235"/>
      <c r="D344" s="236"/>
      <c r="E344" s="235"/>
      <c r="F344" s="235"/>
      <c r="G344" s="237"/>
      <c r="H344" s="235"/>
      <c r="I344" s="235"/>
      <c r="J344" s="235"/>
      <c r="K344" s="66"/>
      <c r="L344" s="238"/>
      <c r="M344" s="238"/>
    </row>
    <row r="345" ht="12.75" customHeight="1">
      <c r="A345" s="238"/>
      <c r="B345" s="235"/>
      <c r="C345" s="235"/>
      <c r="D345" s="236"/>
      <c r="E345" s="235"/>
      <c r="F345" s="235"/>
      <c r="G345" s="237"/>
      <c r="H345" s="235"/>
      <c r="I345" s="235"/>
      <c r="J345" s="235"/>
      <c r="K345" s="66"/>
      <c r="L345" s="238"/>
      <c r="M345" s="238"/>
    </row>
    <row r="346" ht="12.75" customHeight="1">
      <c r="A346" s="238"/>
      <c r="B346" s="235"/>
      <c r="C346" s="235"/>
      <c r="D346" s="236"/>
      <c r="E346" s="235"/>
      <c r="F346" s="235"/>
      <c r="G346" s="237"/>
      <c r="H346" s="235"/>
      <c r="I346" s="235"/>
      <c r="J346" s="235"/>
      <c r="K346" s="66"/>
      <c r="L346" s="238"/>
      <c r="M346" s="238"/>
    </row>
    <row r="347" ht="12.75" customHeight="1">
      <c r="A347" s="238"/>
      <c r="B347" s="235"/>
      <c r="C347" s="235"/>
      <c r="D347" s="236"/>
      <c r="E347" s="235"/>
      <c r="F347" s="235"/>
      <c r="G347" s="237"/>
      <c r="H347" s="235"/>
      <c r="I347" s="235"/>
      <c r="J347" s="235"/>
      <c r="K347" s="66"/>
      <c r="L347" s="238"/>
      <c r="M347" s="238"/>
    </row>
    <row r="348" ht="12.75" customHeight="1">
      <c r="A348" s="238"/>
      <c r="B348" s="235"/>
      <c r="C348" s="235"/>
      <c r="D348" s="236"/>
      <c r="E348" s="235"/>
      <c r="F348" s="235"/>
      <c r="G348" s="237"/>
      <c r="H348" s="235"/>
      <c r="I348" s="235"/>
      <c r="J348" s="235"/>
      <c r="K348" s="66"/>
      <c r="L348" s="238"/>
      <c r="M348" s="238"/>
    </row>
    <row r="349" ht="12.75" customHeight="1">
      <c r="A349" s="238"/>
      <c r="B349" s="235"/>
      <c r="C349" s="235"/>
      <c r="D349" s="236"/>
      <c r="E349" s="235"/>
      <c r="F349" s="235"/>
      <c r="G349" s="237"/>
      <c r="H349" s="235"/>
      <c r="I349" s="235"/>
      <c r="J349" s="235"/>
      <c r="K349" s="66"/>
      <c r="L349" s="238"/>
      <c r="M349" s="238"/>
    </row>
    <row r="350" ht="12.75" customHeight="1">
      <c r="A350" s="238"/>
      <c r="B350" s="235"/>
      <c r="C350" s="235"/>
      <c r="D350" s="236"/>
      <c r="E350" s="235"/>
      <c r="F350" s="235"/>
      <c r="G350" s="237"/>
      <c r="H350" s="235"/>
      <c r="I350" s="235"/>
      <c r="J350" s="235"/>
      <c r="K350" s="66"/>
      <c r="L350" s="238"/>
      <c r="M350" s="238"/>
    </row>
    <row r="351" ht="12.75" customHeight="1">
      <c r="A351" s="238"/>
      <c r="B351" s="235"/>
      <c r="C351" s="235"/>
      <c r="D351" s="236"/>
      <c r="E351" s="235"/>
      <c r="F351" s="235"/>
      <c r="G351" s="237"/>
      <c r="H351" s="235"/>
      <c r="I351" s="235"/>
      <c r="J351" s="235"/>
      <c r="K351" s="66"/>
      <c r="L351" s="238"/>
      <c r="M351" s="238"/>
    </row>
    <row r="352" ht="12.75" customHeight="1">
      <c r="A352" s="238"/>
      <c r="B352" s="235"/>
      <c r="C352" s="235"/>
      <c r="D352" s="236"/>
      <c r="E352" s="235"/>
      <c r="F352" s="235"/>
      <c r="G352" s="237"/>
      <c r="H352" s="235"/>
      <c r="I352" s="235"/>
      <c r="J352" s="235"/>
      <c r="K352" s="66"/>
      <c r="L352" s="238"/>
      <c r="M352" s="238"/>
    </row>
    <row r="353" ht="12.75" customHeight="1">
      <c r="A353" s="238"/>
      <c r="B353" s="235"/>
      <c r="C353" s="235"/>
      <c r="D353" s="236"/>
      <c r="E353" s="235"/>
      <c r="F353" s="235"/>
      <c r="G353" s="237"/>
      <c r="H353" s="235"/>
      <c r="I353" s="235"/>
      <c r="J353" s="235"/>
      <c r="K353" s="66"/>
      <c r="L353" s="238"/>
      <c r="M353" s="238"/>
    </row>
    <row r="354" ht="12.75" customHeight="1">
      <c r="A354" s="238"/>
      <c r="B354" s="235"/>
      <c r="C354" s="235"/>
      <c r="D354" s="236"/>
      <c r="E354" s="235"/>
      <c r="F354" s="235"/>
      <c r="G354" s="237"/>
      <c r="H354" s="235"/>
      <c r="I354" s="235"/>
      <c r="J354" s="235"/>
      <c r="K354" s="66"/>
      <c r="L354" s="238"/>
      <c r="M354" s="238"/>
    </row>
    <row r="355" ht="12.75" customHeight="1">
      <c r="A355" s="238"/>
      <c r="B355" s="235"/>
      <c r="C355" s="235"/>
      <c r="D355" s="236"/>
      <c r="E355" s="235"/>
      <c r="F355" s="235"/>
      <c r="G355" s="237"/>
      <c r="H355" s="235"/>
      <c r="I355" s="235"/>
      <c r="J355" s="235"/>
      <c r="K355" s="66"/>
      <c r="L355" s="238"/>
      <c r="M355" s="238"/>
    </row>
    <row r="356" ht="12.75" customHeight="1">
      <c r="A356" s="238"/>
      <c r="B356" s="235"/>
      <c r="C356" s="235"/>
      <c r="D356" s="236"/>
      <c r="E356" s="235"/>
      <c r="F356" s="235"/>
      <c r="G356" s="237"/>
      <c r="H356" s="235"/>
      <c r="I356" s="235"/>
      <c r="J356" s="235"/>
      <c r="K356" s="66"/>
      <c r="L356" s="238"/>
      <c r="M356" s="238"/>
    </row>
    <row r="357" ht="12.75" customHeight="1">
      <c r="A357" s="238"/>
      <c r="B357" s="235"/>
      <c r="C357" s="235"/>
      <c r="D357" s="236"/>
      <c r="E357" s="235"/>
      <c r="F357" s="235"/>
      <c r="G357" s="237"/>
      <c r="H357" s="235"/>
      <c r="I357" s="235"/>
      <c r="J357" s="235"/>
      <c r="K357" s="66"/>
      <c r="L357" s="238"/>
      <c r="M357" s="238"/>
    </row>
    <row r="358" ht="12.75" customHeight="1">
      <c r="A358" s="238"/>
      <c r="B358" s="235"/>
      <c r="C358" s="235"/>
      <c r="D358" s="236"/>
      <c r="E358" s="235"/>
      <c r="F358" s="235"/>
      <c r="G358" s="237"/>
      <c r="H358" s="235"/>
      <c r="I358" s="235"/>
      <c r="J358" s="235"/>
      <c r="K358" s="66"/>
      <c r="L358" s="238"/>
      <c r="M358" s="238"/>
    </row>
    <row r="359" ht="12.75" customHeight="1">
      <c r="A359" s="238"/>
      <c r="B359" s="235"/>
      <c r="C359" s="235"/>
      <c r="D359" s="236"/>
      <c r="E359" s="235"/>
      <c r="F359" s="235"/>
      <c r="G359" s="237"/>
      <c r="H359" s="235"/>
      <c r="I359" s="235"/>
      <c r="J359" s="235"/>
      <c r="K359" s="66"/>
      <c r="L359" s="238"/>
      <c r="M359" s="238"/>
    </row>
    <row r="360" ht="12.75" customHeight="1">
      <c r="A360" s="238"/>
      <c r="B360" s="235"/>
      <c r="C360" s="235"/>
      <c r="D360" s="236"/>
      <c r="E360" s="235"/>
      <c r="F360" s="235"/>
      <c r="G360" s="237"/>
      <c r="H360" s="235"/>
      <c r="I360" s="235"/>
      <c r="J360" s="235"/>
      <c r="K360" s="66"/>
      <c r="L360" s="238"/>
      <c r="M360" s="238"/>
    </row>
    <row r="361" ht="12.75" customHeight="1">
      <c r="A361" s="238"/>
      <c r="B361" s="235"/>
      <c r="C361" s="235"/>
      <c r="D361" s="236"/>
      <c r="E361" s="235"/>
      <c r="F361" s="235"/>
      <c r="G361" s="237"/>
      <c r="H361" s="235"/>
      <c r="I361" s="235"/>
      <c r="J361" s="235"/>
      <c r="K361" s="66"/>
      <c r="L361" s="238"/>
      <c r="M361" s="238"/>
    </row>
    <row r="362" ht="12.75" customHeight="1">
      <c r="A362" s="238"/>
      <c r="B362" s="235"/>
      <c r="C362" s="235"/>
      <c r="D362" s="236"/>
      <c r="E362" s="235"/>
      <c r="F362" s="235"/>
      <c r="G362" s="237"/>
      <c r="H362" s="235"/>
      <c r="I362" s="235"/>
      <c r="J362" s="235"/>
      <c r="K362" s="66"/>
      <c r="L362" s="238"/>
      <c r="M362" s="238"/>
    </row>
    <row r="363" ht="12.75" customHeight="1">
      <c r="A363" s="238"/>
      <c r="B363" s="235"/>
      <c r="C363" s="235"/>
      <c r="D363" s="236"/>
      <c r="E363" s="235"/>
      <c r="F363" s="235"/>
      <c r="G363" s="237"/>
      <c r="H363" s="235"/>
      <c r="I363" s="235"/>
      <c r="J363" s="235"/>
      <c r="K363" s="66"/>
      <c r="L363" s="238"/>
      <c r="M363" s="238"/>
    </row>
    <row r="364" ht="12.75" customHeight="1">
      <c r="A364" s="238"/>
      <c r="B364" s="235"/>
      <c r="C364" s="235"/>
      <c r="D364" s="236"/>
      <c r="E364" s="235"/>
      <c r="F364" s="235"/>
      <c r="G364" s="237"/>
      <c r="H364" s="235"/>
      <c r="I364" s="235"/>
      <c r="J364" s="235"/>
      <c r="K364" s="66"/>
      <c r="L364" s="238"/>
      <c r="M364" s="238"/>
    </row>
    <row r="365" ht="12.75" customHeight="1">
      <c r="A365" s="238"/>
      <c r="B365" s="235"/>
      <c r="C365" s="235"/>
      <c r="D365" s="236"/>
      <c r="E365" s="235"/>
      <c r="F365" s="235"/>
      <c r="G365" s="237"/>
      <c r="H365" s="235"/>
      <c r="I365" s="235"/>
      <c r="J365" s="235"/>
      <c r="K365" s="66"/>
      <c r="L365" s="238"/>
      <c r="M365" s="238"/>
    </row>
    <row r="366" ht="12.75" customHeight="1">
      <c r="A366" s="238"/>
      <c r="B366" s="235"/>
      <c r="C366" s="235"/>
      <c r="D366" s="236"/>
      <c r="E366" s="235"/>
      <c r="F366" s="235"/>
      <c r="G366" s="237"/>
      <c r="H366" s="235"/>
      <c r="I366" s="235"/>
      <c r="J366" s="235"/>
      <c r="K366" s="66"/>
      <c r="L366" s="238"/>
      <c r="M366" s="238"/>
    </row>
    <row r="367" ht="12.75" customHeight="1">
      <c r="A367" s="238"/>
      <c r="B367" s="235"/>
      <c r="C367" s="235"/>
      <c r="D367" s="236"/>
      <c r="E367" s="235"/>
      <c r="F367" s="235"/>
      <c r="G367" s="237"/>
      <c r="H367" s="235"/>
      <c r="I367" s="235"/>
      <c r="J367" s="235"/>
      <c r="K367" s="66"/>
      <c r="L367" s="238"/>
      <c r="M367" s="238"/>
    </row>
    <row r="368" ht="12.75" customHeight="1">
      <c r="A368" s="238"/>
      <c r="B368" s="235"/>
      <c r="C368" s="235"/>
      <c r="D368" s="236"/>
      <c r="E368" s="235"/>
      <c r="F368" s="235"/>
      <c r="G368" s="237"/>
      <c r="H368" s="235"/>
      <c r="I368" s="235"/>
      <c r="J368" s="235"/>
      <c r="K368" s="66"/>
      <c r="L368" s="238"/>
      <c r="M368" s="238"/>
    </row>
    <row r="369" ht="12.75" customHeight="1">
      <c r="A369" s="238"/>
      <c r="B369" s="235"/>
      <c r="C369" s="235"/>
      <c r="D369" s="236"/>
      <c r="E369" s="235"/>
      <c r="F369" s="235"/>
      <c r="G369" s="237"/>
      <c r="H369" s="235"/>
      <c r="I369" s="235"/>
      <c r="J369" s="235"/>
      <c r="K369" s="66"/>
      <c r="L369" s="238"/>
      <c r="M369" s="238"/>
    </row>
    <row r="370" ht="12.75" customHeight="1">
      <c r="A370" s="238"/>
      <c r="B370" s="235"/>
      <c r="C370" s="235"/>
      <c r="D370" s="236"/>
      <c r="E370" s="235"/>
      <c r="F370" s="235"/>
      <c r="G370" s="237"/>
      <c r="H370" s="235"/>
      <c r="I370" s="235"/>
      <c r="J370" s="235"/>
      <c r="K370" s="66"/>
      <c r="L370" s="238"/>
      <c r="M370" s="238"/>
    </row>
    <row r="371" ht="12.75" customHeight="1">
      <c r="A371" s="238"/>
      <c r="B371" s="235"/>
      <c r="C371" s="235"/>
      <c r="D371" s="236"/>
      <c r="E371" s="235"/>
      <c r="F371" s="235"/>
      <c r="G371" s="237"/>
      <c r="H371" s="235"/>
      <c r="I371" s="235"/>
      <c r="J371" s="235"/>
      <c r="K371" s="66"/>
      <c r="L371" s="238"/>
      <c r="M371" s="238"/>
    </row>
    <row r="372" ht="12.75" customHeight="1">
      <c r="A372" s="238"/>
      <c r="B372" s="235"/>
      <c r="C372" s="235"/>
      <c r="D372" s="236"/>
      <c r="E372" s="235"/>
      <c r="F372" s="235"/>
      <c r="G372" s="237"/>
      <c r="H372" s="235"/>
      <c r="I372" s="235"/>
      <c r="J372" s="235"/>
      <c r="K372" s="66"/>
      <c r="L372" s="238"/>
      <c r="M372" s="238"/>
    </row>
    <row r="373" ht="12.75" customHeight="1">
      <c r="A373" s="238"/>
      <c r="B373" s="235"/>
      <c r="C373" s="235"/>
      <c r="D373" s="236"/>
      <c r="E373" s="235"/>
      <c r="F373" s="235"/>
      <c r="G373" s="237"/>
      <c r="H373" s="235"/>
      <c r="I373" s="235"/>
      <c r="J373" s="235"/>
      <c r="K373" s="66"/>
      <c r="L373" s="238"/>
      <c r="M373" s="238"/>
    </row>
    <row r="374" ht="12.75" customHeight="1">
      <c r="A374" s="238"/>
      <c r="B374" s="235"/>
      <c r="C374" s="235"/>
      <c r="D374" s="236"/>
      <c r="E374" s="235"/>
      <c r="F374" s="235"/>
      <c r="G374" s="237"/>
      <c r="H374" s="235"/>
      <c r="I374" s="235"/>
      <c r="J374" s="235"/>
      <c r="K374" s="66"/>
      <c r="L374" s="238"/>
      <c r="M374" s="238"/>
    </row>
    <row r="375" ht="12.75" customHeight="1">
      <c r="A375" s="238"/>
      <c r="B375" s="235"/>
      <c r="C375" s="235"/>
      <c r="D375" s="236"/>
      <c r="E375" s="235"/>
      <c r="F375" s="235"/>
      <c r="G375" s="237"/>
      <c r="H375" s="235"/>
      <c r="I375" s="235"/>
      <c r="J375" s="235"/>
      <c r="K375" s="66"/>
      <c r="L375" s="238"/>
      <c r="M375" s="238"/>
    </row>
    <row r="376" ht="12.75" customHeight="1">
      <c r="A376" s="238"/>
      <c r="B376" s="235"/>
      <c r="C376" s="235"/>
      <c r="D376" s="236"/>
      <c r="E376" s="235"/>
      <c r="F376" s="235"/>
      <c r="G376" s="237"/>
      <c r="H376" s="235"/>
      <c r="I376" s="235"/>
      <c r="J376" s="235"/>
      <c r="K376" s="66"/>
      <c r="L376" s="238"/>
      <c r="M376" s="238"/>
    </row>
    <row r="377" ht="12.75" customHeight="1">
      <c r="A377" s="238"/>
      <c r="B377" s="235"/>
      <c r="C377" s="235"/>
      <c r="D377" s="236"/>
      <c r="E377" s="235"/>
      <c r="F377" s="235"/>
      <c r="G377" s="237"/>
      <c r="H377" s="235"/>
      <c r="I377" s="235"/>
      <c r="J377" s="235"/>
      <c r="K377" s="66"/>
      <c r="L377" s="238"/>
      <c r="M377" s="238"/>
    </row>
    <row r="378" ht="12.75" customHeight="1">
      <c r="A378" s="238"/>
      <c r="B378" s="235"/>
      <c r="C378" s="235"/>
      <c r="D378" s="236"/>
      <c r="E378" s="235"/>
      <c r="F378" s="235"/>
      <c r="G378" s="237"/>
      <c r="H378" s="235"/>
      <c r="I378" s="235"/>
      <c r="J378" s="235"/>
      <c r="K378" s="66"/>
      <c r="L378" s="238"/>
      <c r="M378" s="238"/>
    </row>
    <row r="379" ht="12.75" customHeight="1">
      <c r="A379" s="238"/>
      <c r="B379" s="235"/>
      <c r="C379" s="235"/>
      <c r="D379" s="236"/>
      <c r="E379" s="235"/>
      <c r="F379" s="235"/>
      <c r="G379" s="237"/>
      <c r="H379" s="235"/>
      <c r="I379" s="235"/>
      <c r="J379" s="235"/>
      <c r="K379" s="66"/>
      <c r="L379" s="238"/>
      <c r="M379" s="238"/>
    </row>
    <row r="380" ht="12.75" customHeight="1">
      <c r="A380" s="238"/>
      <c r="B380" s="235"/>
      <c r="C380" s="235"/>
      <c r="D380" s="236"/>
      <c r="E380" s="235"/>
      <c r="F380" s="235"/>
      <c r="G380" s="237"/>
      <c r="H380" s="235"/>
      <c r="I380" s="235"/>
      <c r="J380" s="235"/>
      <c r="K380" s="66"/>
      <c r="L380" s="238"/>
      <c r="M380" s="238"/>
    </row>
    <row r="381" ht="12.75" customHeight="1">
      <c r="A381" s="238"/>
      <c r="B381" s="235"/>
      <c r="C381" s="235"/>
      <c r="D381" s="236"/>
      <c r="E381" s="235"/>
      <c r="F381" s="235"/>
      <c r="G381" s="237"/>
      <c r="H381" s="235"/>
      <c r="I381" s="235"/>
      <c r="J381" s="235"/>
      <c r="K381" s="66"/>
      <c r="L381" s="238"/>
      <c r="M381" s="238"/>
    </row>
    <row r="382" ht="12.75" customHeight="1">
      <c r="A382" s="238"/>
      <c r="B382" s="235"/>
      <c r="C382" s="235"/>
      <c r="D382" s="236"/>
      <c r="E382" s="235"/>
      <c r="F382" s="235"/>
      <c r="G382" s="237"/>
      <c r="H382" s="235"/>
      <c r="I382" s="235"/>
      <c r="J382" s="235"/>
      <c r="K382" s="66"/>
      <c r="L382" s="238"/>
      <c r="M382" s="238"/>
    </row>
    <row r="383" ht="12.75" customHeight="1">
      <c r="A383" s="238"/>
      <c r="B383" s="235"/>
      <c r="C383" s="235"/>
      <c r="D383" s="236"/>
      <c r="E383" s="235"/>
      <c r="F383" s="235"/>
      <c r="G383" s="237"/>
      <c r="H383" s="235"/>
      <c r="I383" s="235"/>
      <c r="J383" s="235"/>
      <c r="K383" s="66"/>
      <c r="L383" s="238"/>
      <c r="M383" s="238"/>
    </row>
    <row r="384" ht="12.75" customHeight="1">
      <c r="A384" s="238"/>
      <c r="B384" s="235"/>
      <c r="C384" s="235"/>
      <c r="D384" s="236"/>
      <c r="E384" s="235"/>
      <c r="F384" s="235"/>
      <c r="G384" s="237"/>
      <c r="H384" s="235"/>
      <c r="I384" s="235"/>
      <c r="J384" s="235"/>
      <c r="K384" s="66"/>
      <c r="L384" s="238"/>
      <c r="M384" s="238"/>
    </row>
    <row r="385" ht="12.75" customHeight="1">
      <c r="A385" s="238"/>
      <c r="B385" s="235"/>
      <c r="C385" s="235"/>
      <c r="D385" s="236"/>
      <c r="E385" s="235"/>
      <c r="F385" s="235"/>
      <c r="G385" s="237"/>
      <c r="H385" s="235"/>
      <c r="I385" s="235"/>
      <c r="J385" s="235"/>
      <c r="K385" s="66"/>
      <c r="L385" s="238"/>
      <c r="M385" s="238"/>
    </row>
    <row r="386" ht="12.75" customHeight="1">
      <c r="A386" s="238"/>
      <c r="B386" s="235"/>
      <c r="C386" s="235"/>
      <c r="D386" s="236"/>
      <c r="E386" s="235"/>
      <c r="F386" s="235"/>
      <c r="G386" s="237"/>
      <c r="H386" s="235"/>
      <c r="I386" s="235"/>
      <c r="J386" s="235"/>
      <c r="K386" s="66"/>
      <c r="L386" s="238"/>
      <c r="M386" s="238"/>
    </row>
    <row r="387" ht="12.75" customHeight="1">
      <c r="A387" s="238"/>
      <c r="B387" s="235"/>
      <c r="C387" s="235"/>
      <c r="D387" s="236"/>
      <c r="E387" s="235"/>
      <c r="F387" s="235"/>
      <c r="G387" s="237"/>
      <c r="H387" s="235"/>
      <c r="I387" s="235"/>
      <c r="J387" s="235"/>
      <c r="K387" s="66"/>
      <c r="L387" s="238"/>
      <c r="M387" s="238"/>
    </row>
    <row r="388" ht="12.75" customHeight="1">
      <c r="A388" s="238"/>
      <c r="B388" s="235"/>
      <c r="C388" s="235"/>
      <c r="D388" s="236"/>
      <c r="E388" s="235"/>
      <c r="F388" s="235"/>
      <c r="G388" s="237"/>
      <c r="H388" s="235"/>
      <c r="I388" s="235"/>
      <c r="J388" s="235"/>
      <c r="K388" s="66"/>
      <c r="L388" s="238"/>
      <c r="M388" s="238"/>
    </row>
    <row r="389" ht="12.75" customHeight="1">
      <c r="A389" s="238"/>
      <c r="B389" s="235"/>
      <c r="C389" s="235"/>
      <c r="D389" s="236"/>
      <c r="E389" s="235"/>
      <c r="F389" s="235"/>
      <c r="G389" s="237"/>
      <c r="H389" s="235"/>
      <c r="I389" s="235"/>
      <c r="J389" s="235"/>
      <c r="K389" s="66"/>
      <c r="L389" s="238"/>
      <c r="M389" s="238"/>
    </row>
    <row r="390" ht="12.75" customHeight="1">
      <c r="A390" s="238"/>
      <c r="B390" s="235"/>
      <c r="C390" s="235"/>
      <c r="D390" s="236"/>
      <c r="E390" s="235"/>
      <c r="F390" s="235"/>
      <c r="G390" s="237"/>
      <c r="H390" s="235"/>
      <c r="I390" s="235"/>
      <c r="J390" s="235"/>
      <c r="K390" s="66"/>
      <c r="L390" s="238"/>
      <c r="M390" s="238"/>
    </row>
    <row r="391" ht="12.75" customHeight="1">
      <c r="A391" s="238"/>
      <c r="B391" s="235"/>
      <c r="C391" s="235"/>
      <c r="D391" s="236"/>
      <c r="E391" s="235"/>
      <c r="F391" s="235"/>
      <c r="G391" s="237"/>
      <c r="H391" s="235"/>
      <c r="I391" s="235"/>
      <c r="J391" s="235"/>
      <c r="K391" s="66"/>
      <c r="L391" s="238"/>
      <c r="M391" s="238"/>
    </row>
    <row r="392" ht="12.75" customHeight="1">
      <c r="A392" s="238"/>
      <c r="B392" s="235"/>
      <c r="C392" s="235"/>
      <c r="D392" s="236"/>
      <c r="E392" s="235"/>
      <c r="F392" s="235"/>
      <c r="G392" s="237"/>
      <c r="H392" s="235"/>
      <c r="I392" s="235"/>
      <c r="J392" s="235"/>
      <c r="K392" s="66"/>
      <c r="L392" s="238"/>
      <c r="M392" s="238"/>
    </row>
    <row r="393" ht="12.75" customHeight="1">
      <c r="A393" s="238"/>
      <c r="B393" s="235"/>
      <c r="C393" s="235"/>
      <c r="D393" s="236"/>
      <c r="E393" s="235"/>
      <c r="F393" s="235"/>
      <c r="G393" s="237"/>
      <c r="H393" s="235"/>
      <c r="I393" s="235"/>
      <c r="J393" s="235"/>
      <c r="K393" s="66"/>
      <c r="L393" s="238"/>
      <c r="M393" s="238"/>
    </row>
    <row r="394" ht="12.75" customHeight="1">
      <c r="A394" s="238"/>
      <c r="B394" s="235"/>
      <c r="C394" s="235"/>
      <c r="D394" s="236"/>
      <c r="E394" s="235"/>
      <c r="F394" s="235"/>
      <c r="G394" s="237"/>
      <c r="H394" s="235"/>
      <c r="I394" s="235"/>
      <c r="J394" s="235"/>
      <c r="K394" s="66"/>
      <c r="L394" s="238"/>
      <c r="M394" s="238"/>
    </row>
    <row r="395" ht="12.75" customHeight="1">
      <c r="A395" s="238"/>
      <c r="B395" s="235"/>
      <c r="C395" s="235"/>
      <c r="D395" s="236"/>
      <c r="E395" s="235"/>
      <c r="F395" s="235"/>
      <c r="G395" s="237"/>
      <c r="H395" s="235"/>
      <c r="I395" s="235"/>
      <c r="J395" s="235"/>
      <c r="K395" s="66"/>
      <c r="L395" s="238"/>
      <c r="M395" s="238"/>
    </row>
    <row r="396" ht="12.75" customHeight="1">
      <c r="A396" s="238"/>
      <c r="B396" s="235"/>
      <c r="C396" s="235"/>
      <c r="D396" s="236"/>
      <c r="E396" s="235"/>
      <c r="F396" s="235"/>
      <c r="G396" s="237"/>
      <c r="H396" s="235"/>
      <c r="I396" s="235"/>
      <c r="J396" s="235"/>
      <c r="K396" s="66"/>
      <c r="L396" s="238"/>
      <c r="M396" s="238"/>
    </row>
    <row r="397" ht="12.75" customHeight="1">
      <c r="A397" s="238"/>
      <c r="B397" s="235"/>
      <c r="C397" s="235"/>
      <c r="D397" s="236"/>
      <c r="E397" s="235"/>
      <c r="F397" s="235"/>
      <c r="G397" s="237"/>
      <c r="H397" s="235"/>
      <c r="I397" s="235"/>
      <c r="J397" s="235"/>
      <c r="K397" s="66"/>
      <c r="L397" s="238"/>
      <c r="M397" s="238"/>
    </row>
    <row r="398" ht="12.75" customHeight="1">
      <c r="A398" s="238"/>
      <c r="B398" s="235"/>
      <c r="C398" s="235"/>
      <c r="D398" s="236"/>
      <c r="E398" s="235"/>
      <c r="F398" s="235"/>
      <c r="G398" s="237"/>
      <c r="H398" s="235"/>
      <c r="I398" s="235"/>
      <c r="J398" s="235"/>
      <c r="K398" s="66"/>
      <c r="L398" s="238"/>
      <c r="M398" s="238"/>
    </row>
    <row r="399" ht="12.75" customHeight="1">
      <c r="A399" s="238"/>
      <c r="B399" s="235"/>
      <c r="C399" s="235"/>
      <c r="D399" s="236"/>
      <c r="E399" s="235"/>
      <c r="F399" s="235"/>
      <c r="G399" s="237"/>
      <c r="H399" s="235"/>
      <c r="I399" s="235"/>
      <c r="J399" s="235"/>
      <c r="K399" s="66"/>
      <c r="L399" s="238"/>
      <c r="M399" s="238"/>
    </row>
    <row r="400" ht="12.75" customHeight="1">
      <c r="A400" s="238"/>
      <c r="B400" s="235"/>
      <c r="C400" s="235"/>
      <c r="D400" s="236"/>
      <c r="E400" s="235"/>
      <c r="F400" s="235"/>
      <c r="G400" s="237"/>
      <c r="H400" s="235"/>
      <c r="I400" s="235"/>
      <c r="J400" s="235"/>
      <c r="K400" s="66"/>
      <c r="L400" s="238"/>
      <c r="M400" s="238"/>
    </row>
    <row r="401" ht="12.75" customHeight="1">
      <c r="A401" s="238"/>
      <c r="B401" s="235"/>
      <c r="C401" s="235"/>
      <c r="D401" s="236"/>
      <c r="E401" s="235"/>
      <c r="F401" s="235"/>
      <c r="G401" s="237"/>
      <c r="H401" s="235"/>
      <c r="I401" s="235"/>
      <c r="J401" s="235"/>
      <c r="K401" s="66"/>
      <c r="L401" s="238"/>
      <c r="M401" s="238"/>
    </row>
    <row r="402" ht="12.75" customHeight="1">
      <c r="A402" s="238"/>
      <c r="B402" s="235"/>
      <c r="C402" s="235"/>
      <c r="D402" s="236"/>
      <c r="E402" s="235"/>
      <c r="F402" s="235"/>
      <c r="G402" s="237"/>
      <c r="H402" s="235"/>
      <c r="I402" s="235"/>
      <c r="J402" s="235"/>
      <c r="K402" s="66"/>
      <c r="L402" s="238"/>
      <c r="M402" s="238"/>
    </row>
    <row r="403" ht="12.75" customHeight="1">
      <c r="A403" s="238"/>
      <c r="B403" s="235"/>
      <c r="C403" s="235"/>
      <c r="D403" s="236"/>
      <c r="E403" s="235"/>
      <c r="F403" s="235"/>
      <c r="G403" s="237"/>
      <c r="H403" s="235"/>
      <c r="I403" s="235"/>
      <c r="J403" s="235"/>
      <c r="K403" s="66"/>
      <c r="L403" s="238"/>
      <c r="M403" s="238"/>
    </row>
    <row r="404" ht="12.75" customHeight="1">
      <c r="A404" s="238"/>
      <c r="B404" s="235"/>
      <c r="C404" s="235"/>
      <c r="D404" s="236"/>
      <c r="E404" s="235"/>
      <c r="F404" s="235"/>
      <c r="G404" s="237"/>
      <c r="H404" s="235"/>
      <c r="I404" s="235"/>
      <c r="J404" s="235"/>
      <c r="K404" s="66"/>
      <c r="L404" s="238"/>
      <c r="M404" s="238"/>
    </row>
    <row r="405" ht="12.75" customHeight="1">
      <c r="A405" s="238"/>
      <c r="B405" s="235"/>
      <c r="C405" s="235"/>
      <c r="D405" s="236"/>
      <c r="E405" s="235"/>
      <c r="F405" s="235"/>
      <c r="G405" s="237"/>
      <c r="H405" s="235"/>
      <c r="I405" s="235"/>
      <c r="J405" s="235"/>
      <c r="K405" s="66"/>
      <c r="L405" s="238"/>
      <c r="M405" s="238"/>
    </row>
    <row r="406" ht="12.75" customHeight="1">
      <c r="A406" s="238"/>
      <c r="B406" s="235"/>
      <c r="C406" s="235"/>
      <c r="D406" s="236"/>
      <c r="E406" s="235"/>
      <c r="F406" s="235"/>
      <c r="G406" s="237"/>
      <c r="H406" s="235"/>
      <c r="I406" s="235"/>
      <c r="J406" s="235"/>
      <c r="K406" s="66"/>
      <c r="L406" s="238"/>
      <c r="M406" s="238"/>
    </row>
    <row r="407" ht="12.75" customHeight="1">
      <c r="A407" s="238"/>
      <c r="B407" s="235"/>
      <c r="C407" s="235"/>
      <c r="D407" s="236"/>
      <c r="E407" s="235"/>
      <c r="F407" s="235"/>
      <c r="G407" s="237"/>
      <c r="H407" s="235"/>
      <c r="I407" s="235"/>
      <c r="J407" s="235"/>
      <c r="K407" s="66"/>
      <c r="L407" s="238"/>
      <c r="M407" s="238"/>
    </row>
    <row r="408" ht="12.75" customHeight="1">
      <c r="A408" s="238"/>
      <c r="B408" s="235"/>
      <c r="C408" s="235"/>
      <c r="D408" s="236"/>
      <c r="E408" s="235"/>
      <c r="F408" s="235"/>
      <c r="G408" s="237"/>
      <c r="H408" s="235"/>
      <c r="I408" s="235"/>
      <c r="J408" s="235"/>
      <c r="K408" s="66"/>
      <c r="L408" s="238"/>
      <c r="M408" s="238"/>
    </row>
    <row r="409" ht="12.75" customHeight="1">
      <c r="A409" s="238"/>
      <c r="B409" s="235"/>
      <c r="C409" s="235"/>
      <c r="D409" s="236"/>
      <c r="E409" s="235"/>
      <c r="F409" s="235"/>
      <c r="G409" s="237"/>
      <c r="H409" s="235"/>
      <c r="I409" s="235"/>
      <c r="J409" s="235"/>
      <c r="K409" s="66"/>
      <c r="L409" s="238"/>
      <c r="M409" s="238"/>
    </row>
    <row r="410" ht="12.75" customHeight="1">
      <c r="A410" s="238"/>
      <c r="B410" s="235"/>
      <c r="C410" s="235"/>
      <c r="D410" s="236"/>
      <c r="E410" s="235"/>
      <c r="F410" s="235"/>
      <c r="G410" s="237"/>
      <c r="H410" s="235"/>
      <c r="I410" s="235"/>
      <c r="J410" s="235"/>
      <c r="K410" s="66"/>
      <c r="L410" s="238"/>
      <c r="M410" s="238"/>
    </row>
    <row r="411" ht="12.75" customHeight="1">
      <c r="A411" s="238"/>
      <c r="B411" s="235"/>
      <c r="C411" s="235"/>
      <c r="D411" s="236"/>
      <c r="E411" s="235"/>
      <c r="F411" s="235"/>
      <c r="G411" s="237"/>
      <c r="H411" s="235"/>
      <c r="I411" s="235"/>
      <c r="J411" s="235"/>
      <c r="K411" s="66"/>
      <c r="L411" s="238"/>
      <c r="M411" s="238"/>
    </row>
    <row r="412" ht="12.75" customHeight="1">
      <c r="A412" s="238"/>
      <c r="B412" s="235"/>
      <c r="C412" s="235"/>
      <c r="D412" s="236"/>
      <c r="E412" s="235"/>
      <c r="F412" s="235"/>
      <c r="G412" s="237"/>
      <c r="H412" s="235"/>
      <c r="I412" s="235"/>
      <c r="J412" s="235"/>
      <c r="K412" s="66"/>
      <c r="L412" s="238"/>
      <c r="M412" s="238"/>
    </row>
    <row r="413" ht="12.75" customHeight="1">
      <c r="A413" s="238"/>
      <c r="B413" s="235"/>
      <c r="C413" s="235"/>
      <c r="D413" s="236"/>
      <c r="E413" s="235"/>
      <c r="F413" s="235"/>
      <c r="G413" s="237"/>
      <c r="H413" s="235"/>
      <c r="I413" s="235"/>
      <c r="J413" s="235"/>
      <c r="K413" s="66"/>
      <c r="L413" s="238"/>
      <c r="M413" s="238"/>
    </row>
    <row r="414" ht="12.75" customHeight="1">
      <c r="A414" s="238"/>
      <c r="B414" s="235"/>
      <c r="C414" s="235"/>
      <c r="D414" s="236"/>
      <c r="E414" s="235"/>
      <c r="F414" s="235"/>
      <c r="G414" s="237"/>
      <c r="H414" s="235"/>
      <c r="I414" s="235"/>
      <c r="J414" s="235"/>
      <c r="K414" s="66"/>
      <c r="L414" s="238"/>
      <c r="M414" s="238"/>
    </row>
    <row r="415" ht="12.75" customHeight="1">
      <c r="A415" s="238"/>
      <c r="B415" s="235"/>
      <c r="C415" s="235"/>
      <c r="D415" s="236"/>
      <c r="E415" s="235"/>
      <c r="F415" s="235"/>
      <c r="G415" s="237"/>
      <c r="H415" s="235"/>
      <c r="I415" s="235"/>
      <c r="J415" s="235"/>
      <c r="K415" s="66"/>
      <c r="L415" s="238"/>
      <c r="M415" s="238"/>
    </row>
    <row r="416" ht="12.75" customHeight="1">
      <c r="A416" s="238"/>
      <c r="B416" s="235"/>
      <c r="C416" s="235"/>
      <c r="D416" s="236"/>
      <c r="E416" s="235"/>
      <c r="F416" s="235"/>
      <c r="G416" s="237"/>
      <c r="H416" s="235"/>
      <c r="I416" s="235"/>
      <c r="J416" s="235"/>
      <c r="K416" s="66"/>
      <c r="L416" s="238"/>
      <c r="M416" s="238"/>
    </row>
    <row r="417" ht="12.75" customHeight="1">
      <c r="A417" s="238"/>
      <c r="B417" s="235"/>
      <c r="C417" s="235"/>
      <c r="D417" s="236"/>
      <c r="E417" s="235"/>
      <c r="F417" s="235"/>
      <c r="G417" s="237"/>
      <c r="H417" s="235"/>
      <c r="I417" s="235"/>
      <c r="J417" s="235"/>
      <c r="K417" s="66"/>
      <c r="L417" s="238"/>
      <c r="M417" s="238"/>
    </row>
    <row r="418" ht="12.75" customHeight="1">
      <c r="A418" s="238"/>
      <c r="B418" s="235"/>
      <c r="C418" s="235"/>
      <c r="D418" s="236"/>
      <c r="E418" s="235"/>
      <c r="F418" s="235"/>
      <c r="G418" s="237"/>
      <c r="H418" s="235"/>
      <c r="I418" s="235"/>
      <c r="J418" s="235"/>
      <c r="K418" s="66"/>
      <c r="L418" s="238"/>
      <c r="M418" s="238"/>
    </row>
    <row r="419" ht="12.75" customHeight="1">
      <c r="A419" s="238"/>
      <c r="B419" s="235"/>
      <c r="C419" s="235"/>
      <c r="D419" s="236"/>
      <c r="E419" s="235"/>
      <c r="F419" s="235"/>
      <c r="G419" s="237"/>
      <c r="H419" s="235"/>
      <c r="I419" s="235"/>
      <c r="J419" s="235"/>
      <c r="K419" s="66"/>
      <c r="L419" s="238"/>
      <c r="M419" s="238"/>
    </row>
    <row r="420" ht="12.75" customHeight="1">
      <c r="A420" s="238"/>
      <c r="B420" s="235"/>
      <c r="C420" s="235"/>
      <c r="D420" s="236"/>
      <c r="E420" s="235"/>
      <c r="F420" s="235"/>
      <c r="G420" s="237"/>
      <c r="H420" s="235"/>
      <c r="I420" s="235"/>
      <c r="J420" s="235"/>
      <c r="K420" s="66"/>
      <c r="L420" s="238"/>
      <c r="M420" s="238"/>
    </row>
    <row r="421" ht="12.75" customHeight="1">
      <c r="A421" s="238"/>
      <c r="B421" s="235"/>
      <c r="C421" s="235"/>
      <c r="D421" s="236"/>
      <c r="E421" s="235"/>
      <c r="F421" s="235"/>
      <c r="G421" s="237"/>
      <c r="H421" s="235"/>
      <c r="I421" s="235"/>
      <c r="J421" s="235"/>
      <c r="K421" s="66"/>
      <c r="L421" s="238"/>
      <c r="M421" s="238"/>
    </row>
    <row r="422" ht="12.75" customHeight="1">
      <c r="A422" s="238"/>
      <c r="B422" s="235"/>
      <c r="C422" s="235"/>
      <c r="D422" s="236"/>
      <c r="E422" s="235"/>
      <c r="F422" s="235"/>
      <c r="G422" s="237"/>
      <c r="H422" s="235"/>
      <c r="I422" s="235"/>
      <c r="J422" s="235"/>
      <c r="K422" s="66"/>
      <c r="L422" s="238"/>
      <c r="M422" s="238"/>
    </row>
    <row r="423" ht="12.75" customHeight="1">
      <c r="A423" s="238"/>
      <c r="B423" s="235"/>
      <c r="C423" s="235"/>
      <c r="D423" s="236"/>
      <c r="E423" s="235"/>
      <c r="F423" s="235"/>
      <c r="G423" s="237"/>
      <c r="H423" s="235"/>
      <c r="I423" s="235"/>
      <c r="J423" s="235"/>
      <c r="K423" s="66"/>
      <c r="L423" s="238"/>
      <c r="M423" s="238"/>
    </row>
    <row r="424" ht="12.75" customHeight="1">
      <c r="A424" s="238"/>
      <c r="B424" s="235"/>
      <c r="C424" s="235"/>
      <c r="D424" s="236"/>
      <c r="E424" s="235"/>
      <c r="F424" s="235"/>
      <c r="G424" s="237"/>
      <c r="H424" s="235"/>
      <c r="I424" s="235"/>
      <c r="J424" s="235"/>
      <c r="K424" s="66"/>
      <c r="L424" s="238"/>
      <c r="M424" s="238"/>
    </row>
    <row r="425" ht="12.75" customHeight="1">
      <c r="A425" s="238"/>
      <c r="B425" s="235"/>
      <c r="C425" s="235"/>
      <c r="D425" s="236"/>
      <c r="E425" s="235"/>
      <c r="F425" s="235"/>
      <c r="G425" s="237"/>
      <c r="H425" s="235"/>
      <c r="I425" s="235"/>
      <c r="J425" s="235"/>
      <c r="K425" s="66"/>
      <c r="L425" s="238"/>
      <c r="M425" s="238"/>
    </row>
    <row r="426" ht="12.75" customHeight="1">
      <c r="A426" s="238"/>
      <c r="B426" s="235"/>
      <c r="C426" s="235"/>
      <c r="D426" s="236"/>
      <c r="E426" s="235"/>
      <c r="F426" s="235"/>
      <c r="G426" s="237"/>
      <c r="H426" s="235"/>
      <c r="I426" s="235"/>
      <c r="J426" s="235"/>
      <c r="K426" s="66"/>
      <c r="L426" s="238"/>
      <c r="M426" s="238"/>
    </row>
    <row r="427" ht="12.75" customHeight="1">
      <c r="A427" s="238"/>
      <c r="B427" s="235"/>
      <c r="C427" s="235"/>
      <c r="D427" s="236"/>
      <c r="E427" s="235"/>
      <c r="F427" s="235"/>
      <c r="G427" s="237"/>
      <c r="H427" s="235"/>
      <c r="I427" s="235"/>
      <c r="J427" s="235"/>
      <c r="K427" s="66"/>
      <c r="L427" s="238"/>
      <c r="M427" s="238"/>
    </row>
    <row r="428" ht="12.75" customHeight="1">
      <c r="A428" s="238"/>
      <c r="B428" s="235"/>
      <c r="C428" s="235"/>
      <c r="D428" s="236"/>
      <c r="E428" s="235"/>
      <c r="F428" s="235"/>
      <c r="G428" s="237"/>
      <c r="H428" s="235"/>
      <c r="I428" s="235"/>
      <c r="J428" s="235"/>
      <c r="K428" s="66"/>
      <c r="L428" s="238"/>
      <c r="M428" s="238"/>
    </row>
    <row r="429" ht="12.75" customHeight="1">
      <c r="A429" s="238"/>
      <c r="B429" s="235"/>
      <c r="C429" s="235"/>
      <c r="D429" s="236"/>
      <c r="E429" s="235"/>
      <c r="F429" s="235"/>
      <c r="G429" s="237"/>
      <c r="H429" s="235"/>
      <c r="I429" s="235"/>
      <c r="J429" s="235"/>
      <c r="K429" s="66"/>
      <c r="L429" s="238"/>
      <c r="M429" s="238"/>
    </row>
    <row r="430" ht="12.75" customHeight="1">
      <c r="A430" s="238"/>
      <c r="B430" s="235"/>
      <c r="C430" s="235"/>
      <c r="D430" s="236"/>
      <c r="E430" s="235"/>
      <c r="F430" s="235"/>
      <c r="G430" s="237"/>
      <c r="H430" s="235"/>
      <c r="I430" s="235"/>
      <c r="J430" s="235"/>
      <c r="K430" s="66"/>
      <c r="L430" s="238"/>
      <c r="M430" s="238"/>
    </row>
    <row r="431" ht="12.75" customHeight="1">
      <c r="A431" s="238"/>
      <c r="B431" s="235"/>
      <c r="C431" s="235"/>
      <c r="D431" s="236"/>
      <c r="E431" s="235"/>
      <c r="F431" s="235"/>
      <c r="G431" s="237"/>
      <c r="H431" s="235"/>
      <c r="I431" s="235"/>
      <c r="J431" s="235"/>
      <c r="K431" s="66"/>
      <c r="L431" s="238"/>
      <c r="M431" s="238"/>
    </row>
    <row r="432" ht="12.75" customHeight="1">
      <c r="A432" s="238"/>
      <c r="B432" s="235"/>
      <c r="C432" s="235"/>
      <c r="D432" s="236"/>
      <c r="E432" s="235"/>
      <c r="F432" s="235"/>
      <c r="G432" s="237"/>
      <c r="H432" s="235"/>
      <c r="I432" s="235"/>
      <c r="J432" s="235"/>
      <c r="K432" s="66"/>
      <c r="L432" s="238"/>
      <c r="M432" s="238"/>
    </row>
    <row r="433" ht="12.75" customHeight="1">
      <c r="A433" s="238"/>
      <c r="B433" s="235"/>
      <c r="C433" s="235"/>
      <c r="D433" s="236"/>
      <c r="E433" s="235"/>
      <c r="F433" s="235"/>
      <c r="G433" s="237"/>
      <c r="H433" s="235"/>
      <c r="I433" s="235"/>
      <c r="J433" s="235"/>
      <c r="K433" s="66"/>
      <c r="L433" s="238"/>
      <c r="M433" s="238"/>
    </row>
    <row r="434" ht="12.75" customHeight="1">
      <c r="A434" s="238"/>
      <c r="B434" s="235"/>
      <c r="C434" s="235"/>
      <c r="D434" s="236"/>
      <c r="E434" s="235"/>
      <c r="F434" s="235"/>
      <c r="G434" s="237"/>
      <c r="H434" s="235"/>
      <c r="I434" s="235"/>
      <c r="J434" s="235"/>
      <c r="K434" s="66"/>
      <c r="L434" s="238"/>
      <c r="M434" s="238"/>
    </row>
    <row r="435" ht="12.75" customHeight="1">
      <c r="A435" s="238"/>
      <c r="B435" s="235"/>
      <c r="C435" s="235"/>
      <c r="D435" s="236"/>
      <c r="E435" s="235"/>
      <c r="F435" s="235"/>
      <c r="G435" s="237"/>
      <c r="H435" s="235"/>
      <c r="I435" s="235"/>
      <c r="J435" s="235"/>
      <c r="K435" s="66"/>
      <c r="L435" s="238"/>
      <c r="M435" s="238"/>
    </row>
    <row r="436" ht="12.75" customHeight="1">
      <c r="A436" s="238"/>
      <c r="B436" s="235"/>
      <c r="C436" s="235"/>
      <c r="D436" s="236"/>
      <c r="E436" s="235"/>
      <c r="F436" s="235"/>
      <c r="G436" s="237"/>
      <c r="H436" s="235"/>
      <c r="I436" s="235"/>
      <c r="J436" s="235"/>
      <c r="K436" s="66"/>
      <c r="L436" s="238"/>
      <c r="M436" s="238"/>
    </row>
    <row r="437" ht="12.75" customHeight="1">
      <c r="A437" s="238"/>
      <c r="B437" s="235"/>
      <c r="C437" s="235"/>
      <c r="D437" s="236"/>
      <c r="E437" s="235"/>
      <c r="F437" s="235"/>
      <c r="G437" s="237"/>
      <c r="H437" s="235"/>
      <c r="I437" s="235"/>
      <c r="J437" s="235"/>
      <c r="K437" s="66"/>
      <c r="L437" s="238"/>
      <c r="M437" s="238"/>
    </row>
    <row r="438" ht="12.75" customHeight="1">
      <c r="A438" s="238"/>
      <c r="B438" s="235"/>
      <c r="C438" s="235"/>
      <c r="D438" s="236"/>
      <c r="E438" s="235"/>
      <c r="F438" s="235"/>
      <c r="G438" s="237"/>
      <c r="H438" s="235"/>
      <c r="I438" s="235"/>
      <c r="J438" s="235"/>
      <c r="K438" s="66"/>
      <c r="L438" s="238"/>
      <c r="M438" s="238"/>
    </row>
    <row r="439" ht="12.75" customHeight="1">
      <c r="A439" s="238"/>
      <c r="B439" s="235"/>
      <c r="C439" s="235"/>
      <c r="D439" s="236"/>
      <c r="E439" s="235"/>
      <c r="F439" s="235"/>
      <c r="G439" s="237"/>
      <c r="H439" s="235"/>
      <c r="I439" s="235"/>
      <c r="J439" s="235"/>
      <c r="K439" s="66"/>
      <c r="L439" s="238"/>
      <c r="M439" s="238"/>
    </row>
    <row r="440" ht="12.75" customHeight="1">
      <c r="A440" s="238"/>
      <c r="B440" s="235"/>
      <c r="C440" s="235"/>
      <c r="D440" s="236"/>
      <c r="E440" s="235"/>
      <c r="F440" s="235"/>
      <c r="G440" s="237"/>
      <c r="H440" s="235"/>
      <c r="I440" s="235"/>
      <c r="J440" s="235"/>
      <c r="K440" s="66"/>
      <c r="L440" s="238"/>
      <c r="M440" s="238"/>
    </row>
    <row r="441" ht="12.75" customHeight="1">
      <c r="A441" s="238"/>
      <c r="B441" s="235"/>
      <c r="C441" s="235"/>
      <c r="D441" s="236"/>
      <c r="E441" s="235"/>
      <c r="F441" s="235"/>
      <c r="G441" s="237"/>
      <c r="H441" s="235"/>
      <c r="I441" s="235"/>
      <c r="J441" s="235"/>
      <c r="K441" s="66"/>
      <c r="L441" s="238"/>
      <c r="M441" s="238"/>
    </row>
    <row r="442" ht="12.75" customHeight="1">
      <c r="A442" s="238"/>
      <c r="B442" s="235"/>
      <c r="C442" s="235"/>
      <c r="D442" s="236"/>
      <c r="E442" s="235"/>
      <c r="F442" s="235"/>
      <c r="G442" s="237"/>
      <c r="H442" s="235"/>
      <c r="I442" s="235"/>
      <c r="J442" s="235"/>
      <c r="K442" s="66"/>
      <c r="L442" s="238"/>
      <c r="M442" s="238"/>
    </row>
    <row r="443" ht="12.75" customHeight="1">
      <c r="A443" s="238"/>
      <c r="B443" s="235"/>
      <c r="C443" s="235"/>
      <c r="D443" s="236"/>
      <c r="E443" s="235"/>
      <c r="F443" s="235"/>
      <c r="G443" s="237"/>
      <c r="H443" s="235"/>
      <c r="I443" s="235"/>
      <c r="J443" s="235"/>
      <c r="K443" s="66"/>
      <c r="L443" s="238"/>
      <c r="M443" s="238"/>
    </row>
    <row r="444" ht="12.75" customHeight="1">
      <c r="A444" s="238"/>
      <c r="B444" s="235"/>
      <c r="C444" s="235"/>
      <c r="D444" s="236"/>
      <c r="E444" s="235"/>
      <c r="F444" s="235"/>
      <c r="G444" s="237"/>
      <c r="H444" s="235"/>
      <c r="I444" s="235"/>
      <c r="J444" s="235"/>
      <c r="K444" s="66"/>
      <c r="L444" s="238"/>
      <c r="M444" s="238"/>
    </row>
    <row r="445" ht="12.75" customHeight="1">
      <c r="A445" s="238"/>
      <c r="B445" s="235"/>
      <c r="C445" s="235"/>
      <c r="D445" s="236"/>
      <c r="E445" s="235"/>
      <c r="F445" s="235"/>
      <c r="G445" s="237"/>
      <c r="H445" s="235"/>
      <c r="I445" s="235"/>
      <c r="J445" s="235"/>
      <c r="K445" s="66"/>
      <c r="L445" s="238"/>
      <c r="M445" s="238"/>
    </row>
    <row r="446" ht="12.75" customHeight="1">
      <c r="A446" s="238"/>
      <c r="B446" s="235"/>
      <c r="C446" s="235"/>
      <c r="D446" s="236"/>
      <c r="E446" s="235"/>
      <c r="F446" s="235"/>
      <c r="G446" s="237"/>
      <c r="H446" s="235"/>
      <c r="I446" s="235"/>
      <c r="J446" s="235"/>
      <c r="K446" s="66"/>
      <c r="L446" s="238"/>
      <c r="M446" s="238"/>
    </row>
    <row r="447" ht="12.75" customHeight="1">
      <c r="A447" s="238"/>
      <c r="B447" s="235"/>
      <c r="C447" s="235"/>
      <c r="D447" s="236"/>
      <c r="E447" s="235"/>
      <c r="F447" s="235"/>
      <c r="G447" s="237"/>
      <c r="H447" s="235"/>
      <c r="I447" s="235"/>
      <c r="J447" s="235"/>
      <c r="K447" s="66"/>
      <c r="L447" s="238"/>
      <c r="M447" s="238"/>
    </row>
    <row r="448" ht="12.75" customHeight="1">
      <c r="A448" s="238"/>
      <c r="B448" s="235"/>
      <c r="C448" s="235"/>
      <c r="D448" s="236"/>
      <c r="E448" s="235"/>
      <c r="F448" s="235"/>
      <c r="G448" s="237"/>
      <c r="H448" s="235"/>
      <c r="I448" s="235"/>
      <c r="J448" s="235"/>
      <c r="K448" s="66"/>
      <c r="L448" s="238"/>
      <c r="M448" s="238"/>
    </row>
    <row r="449" ht="12.75" customHeight="1">
      <c r="A449" s="238"/>
      <c r="B449" s="235"/>
      <c r="C449" s="235"/>
      <c r="D449" s="236"/>
      <c r="E449" s="235"/>
      <c r="F449" s="235"/>
      <c r="G449" s="237"/>
      <c r="H449" s="235"/>
      <c r="I449" s="235"/>
      <c r="J449" s="235"/>
      <c r="K449" s="66"/>
      <c r="L449" s="238"/>
      <c r="M449" s="238"/>
    </row>
    <row r="450" ht="12.75" customHeight="1">
      <c r="A450" s="238"/>
      <c r="B450" s="235"/>
      <c r="C450" s="235"/>
      <c r="D450" s="236"/>
      <c r="E450" s="235"/>
      <c r="F450" s="235"/>
      <c r="G450" s="237"/>
      <c r="H450" s="235"/>
      <c r="I450" s="235"/>
      <c r="J450" s="235"/>
      <c r="K450" s="66"/>
      <c r="L450" s="238"/>
      <c r="M450" s="238"/>
    </row>
    <row r="451" ht="12.75" customHeight="1">
      <c r="A451" s="238"/>
      <c r="B451" s="235"/>
      <c r="C451" s="235"/>
      <c r="D451" s="236"/>
      <c r="E451" s="235"/>
      <c r="F451" s="235"/>
      <c r="G451" s="237"/>
      <c r="H451" s="235"/>
      <c r="I451" s="235"/>
      <c r="J451" s="235"/>
      <c r="K451" s="66"/>
      <c r="L451" s="238"/>
      <c r="M451" s="238"/>
    </row>
    <row r="452" ht="12.75" customHeight="1">
      <c r="A452" s="238"/>
      <c r="B452" s="235"/>
      <c r="C452" s="235"/>
      <c r="D452" s="236"/>
      <c r="E452" s="235"/>
      <c r="F452" s="235"/>
      <c r="G452" s="237"/>
      <c r="H452" s="235"/>
      <c r="I452" s="235"/>
      <c r="J452" s="235"/>
      <c r="K452" s="66"/>
      <c r="L452" s="238"/>
      <c r="M452" s="238"/>
    </row>
    <row r="453" ht="12.75" customHeight="1">
      <c r="A453" s="238"/>
      <c r="B453" s="235"/>
      <c r="C453" s="235"/>
      <c r="D453" s="236"/>
      <c r="E453" s="235"/>
      <c r="F453" s="235"/>
      <c r="G453" s="237"/>
      <c r="H453" s="235"/>
      <c r="I453" s="235"/>
      <c r="J453" s="235"/>
      <c r="K453" s="66"/>
      <c r="L453" s="238"/>
      <c r="M453" s="238"/>
    </row>
    <row r="454" ht="12.75" customHeight="1">
      <c r="A454" s="238"/>
      <c r="B454" s="235"/>
      <c r="C454" s="235"/>
      <c r="D454" s="236"/>
      <c r="E454" s="235"/>
      <c r="F454" s="235"/>
      <c r="G454" s="237"/>
      <c r="H454" s="235"/>
      <c r="I454" s="235"/>
      <c r="J454" s="235"/>
      <c r="K454" s="66"/>
      <c r="L454" s="238"/>
      <c r="M454" s="238"/>
    </row>
    <row r="455" ht="12.75" customHeight="1">
      <c r="A455" s="238"/>
      <c r="B455" s="235"/>
      <c r="C455" s="235"/>
      <c r="D455" s="236"/>
      <c r="E455" s="235"/>
      <c r="F455" s="235"/>
      <c r="G455" s="237"/>
      <c r="H455" s="235"/>
      <c r="I455" s="235"/>
      <c r="J455" s="235"/>
      <c r="K455" s="66"/>
      <c r="L455" s="238"/>
      <c r="M455" s="238"/>
    </row>
    <row r="456" ht="12.75" customHeight="1">
      <c r="A456" s="238"/>
      <c r="B456" s="235"/>
      <c r="C456" s="235"/>
      <c r="D456" s="236"/>
      <c r="E456" s="235"/>
      <c r="F456" s="235"/>
      <c r="G456" s="237"/>
      <c r="H456" s="235"/>
      <c r="I456" s="235"/>
      <c r="J456" s="235"/>
      <c r="K456" s="66"/>
      <c r="L456" s="238"/>
      <c r="M456" s="238"/>
    </row>
    <row r="457" ht="12.75" customHeight="1">
      <c r="A457" s="238"/>
      <c r="B457" s="235"/>
      <c r="C457" s="235"/>
      <c r="D457" s="236"/>
      <c r="E457" s="235"/>
      <c r="F457" s="235"/>
      <c r="G457" s="237"/>
      <c r="H457" s="235"/>
      <c r="I457" s="235"/>
      <c r="J457" s="235"/>
      <c r="K457" s="66"/>
      <c r="L457" s="238"/>
      <c r="M457" s="238"/>
    </row>
    <row r="458" ht="12.75" customHeight="1">
      <c r="A458" s="238"/>
      <c r="B458" s="235"/>
      <c r="C458" s="235"/>
      <c r="D458" s="236"/>
      <c r="E458" s="235"/>
      <c r="F458" s="235"/>
      <c r="G458" s="237"/>
      <c r="H458" s="235"/>
      <c r="I458" s="235"/>
      <c r="J458" s="235"/>
      <c r="K458" s="66"/>
      <c r="L458" s="238"/>
      <c r="M458" s="238"/>
    </row>
    <row r="459" ht="12.75" customHeight="1">
      <c r="A459" s="238"/>
      <c r="B459" s="235"/>
      <c r="C459" s="235"/>
      <c r="D459" s="236"/>
      <c r="E459" s="235"/>
      <c r="F459" s="235"/>
      <c r="G459" s="237"/>
      <c r="H459" s="235"/>
      <c r="I459" s="235"/>
      <c r="J459" s="235"/>
      <c r="K459" s="66"/>
      <c r="L459" s="238"/>
      <c r="M459" s="238"/>
    </row>
    <row r="460" ht="12.75" customHeight="1">
      <c r="A460" s="238"/>
      <c r="B460" s="235"/>
      <c r="C460" s="235"/>
      <c r="D460" s="236"/>
      <c r="E460" s="235"/>
      <c r="F460" s="235"/>
      <c r="G460" s="237"/>
      <c r="H460" s="235"/>
      <c r="I460" s="235"/>
      <c r="J460" s="235"/>
      <c r="K460" s="66"/>
      <c r="L460" s="238"/>
      <c r="M460" s="238"/>
    </row>
    <row r="461" ht="12.75" customHeight="1">
      <c r="A461" s="238"/>
      <c r="B461" s="235"/>
      <c r="C461" s="235"/>
      <c r="D461" s="236"/>
      <c r="E461" s="235"/>
      <c r="F461" s="235"/>
      <c r="G461" s="237"/>
      <c r="H461" s="235"/>
      <c r="I461" s="235"/>
      <c r="J461" s="235"/>
      <c r="K461" s="66"/>
      <c r="L461" s="238"/>
      <c r="M461" s="238"/>
    </row>
    <row r="462" ht="12.75" customHeight="1">
      <c r="A462" s="238"/>
      <c r="B462" s="235"/>
      <c r="C462" s="235"/>
      <c r="D462" s="236"/>
      <c r="E462" s="235"/>
      <c r="F462" s="235"/>
      <c r="G462" s="237"/>
      <c r="H462" s="235"/>
      <c r="I462" s="235"/>
      <c r="J462" s="235"/>
      <c r="K462" s="66"/>
      <c r="L462" s="238"/>
      <c r="M462" s="238"/>
    </row>
    <row r="463" ht="12.75" customHeight="1">
      <c r="A463" s="238"/>
      <c r="B463" s="235"/>
      <c r="C463" s="235"/>
      <c r="D463" s="236"/>
      <c r="E463" s="235"/>
      <c r="F463" s="235"/>
      <c r="G463" s="237"/>
      <c r="H463" s="235"/>
      <c r="I463" s="235"/>
      <c r="J463" s="235"/>
      <c r="K463" s="66"/>
      <c r="L463" s="238"/>
      <c r="M463" s="238"/>
    </row>
    <row r="464" ht="12.75" customHeight="1">
      <c r="A464" s="238"/>
      <c r="B464" s="235"/>
      <c r="C464" s="235"/>
      <c r="D464" s="236"/>
      <c r="E464" s="235"/>
      <c r="F464" s="235"/>
      <c r="G464" s="237"/>
      <c r="H464" s="235"/>
      <c r="I464" s="235"/>
      <c r="J464" s="235"/>
      <c r="K464" s="66"/>
      <c r="L464" s="238"/>
      <c r="M464" s="238"/>
    </row>
    <row r="465" ht="12.75" customHeight="1">
      <c r="A465" s="238"/>
      <c r="B465" s="235"/>
      <c r="C465" s="235"/>
      <c r="D465" s="236"/>
      <c r="E465" s="235"/>
      <c r="F465" s="235"/>
      <c r="G465" s="237"/>
      <c r="H465" s="235"/>
      <c r="I465" s="235"/>
      <c r="J465" s="235"/>
      <c r="K465" s="66"/>
      <c r="L465" s="238"/>
      <c r="M465" s="238"/>
    </row>
    <row r="466" ht="12.75" customHeight="1">
      <c r="A466" s="238"/>
      <c r="B466" s="235"/>
      <c r="C466" s="235"/>
      <c r="D466" s="236"/>
      <c r="E466" s="235"/>
      <c r="F466" s="235"/>
      <c r="G466" s="237"/>
      <c r="H466" s="235"/>
      <c r="I466" s="235"/>
      <c r="J466" s="235"/>
      <c r="K466" s="66"/>
      <c r="L466" s="238"/>
      <c r="M466" s="238"/>
    </row>
    <row r="467" ht="12.75" customHeight="1">
      <c r="A467" s="238"/>
      <c r="B467" s="235"/>
      <c r="C467" s="235"/>
      <c r="D467" s="236"/>
      <c r="E467" s="235"/>
      <c r="F467" s="235"/>
      <c r="G467" s="237"/>
      <c r="H467" s="235"/>
      <c r="I467" s="235"/>
      <c r="J467" s="235"/>
      <c r="K467" s="66"/>
      <c r="L467" s="238"/>
      <c r="M467" s="238"/>
    </row>
    <row r="468" ht="12.75" customHeight="1">
      <c r="A468" s="238"/>
      <c r="B468" s="235"/>
      <c r="C468" s="235"/>
      <c r="D468" s="236"/>
      <c r="E468" s="235"/>
      <c r="F468" s="235"/>
      <c r="G468" s="237"/>
      <c r="H468" s="235"/>
      <c r="I468" s="235"/>
      <c r="J468" s="235"/>
      <c r="K468" s="66"/>
      <c r="L468" s="238"/>
      <c r="M468" s="238"/>
    </row>
    <row r="469" ht="12.75" customHeight="1">
      <c r="A469" s="238"/>
      <c r="B469" s="235"/>
      <c r="C469" s="235"/>
      <c r="D469" s="236"/>
      <c r="E469" s="235"/>
      <c r="F469" s="235"/>
      <c r="G469" s="237"/>
      <c r="H469" s="235"/>
      <c r="I469" s="235"/>
      <c r="J469" s="235"/>
      <c r="K469" s="66"/>
      <c r="L469" s="238"/>
      <c r="M469" s="238"/>
    </row>
    <row r="470" ht="12.75" customHeight="1">
      <c r="A470" s="238"/>
      <c r="B470" s="235"/>
      <c r="C470" s="235"/>
      <c r="D470" s="236"/>
      <c r="E470" s="235"/>
      <c r="F470" s="235"/>
      <c r="G470" s="237"/>
      <c r="H470" s="235"/>
      <c r="I470" s="235"/>
      <c r="J470" s="235"/>
      <c r="K470" s="66"/>
      <c r="L470" s="238"/>
      <c r="M470" s="238"/>
    </row>
    <row r="471" ht="12.75" customHeight="1">
      <c r="A471" s="238"/>
      <c r="B471" s="235"/>
      <c r="C471" s="235"/>
      <c r="D471" s="236"/>
      <c r="E471" s="235"/>
      <c r="F471" s="235"/>
      <c r="G471" s="237"/>
      <c r="H471" s="235"/>
      <c r="I471" s="235"/>
      <c r="J471" s="235"/>
      <c r="K471" s="66"/>
      <c r="L471" s="238"/>
      <c r="M471" s="238"/>
    </row>
    <row r="472" ht="12.75" customHeight="1">
      <c r="A472" s="238"/>
      <c r="B472" s="235"/>
      <c r="C472" s="235"/>
      <c r="D472" s="236"/>
      <c r="E472" s="235"/>
      <c r="F472" s="235"/>
      <c r="G472" s="237"/>
      <c r="H472" s="235"/>
      <c r="I472" s="235"/>
      <c r="J472" s="235"/>
      <c r="K472" s="66"/>
      <c r="L472" s="238"/>
      <c r="M472" s="238"/>
    </row>
    <row r="473" ht="12.75" customHeight="1">
      <c r="A473" s="238"/>
      <c r="B473" s="235"/>
      <c r="C473" s="235"/>
      <c r="D473" s="236"/>
      <c r="E473" s="235"/>
      <c r="F473" s="235"/>
      <c r="G473" s="237"/>
      <c r="H473" s="235"/>
      <c r="I473" s="235"/>
      <c r="J473" s="235"/>
      <c r="K473" s="66"/>
      <c r="L473" s="238"/>
      <c r="M473" s="238"/>
    </row>
    <row r="474" ht="12.75" customHeight="1">
      <c r="A474" s="238"/>
      <c r="B474" s="235"/>
      <c r="C474" s="235"/>
      <c r="D474" s="236"/>
      <c r="E474" s="235"/>
      <c r="F474" s="235"/>
      <c r="G474" s="237"/>
      <c r="H474" s="235"/>
      <c r="I474" s="235"/>
      <c r="J474" s="235"/>
      <c r="K474" s="66"/>
      <c r="L474" s="238"/>
      <c r="M474" s="238"/>
    </row>
    <row r="475" ht="12.75" customHeight="1">
      <c r="A475" s="238"/>
      <c r="B475" s="235"/>
      <c r="C475" s="235"/>
      <c r="D475" s="236"/>
      <c r="E475" s="235"/>
      <c r="F475" s="235"/>
      <c r="G475" s="237"/>
      <c r="H475" s="235"/>
      <c r="I475" s="235"/>
      <c r="J475" s="235"/>
      <c r="K475" s="66"/>
      <c r="L475" s="238"/>
      <c r="M475" s="238"/>
    </row>
    <row r="476" ht="12.75" customHeight="1">
      <c r="A476" s="238"/>
      <c r="B476" s="235"/>
      <c r="C476" s="235"/>
      <c r="D476" s="236"/>
      <c r="E476" s="235"/>
      <c r="F476" s="235"/>
      <c r="G476" s="237"/>
      <c r="H476" s="235"/>
      <c r="I476" s="235"/>
      <c r="J476" s="235"/>
      <c r="K476" s="66"/>
      <c r="L476" s="238"/>
      <c r="M476" s="238"/>
    </row>
    <row r="477" ht="12.75" customHeight="1">
      <c r="A477" s="238"/>
      <c r="B477" s="235"/>
      <c r="C477" s="235"/>
      <c r="D477" s="236"/>
      <c r="E477" s="235"/>
      <c r="F477" s="235"/>
      <c r="G477" s="237"/>
      <c r="H477" s="235"/>
      <c r="I477" s="235"/>
      <c r="J477" s="235"/>
      <c r="K477" s="66"/>
      <c r="L477" s="238"/>
      <c r="M477" s="238"/>
    </row>
    <row r="478" ht="12.75" customHeight="1">
      <c r="A478" s="238"/>
      <c r="B478" s="235"/>
      <c r="C478" s="235"/>
      <c r="D478" s="236"/>
      <c r="E478" s="235"/>
      <c r="F478" s="235"/>
      <c r="G478" s="237"/>
      <c r="H478" s="235"/>
      <c r="I478" s="235"/>
      <c r="J478" s="235"/>
      <c r="K478" s="66"/>
      <c r="L478" s="238"/>
      <c r="M478" s="238"/>
    </row>
    <row r="479" ht="12.75" customHeight="1">
      <c r="A479" s="238"/>
      <c r="B479" s="235"/>
      <c r="C479" s="235"/>
      <c r="D479" s="236"/>
      <c r="E479" s="235"/>
      <c r="F479" s="235"/>
      <c r="G479" s="237"/>
      <c r="H479" s="235"/>
      <c r="I479" s="235"/>
      <c r="J479" s="235"/>
      <c r="K479" s="66"/>
      <c r="L479" s="238"/>
      <c r="M479" s="238"/>
    </row>
    <row r="480" ht="12.75" customHeight="1">
      <c r="A480" s="238"/>
      <c r="B480" s="235"/>
      <c r="C480" s="235"/>
      <c r="D480" s="236"/>
      <c r="E480" s="235"/>
      <c r="F480" s="235"/>
      <c r="G480" s="237"/>
      <c r="H480" s="235"/>
      <c r="I480" s="235"/>
      <c r="J480" s="235"/>
      <c r="K480" s="66"/>
      <c r="L480" s="238"/>
      <c r="M480" s="238"/>
    </row>
    <row r="481" ht="12.75" customHeight="1">
      <c r="A481" s="238"/>
      <c r="B481" s="235"/>
      <c r="C481" s="235"/>
      <c r="D481" s="236"/>
      <c r="E481" s="235"/>
      <c r="F481" s="235"/>
      <c r="G481" s="237"/>
      <c r="H481" s="235"/>
      <c r="I481" s="235"/>
      <c r="J481" s="235"/>
      <c r="K481" s="66"/>
      <c r="L481" s="238"/>
      <c r="M481" s="238"/>
    </row>
    <row r="482" ht="12.75" customHeight="1">
      <c r="A482" s="238"/>
      <c r="B482" s="235"/>
      <c r="C482" s="235"/>
      <c r="D482" s="236"/>
      <c r="E482" s="235"/>
      <c r="F482" s="235"/>
      <c r="G482" s="237"/>
      <c r="H482" s="235"/>
      <c r="I482" s="235"/>
      <c r="J482" s="235"/>
      <c r="K482" s="66"/>
      <c r="L482" s="238"/>
      <c r="M482" s="238"/>
    </row>
    <row r="483" ht="12.75" customHeight="1">
      <c r="A483" s="238"/>
      <c r="B483" s="235"/>
      <c r="C483" s="235"/>
      <c r="D483" s="236"/>
      <c r="E483" s="235"/>
      <c r="F483" s="235"/>
      <c r="G483" s="237"/>
      <c r="H483" s="235"/>
      <c r="I483" s="235"/>
      <c r="J483" s="235"/>
      <c r="K483" s="66"/>
      <c r="L483" s="238"/>
      <c r="M483" s="238"/>
    </row>
    <row r="484" ht="12.75" customHeight="1">
      <c r="A484" s="238"/>
      <c r="B484" s="235"/>
      <c r="C484" s="235"/>
      <c r="D484" s="236"/>
      <c r="E484" s="235"/>
      <c r="F484" s="235"/>
      <c r="G484" s="237"/>
      <c r="H484" s="235"/>
      <c r="I484" s="235"/>
      <c r="J484" s="235"/>
      <c r="K484" s="66"/>
      <c r="L484" s="238"/>
      <c r="M484" s="238"/>
    </row>
    <row r="485" ht="12.75" customHeight="1">
      <c r="A485" s="238"/>
      <c r="B485" s="235"/>
      <c r="C485" s="235"/>
      <c r="D485" s="236"/>
      <c r="E485" s="235"/>
      <c r="F485" s="235"/>
      <c r="G485" s="237"/>
      <c r="H485" s="235"/>
      <c r="I485" s="235"/>
      <c r="J485" s="235"/>
      <c r="K485" s="66"/>
      <c r="L485" s="238"/>
      <c r="M485" s="238"/>
    </row>
    <row r="486" ht="12.75" customHeight="1">
      <c r="A486" s="238"/>
      <c r="B486" s="235"/>
      <c r="C486" s="235"/>
      <c r="D486" s="236"/>
      <c r="E486" s="235"/>
      <c r="F486" s="235"/>
      <c r="G486" s="237"/>
      <c r="H486" s="235"/>
      <c r="I486" s="235"/>
      <c r="J486" s="235"/>
      <c r="K486" s="66"/>
      <c r="L486" s="238"/>
      <c r="M486" s="238"/>
    </row>
    <row r="487" ht="12.75" customHeight="1">
      <c r="A487" s="238"/>
      <c r="B487" s="235"/>
      <c r="C487" s="235"/>
      <c r="D487" s="236"/>
      <c r="E487" s="235"/>
      <c r="F487" s="235"/>
      <c r="G487" s="237"/>
      <c r="H487" s="235"/>
      <c r="I487" s="235"/>
      <c r="J487" s="235"/>
      <c r="K487" s="66"/>
      <c r="L487" s="238"/>
      <c r="M487" s="238"/>
    </row>
    <row r="488" ht="12.75" customHeight="1">
      <c r="A488" s="238"/>
      <c r="B488" s="235"/>
      <c r="C488" s="235"/>
      <c r="D488" s="236"/>
      <c r="E488" s="235"/>
      <c r="F488" s="235"/>
      <c r="G488" s="237"/>
      <c r="H488" s="235"/>
      <c r="I488" s="235"/>
      <c r="J488" s="235"/>
      <c r="K488" s="66"/>
      <c r="L488" s="238"/>
      <c r="M488" s="238"/>
    </row>
    <row r="489" ht="12.75" customHeight="1">
      <c r="A489" s="238"/>
      <c r="B489" s="235"/>
      <c r="C489" s="235"/>
      <c r="D489" s="236"/>
      <c r="E489" s="235"/>
      <c r="F489" s="235"/>
      <c r="G489" s="237"/>
      <c r="H489" s="235"/>
      <c r="I489" s="235"/>
      <c r="J489" s="235"/>
      <c r="K489" s="66"/>
      <c r="L489" s="238"/>
      <c r="M489" s="238"/>
    </row>
    <row r="490" ht="12.75" customHeight="1">
      <c r="A490" s="238"/>
      <c r="B490" s="235"/>
      <c r="C490" s="235"/>
      <c r="D490" s="236"/>
      <c r="E490" s="235"/>
      <c r="F490" s="235"/>
      <c r="G490" s="237"/>
      <c r="H490" s="235"/>
      <c r="I490" s="235"/>
      <c r="J490" s="235"/>
      <c r="K490" s="66"/>
      <c r="L490" s="238"/>
      <c r="M490" s="238"/>
    </row>
    <row r="491" ht="12.75" customHeight="1">
      <c r="A491" s="238"/>
      <c r="B491" s="235"/>
      <c r="C491" s="235"/>
      <c r="D491" s="236"/>
      <c r="E491" s="235"/>
      <c r="F491" s="235"/>
      <c r="G491" s="237"/>
      <c r="H491" s="235"/>
      <c r="I491" s="235"/>
      <c r="J491" s="235"/>
      <c r="K491" s="66"/>
      <c r="L491" s="238"/>
      <c r="M491" s="238"/>
    </row>
    <row r="492" ht="12.75" customHeight="1">
      <c r="A492" s="238"/>
      <c r="B492" s="235"/>
      <c r="C492" s="235"/>
      <c r="D492" s="236"/>
      <c r="E492" s="235"/>
      <c r="F492" s="235"/>
      <c r="G492" s="237"/>
      <c r="H492" s="235"/>
      <c r="I492" s="235"/>
      <c r="J492" s="235"/>
      <c r="K492" s="66"/>
      <c r="L492" s="238"/>
      <c r="M492" s="238"/>
    </row>
    <row r="493" ht="12.75" customHeight="1">
      <c r="A493" s="238"/>
      <c r="B493" s="235"/>
      <c r="C493" s="235"/>
      <c r="D493" s="236"/>
      <c r="E493" s="235"/>
      <c r="F493" s="235"/>
      <c r="G493" s="237"/>
      <c r="H493" s="235"/>
      <c r="I493" s="235"/>
      <c r="J493" s="235"/>
      <c r="K493" s="66"/>
      <c r="L493" s="238"/>
      <c r="M493" s="238"/>
    </row>
    <row r="494" ht="12.75" customHeight="1">
      <c r="A494" s="238"/>
      <c r="B494" s="235"/>
      <c r="C494" s="235"/>
      <c r="D494" s="236"/>
      <c r="E494" s="235"/>
      <c r="F494" s="235"/>
      <c r="G494" s="237"/>
      <c r="H494" s="235"/>
      <c r="I494" s="235"/>
      <c r="J494" s="235"/>
      <c r="K494" s="66"/>
      <c r="L494" s="238"/>
      <c r="M494" s="238"/>
    </row>
    <row r="495" ht="12.75" customHeight="1">
      <c r="A495" s="238"/>
      <c r="B495" s="235"/>
      <c r="C495" s="235"/>
      <c r="D495" s="236"/>
      <c r="E495" s="235"/>
      <c r="F495" s="235"/>
      <c r="G495" s="237"/>
      <c r="H495" s="235"/>
      <c r="I495" s="235"/>
      <c r="J495" s="235"/>
      <c r="K495" s="66"/>
      <c r="L495" s="238"/>
      <c r="M495" s="238"/>
    </row>
    <row r="496" ht="12.75" customHeight="1">
      <c r="A496" s="238"/>
      <c r="B496" s="235"/>
      <c r="C496" s="235"/>
      <c r="D496" s="236"/>
      <c r="E496" s="235"/>
      <c r="F496" s="235"/>
      <c r="G496" s="237"/>
      <c r="H496" s="235"/>
      <c r="I496" s="235"/>
      <c r="J496" s="235"/>
      <c r="K496" s="66"/>
      <c r="L496" s="238"/>
      <c r="M496" s="238"/>
    </row>
    <row r="497" ht="12.75" customHeight="1">
      <c r="A497" s="238"/>
      <c r="B497" s="235"/>
      <c r="C497" s="235"/>
      <c r="D497" s="236"/>
      <c r="E497" s="235"/>
      <c r="F497" s="235"/>
      <c r="G497" s="237"/>
      <c r="H497" s="235"/>
      <c r="I497" s="235"/>
      <c r="J497" s="235"/>
      <c r="K497" s="66"/>
      <c r="L497" s="238"/>
      <c r="M497" s="238"/>
    </row>
    <row r="498" ht="12.75" customHeight="1">
      <c r="A498" s="238"/>
      <c r="B498" s="235"/>
      <c r="C498" s="235"/>
      <c r="D498" s="236"/>
      <c r="E498" s="235"/>
      <c r="F498" s="235"/>
      <c r="G498" s="237"/>
      <c r="H498" s="235"/>
      <c r="I498" s="235"/>
      <c r="J498" s="235"/>
      <c r="K498" s="66"/>
      <c r="L498" s="238"/>
      <c r="M498" s="238"/>
    </row>
    <row r="499" ht="12.75" customHeight="1">
      <c r="A499" s="238"/>
      <c r="B499" s="235"/>
      <c r="C499" s="235"/>
      <c r="D499" s="236"/>
      <c r="E499" s="235"/>
      <c r="F499" s="235"/>
      <c r="G499" s="237"/>
      <c r="H499" s="235"/>
      <c r="I499" s="235"/>
      <c r="J499" s="235"/>
      <c r="K499" s="66"/>
      <c r="L499" s="238"/>
      <c r="M499" s="238"/>
    </row>
    <row r="500" ht="12.75" customHeight="1">
      <c r="A500" s="238"/>
      <c r="B500" s="235"/>
      <c r="C500" s="235"/>
      <c r="D500" s="236"/>
      <c r="E500" s="235"/>
      <c r="F500" s="235"/>
      <c r="G500" s="237"/>
      <c r="H500" s="235"/>
      <c r="I500" s="235"/>
      <c r="J500" s="235"/>
      <c r="K500" s="66"/>
      <c r="L500" s="238"/>
      <c r="M500" s="238"/>
    </row>
    <row r="501" ht="12.75" customHeight="1">
      <c r="A501" s="238"/>
      <c r="B501" s="235"/>
      <c r="C501" s="235"/>
      <c r="D501" s="236"/>
      <c r="E501" s="235"/>
      <c r="F501" s="235"/>
      <c r="G501" s="237"/>
      <c r="H501" s="235"/>
      <c r="I501" s="235"/>
      <c r="J501" s="235"/>
      <c r="K501" s="66"/>
      <c r="L501" s="238"/>
      <c r="M501" s="238"/>
    </row>
    <row r="502" ht="12.75" customHeight="1">
      <c r="A502" s="238"/>
      <c r="B502" s="235"/>
      <c r="C502" s="235"/>
      <c r="D502" s="236"/>
      <c r="E502" s="235"/>
      <c r="F502" s="235"/>
      <c r="G502" s="237"/>
      <c r="H502" s="235"/>
      <c r="I502" s="235"/>
      <c r="J502" s="235"/>
      <c r="K502" s="66"/>
      <c r="L502" s="238"/>
      <c r="M502" s="238"/>
    </row>
    <row r="503" ht="12.75" customHeight="1">
      <c r="A503" s="238"/>
      <c r="B503" s="235"/>
      <c r="C503" s="235"/>
      <c r="D503" s="236"/>
      <c r="E503" s="235"/>
      <c r="F503" s="235"/>
      <c r="G503" s="237"/>
      <c r="H503" s="235"/>
      <c r="I503" s="235"/>
      <c r="J503" s="235"/>
      <c r="K503" s="66"/>
      <c r="L503" s="238"/>
      <c r="M503" s="238"/>
    </row>
    <row r="504" ht="12.75" customHeight="1">
      <c r="A504" s="238"/>
      <c r="B504" s="235"/>
      <c r="C504" s="235"/>
      <c r="D504" s="236"/>
      <c r="E504" s="235"/>
      <c r="F504" s="235"/>
      <c r="G504" s="237"/>
      <c r="H504" s="235"/>
      <c r="I504" s="235"/>
      <c r="J504" s="235"/>
      <c r="K504" s="66"/>
      <c r="L504" s="238"/>
      <c r="M504" s="238"/>
    </row>
    <row r="505" ht="12.75" customHeight="1">
      <c r="A505" s="238"/>
      <c r="B505" s="235"/>
      <c r="C505" s="235"/>
      <c r="D505" s="236"/>
      <c r="E505" s="235"/>
      <c r="F505" s="235"/>
      <c r="G505" s="237"/>
      <c r="H505" s="235"/>
      <c r="I505" s="235"/>
      <c r="J505" s="235"/>
      <c r="K505" s="66"/>
      <c r="L505" s="238"/>
      <c r="M505" s="238"/>
    </row>
    <row r="506" ht="12.75" customHeight="1">
      <c r="A506" s="238"/>
      <c r="B506" s="235"/>
      <c r="C506" s="235"/>
      <c r="D506" s="236"/>
      <c r="E506" s="235"/>
      <c r="F506" s="235"/>
      <c r="G506" s="237"/>
      <c r="H506" s="235"/>
      <c r="I506" s="235"/>
      <c r="J506" s="235"/>
      <c r="K506" s="66"/>
      <c r="L506" s="238"/>
      <c r="M506" s="238"/>
    </row>
    <row r="507" ht="12.75" customHeight="1">
      <c r="A507" s="238"/>
      <c r="B507" s="235"/>
      <c r="C507" s="235"/>
      <c r="D507" s="236"/>
      <c r="E507" s="235"/>
      <c r="F507" s="235"/>
      <c r="G507" s="237"/>
      <c r="H507" s="235"/>
      <c r="I507" s="235"/>
      <c r="J507" s="235"/>
      <c r="K507" s="66"/>
      <c r="L507" s="238"/>
      <c r="M507" s="238"/>
    </row>
    <row r="508" ht="12.75" customHeight="1">
      <c r="A508" s="238"/>
      <c r="B508" s="235"/>
      <c r="C508" s="235"/>
      <c r="D508" s="236"/>
      <c r="E508" s="235"/>
      <c r="F508" s="235"/>
      <c r="G508" s="237"/>
      <c r="H508" s="235"/>
      <c r="I508" s="235"/>
      <c r="J508" s="235"/>
      <c r="K508" s="66"/>
      <c r="L508" s="238"/>
      <c r="M508" s="238"/>
    </row>
    <row r="509" ht="12.75" customHeight="1">
      <c r="A509" s="238"/>
      <c r="B509" s="235"/>
      <c r="C509" s="235"/>
      <c r="D509" s="236"/>
      <c r="E509" s="235"/>
      <c r="F509" s="235"/>
      <c r="G509" s="237"/>
      <c r="H509" s="235"/>
      <c r="I509" s="235"/>
      <c r="J509" s="235"/>
      <c r="K509" s="66"/>
      <c r="L509" s="238"/>
      <c r="M509" s="238"/>
    </row>
    <row r="510" ht="12.75" customHeight="1">
      <c r="A510" s="238"/>
      <c r="B510" s="235"/>
      <c r="C510" s="235"/>
      <c r="D510" s="236"/>
      <c r="E510" s="235"/>
      <c r="F510" s="235"/>
      <c r="G510" s="237"/>
      <c r="H510" s="235"/>
      <c r="I510" s="235"/>
      <c r="J510" s="235"/>
      <c r="K510" s="66"/>
      <c r="L510" s="238"/>
      <c r="M510" s="238"/>
    </row>
    <row r="511" ht="12.75" customHeight="1">
      <c r="A511" s="238"/>
      <c r="B511" s="235"/>
      <c r="C511" s="235"/>
      <c r="D511" s="236"/>
      <c r="E511" s="235"/>
      <c r="F511" s="235"/>
      <c r="G511" s="237"/>
      <c r="H511" s="235"/>
      <c r="I511" s="235"/>
      <c r="J511" s="235"/>
      <c r="K511" s="66"/>
      <c r="L511" s="238"/>
      <c r="M511" s="238"/>
    </row>
    <row r="512" ht="12.75" customHeight="1">
      <c r="A512" s="238"/>
      <c r="B512" s="235"/>
      <c r="C512" s="235"/>
      <c r="D512" s="236"/>
      <c r="E512" s="235"/>
      <c r="F512" s="235"/>
      <c r="G512" s="237"/>
      <c r="H512" s="235"/>
      <c r="I512" s="235"/>
      <c r="J512" s="235"/>
      <c r="K512" s="66"/>
      <c r="L512" s="238"/>
      <c r="M512" s="238"/>
    </row>
    <row r="513" ht="12.75" customHeight="1">
      <c r="A513" s="238"/>
      <c r="B513" s="235"/>
      <c r="C513" s="235"/>
      <c r="D513" s="236"/>
      <c r="E513" s="235"/>
      <c r="F513" s="235"/>
      <c r="G513" s="237"/>
      <c r="H513" s="235"/>
      <c r="I513" s="235"/>
      <c r="J513" s="235"/>
      <c r="K513" s="66"/>
      <c r="L513" s="238"/>
      <c r="M513" s="238"/>
    </row>
    <row r="514" ht="12.75" customHeight="1">
      <c r="A514" s="238"/>
      <c r="B514" s="235"/>
      <c r="C514" s="235"/>
      <c r="D514" s="236"/>
      <c r="E514" s="235"/>
      <c r="F514" s="235"/>
      <c r="G514" s="237"/>
      <c r="H514" s="235"/>
      <c r="I514" s="235"/>
      <c r="J514" s="235"/>
      <c r="K514" s="66"/>
      <c r="L514" s="238"/>
      <c r="M514" s="238"/>
    </row>
    <row r="515" ht="12.75" customHeight="1">
      <c r="A515" s="238"/>
      <c r="B515" s="235"/>
      <c r="C515" s="235"/>
      <c r="D515" s="236"/>
      <c r="E515" s="235"/>
      <c r="F515" s="235"/>
      <c r="G515" s="237"/>
      <c r="H515" s="235"/>
      <c r="I515" s="235"/>
      <c r="J515" s="235"/>
      <c r="K515" s="66"/>
      <c r="L515" s="238"/>
      <c r="M515" s="238"/>
    </row>
    <row r="516" ht="12.75" customHeight="1">
      <c r="A516" s="238"/>
      <c r="B516" s="235"/>
      <c r="C516" s="235"/>
      <c r="D516" s="236"/>
      <c r="E516" s="235"/>
      <c r="F516" s="235"/>
      <c r="G516" s="237"/>
      <c r="H516" s="235"/>
      <c r="I516" s="235"/>
      <c r="J516" s="235"/>
      <c r="K516" s="66"/>
      <c r="L516" s="238"/>
      <c r="M516" s="238"/>
    </row>
    <row r="517" ht="12.75" customHeight="1">
      <c r="A517" s="238"/>
      <c r="B517" s="235"/>
      <c r="C517" s="235"/>
      <c r="D517" s="236"/>
      <c r="E517" s="235"/>
      <c r="F517" s="235"/>
      <c r="G517" s="237"/>
      <c r="H517" s="235"/>
      <c r="I517" s="235"/>
      <c r="J517" s="235"/>
      <c r="K517" s="66"/>
      <c r="L517" s="238"/>
      <c r="M517" s="238"/>
    </row>
    <row r="518" ht="12.75" customHeight="1">
      <c r="A518" s="238"/>
      <c r="B518" s="235"/>
      <c r="C518" s="235"/>
      <c r="D518" s="236"/>
      <c r="E518" s="235"/>
      <c r="F518" s="235"/>
      <c r="G518" s="237"/>
      <c r="H518" s="235"/>
      <c r="I518" s="235"/>
      <c r="J518" s="235"/>
      <c r="K518" s="66"/>
      <c r="L518" s="238"/>
      <c r="M518" s="238"/>
    </row>
    <row r="519" ht="12.75" customHeight="1">
      <c r="A519" s="238"/>
      <c r="B519" s="235"/>
      <c r="C519" s="235"/>
      <c r="D519" s="236"/>
      <c r="E519" s="235"/>
      <c r="F519" s="235"/>
      <c r="G519" s="237"/>
      <c r="H519" s="235"/>
      <c r="I519" s="235"/>
      <c r="J519" s="235"/>
      <c r="K519" s="66"/>
      <c r="L519" s="238"/>
      <c r="M519" s="238"/>
    </row>
    <row r="520" ht="12.75" customHeight="1">
      <c r="A520" s="238"/>
      <c r="B520" s="235"/>
      <c r="C520" s="235"/>
      <c r="D520" s="236"/>
      <c r="E520" s="235"/>
      <c r="F520" s="235"/>
      <c r="G520" s="237"/>
      <c r="H520" s="235"/>
      <c r="I520" s="235"/>
      <c r="J520" s="235"/>
      <c r="K520" s="66"/>
      <c r="L520" s="238"/>
      <c r="M520" s="238"/>
    </row>
    <row r="521" ht="12.75" customHeight="1">
      <c r="A521" s="238"/>
      <c r="B521" s="235"/>
      <c r="C521" s="235"/>
      <c r="D521" s="236"/>
      <c r="E521" s="235"/>
      <c r="F521" s="235"/>
      <c r="G521" s="237"/>
      <c r="H521" s="235"/>
      <c r="I521" s="235"/>
      <c r="J521" s="235"/>
      <c r="K521" s="66"/>
      <c r="L521" s="238"/>
      <c r="M521" s="238"/>
    </row>
    <row r="522" ht="12.75" customHeight="1">
      <c r="A522" s="238"/>
      <c r="B522" s="235"/>
      <c r="C522" s="235"/>
      <c r="D522" s="236"/>
      <c r="E522" s="235"/>
      <c r="F522" s="235"/>
      <c r="G522" s="237"/>
      <c r="H522" s="235"/>
      <c r="I522" s="235"/>
      <c r="J522" s="235"/>
      <c r="K522" s="66"/>
      <c r="L522" s="238"/>
      <c r="M522" s="238"/>
    </row>
    <row r="523" ht="12.75" customHeight="1">
      <c r="A523" s="238"/>
      <c r="B523" s="235"/>
      <c r="C523" s="235"/>
      <c r="D523" s="236"/>
      <c r="E523" s="235"/>
      <c r="F523" s="235"/>
      <c r="G523" s="237"/>
      <c r="H523" s="235"/>
      <c r="I523" s="235"/>
      <c r="J523" s="235"/>
      <c r="K523" s="66"/>
      <c r="L523" s="238"/>
      <c r="M523" s="238"/>
    </row>
    <row r="524" ht="12.75" customHeight="1">
      <c r="A524" s="238"/>
      <c r="B524" s="235"/>
      <c r="C524" s="235"/>
      <c r="D524" s="236"/>
      <c r="E524" s="235"/>
      <c r="F524" s="235"/>
      <c r="G524" s="237"/>
      <c r="H524" s="235"/>
      <c r="I524" s="235"/>
      <c r="J524" s="235"/>
      <c r="K524" s="66"/>
      <c r="L524" s="238"/>
      <c r="M524" s="238"/>
    </row>
    <row r="525" ht="12.75" customHeight="1">
      <c r="A525" s="238"/>
      <c r="B525" s="235"/>
      <c r="C525" s="235"/>
      <c r="D525" s="236"/>
      <c r="E525" s="235"/>
      <c r="F525" s="235"/>
      <c r="G525" s="237"/>
      <c r="H525" s="235"/>
      <c r="I525" s="235"/>
      <c r="J525" s="235"/>
      <c r="K525" s="66"/>
      <c r="L525" s="238"/>
      <c r="M525" s="238"/>
    </row>
    <row r="526" ht="12.75" customHeight="1">
      <c r="A526" s="238"/>
      <c r="B526" s="235"/>
      <c r="C526" s="235"/>
      <c r="D526" s="236"/>
      <c r="E526" s="235"/>
      <c r="F526" s="235"/>
      <c r="G526" s="237"/>
      <c r="H526" s="235"/>
      <c r="I526" s="235"/>
      <c r="J526" s="235"/>
      <c r="K526" s="66"/>
      <c r="L526" s="238"/>
      <c r="M526" s="238"/>
    </row>
    <row r="527" ht="12.75" customHeight="1">
      <c r="A527" s="238"/>
      <c r="B527" s="235"/>
      <c r="C527" s="235"/>
      <c r="D527" s="236"/>
      <c r="E527" s="235"/>
      <c r="F527" s="235"/>
      <c r="G527" s="237"/>
      <c r="H527" s="235"/>
      <c r="I527" s="235"/>
      <c r="J527" s="235"/>
      <c r="K527" s="66"/>
      <c r="L527" s="238"/>
      <c r="M527" s="238"/>
    </row>
    <row r="528" ht="12.75" customHeight="1">
      <c r="A528" s="238"/>
      <c r="B528" s="235"/>
      <c r="C528" s="235"/>
      <c r="D528" s="236"/>
      <c r="E528" s="235"/>
      <c r="F528" s="235"/>
      <c r="G528" s="237"/>
      <c r="H528" s="235"/>
      <c r="I528" s="235"/>
      <c r="J528" s="235"/>
      <c r="K528" s="66"/>
      <c r="L528" s="238"/>
      <c r="M528" s="238"/>
    </row>
    <row r="529" ht="12.75" customHeight="1">
      <c r="A529" s="238"/>
      <c r="B529" s="235"/>
      <c r="C529" s="235"/>
      <c r="D529" s="236"/>
      <c r="E529" s="235"/>
      <c r="F529" s="235"/>
      <c r="G529" s="237"/>
      <c r="H529" s="235"/>
      <c r="I529" s="235"/>
      <c r="J529" s="235"/>
      <c r="K529" s="66"/>
      <c r="L529" s="238"/>
      <c r="M529" s="238"/>
    </row>
    <row r="530" ht="12.75" customHeight="1">
      <c r="A530" s="238"/>
      <c r="B530" s="235"/>
      <c r="C530" s="235"/>
      <c r="D530" s="236"/>
      <c r="E530" s="235"/>
      <c r="F530" s="235"/>
      <c r="G530" s="237"/>
      <c r="H530" s="235"/>
      <c r="I530" s="235"/>
      <c r="J530" s="235"/>
      <c r="K530" s="66"/>
      <c r="L530" s="238"/>
      <c r="M530" s="238"/>
    </row>
    <row r="531" ht="12.75" customHeight="1">
      <c r="A531" s="238"/>
      <c r="B531" s="235"/>
      <c r="C531" s="235"/>
      <c r="D531" s="236"/>
      <c r="E531" s="235"/>
      <c r="F531" s="235"/>
      <c r="G531" s="237"/>
      <c r="H531" s="235"/>
      <c r="I531" s="235"/>
      <c r="J531" s="235"/>
      <c r="K531" s="66"/>
      <c r="L531" s="238"/>
      <c r="M531" s="238"/>
    </row>
    <row r="532" ht="12.75" customHeight="1">
      <c r="A532" s="238"/>
      <c r="B532" s="235"/>
      <c r="C532" s="235"/>
      <c r="D532" s="236"/>
      <c r="E532" s="235"/>
      <c r="F532" s="235"/>
      <c r="G532" s="237"/>
      <c r="H532" s="235"/>
      <c r="I532" s="235"/>
      <c r="J532" s="235"/>
      <c r="K532" s="66"/>
      <c r="L532" s="238"/>
      <c r="M532" s="238"/>
    </row>
    <row r="533" ht="12.75" customHeight="1">
      <c r="A533" s="238"/>
      <c r="B533" s="235"/>
      <c r="C533" s="235"/>
      <c r="D533" s="236"/>
      <c r="E533" s="235"/>
      <c r="F533" s="235"/>
      <c r="G533" s="237"/>
      <c r="H533" s="235"/>
      <c r="I533" s="235"/>
      <c r="J533" s="235"/>
      <c r="K533" s="66"/>
      <c r="L533" s="238"/>
      <c r="M533" s="238"/>
    </row>
    <row r="534" ht="12.75" customHeight="1">
      <c r="A534" s="238"/>
      <c r="B534" s="235"/>
      <c r="C534" s="235"/>
      <c r="D534" s="236"/>
      <c r="E534" s="235"/>
      <c r="F534" s="235"/>
      <c r="G534" s="237"/>
      <c r="H534" s="235"/>
      <c r="I534" s="235"/>
      <c r="J534" s="235"/>
      <c r="K534" s="66"/>
      <c r="L534" s="238"/>
      <c r="M534" s="238"/>
    </row>
    <row r="535" ht="12.75" customHeight="1">
      <c r="A535" s="238"/>
      <c r="B535" s="235"/>
      <c r="C535" s="235"/>
      <c r="D535" s="236"/>
      <c r="E535" s="235"/>
      <c r="F535" s="235"/>
      <c r="G535" s="237"/>
      <c r="H535" s="235"/>
      <c r="I535" s="235"/>
      <c r="J535" s="235"/>
      <c r="K535" s="66"/>
      <c r="L535" s="238"/>
      <c r="M535" s="238"/>
    </row>
    <row r="536" ht="12.75" customHeight="1">
      <c r="A536" s="238"/>
      <c r="B536" s="235"/>
      <c r="C536" s="235"/>
      <c r="D536" s="236"/>
      <c r="E536" s="235"/>
      <c r="F536" s="235"/>
      <c r="G536" s="237"/>
      <c r="H536" s="235"/>
      <c r="I536" s="235"/>
      <c r="J536" s="235"/>
      <c r="K536" s="66"/>
      <c r="L536" s="238"/>
      <c r="M536" s="238"/>
    </row>
    <row r="537" ht="12.75" customHeight="1">
      <c r="A537" s="238"/>
      <c r="B537" s="235"/>
      <c r="C537" s="235"/>
      <c r="D537" s="236"/>
      <c r="E537" s="235"/>
      <c r="F537" s="235"/>
      <c r="G537" s="237"/>
      <c r="H537" s="235"/>
      <c r="I537" s="235"/>
      <c r="J537" s="235"/>
      <c r="K537" s="66"/>
      <c r="L537" s="238"/>
      <c r="M537" s="238"/>
    </row>
    <row r="538" ht="12.75" customHeight="1">
      <c r="A538" s="238"/>
      <c r="B538" s="235"/>
      <c r="C538" s="235"/>
      <c r="D538" s="236"/>
      <c r="E538" s="235"/>
      <c r="F538" s="235"/>
      <c r="G538" s="237"/>
      <c r="H538" s="235"/>
      <c r="I538" s="235"/>
      <c r="J538" s="235"/>
      <c r="K538" s="66"/>
      <c r="L538" s="238"/>
      <c r="M538" s="238"/>
    </row>
    <row r="539" ht="12.75" customHeight="1">
      <c r="A539" s="238"/>
      <c r="B539" s="235"/>
      <c r="C539" s="235"/>
      <c r="D539" s="236"/>
      <c r="E539" s="235"/>
      <c r="F539" s="235"/>
      <c r="G539" s="237"/>
      <c r="H539" s="235"/>
      <c r="I539" s="235"/>
      <c r="J539" s="235"/>
      <c r="K539" s="66"/>
      <c r="L539" s="238"/>
      <c r="M539" s="238"/>
    </row>
    <row r="540" ht="12.75" customHeight="1">
      <c r="A540" s="238"/>
      <c r="B540" s="235"/>
      <c r="C540" s="235"/>
      <c r="D540" s="236"/>
      <c r="E540" s="235"/>
      <c r="F540" s="235"/>
      <c r="G540" s="237"/>
      <c r="H540" s="235"/>
      <c r="I540" s="235"/>
      <c r="J540" s="235"/>
      <c r="K540" s="66"/>
      <c r="L540" s="238"/>
      <c r="M540" s="238"/>
    </row>
    <row r="541" ht="12.75" customHeight="1">
      <c r="A541" s="238"/>
      <c r="B541" s="235"/>
      <c r="C541" s="235"/>
      <c r="D541" s="236"/>
      <c r="E541" s="235"/>
      <c r="F541" s="235"/>
      <c r="G541" s="237"/>
      <c r="H541" s="235"/>
      <c r="I541" s="235"/>
      <c r="J541" s="235"/>
      <c r="K541" s="66"/>
      <c r="L541" s="238"/>
      <c r="M541" s="238"/>
    </row>
    <row r="542" ht="12.75" customHeight="1">
      <c r="A542" s="238"/>
      <c r="B542" s="235"/>
      <c r="C542" s="235"/>
      <c r="D542" s="236"/>
      <c r="E542" s="235"/>
      <c r="F542" s="235"/>
      <c r="G542" s="237"/>
      <c r="H542" s="235"/>
      <c r="I542" s="235"/>
      <c r="J542" s="235"/>
      <c r="K542" s="66"/>
      <c r="L542" s="238"/>
      <c r="M542" s="238"/>
    </row>
    <row r="543" ht="12.75" customHeight="1">
      <c r="A543" s="238"/>
      <c r="B543" s="235"/>
      <c r="C543" s="235"/>
      <c r="D543" s="236"/>
      <c r="E543" s="235"/>
      <c r="F543" s="235"/>
      <c r="G543" s="237"/>
      <c r="H543" s="235"/>
      <c r="I543" s="235"/>
      <c r="J543" s="235"/>
      <c r="K543" s="66"/>
      <c r="L543" s="238"/>
      <c r="M543" s="238"/>
    </row>
    <row r="544" ht="12.75" customHeight="1">
      <c r="A544" s="238"/>
      <c r="B544" s="235"/>
      <c r="C544" s="235"/>
      <c r="D544" s="236"/>
      <c r="E544" s="235"/>
      <c r="F544" s="235"/>
      <c r="G544" s="237"/>
      <c r="H544" s="235"/>
      <c r="I544" s="235"/>
      <c r="J544" s="235"/>
      <c r="K544" s="66"/>
      <c r="L544" s="238"/>
      <c r="M544" s="238"/>
    </row>
    <row r="545" ht="12.75" customHeight="1">
      <c r="A545" s="238"/>
      <c r="B545" s="235"/>
      <c r="C545" s="235"/>
      <c r="D545" s="236"/>
      <c r="E545" s="235"/>
      <c r="F545" s="235"/>
      <c r="G545" s="237"/>
      <c r="H545" s="235"/>
      <c r="I545" s="235"/>
      <c r="J545" s="235"/>
      <c r="K545" s="66"/>
      <c r="L545" s="238"/>
      <c r="M545" s="238"/>
    </row>
    <row r="546" ht="12.75" customHeight="1">
      <c r="A546" s="238"/>
      <c r="B546" s="235"/>
      <c r="C546" s="235"/>
      <c r="D546" s="236"/>
      <c r="E546" s="235"/>
      <c r="F546" s="235"/>
      <c r="G546" s="237"/>
      <c r="H546" s="235"/>
      <c r="I546" s="235"/>
      <c r="J546" s="235"/>
      <c r="K546" s="66"/>
      <c r="L546" s="238"/>
      <c r="M546" s="238"/>
    </row>
    <row r="547" ht="12.75" customHeight="1">
      <c r="A547" s="238"/>
      <c r="B547" s="235"/>
      <c r="C547" s="235"/>
      <c r="D547" s="236"/>
      <c r="E547" s="235"/>
      <c r="F547" s="235"/>
      <c r="G547" s="237"/>
      <c r="H547" s="235"/>
      <c r="I547" s="235"/>
      <c r="J547" s="235"/>
      <c r="K547" s="66"/>
      <c r="L547" s="238"/>
      <c r="M547" s="238"/>
    </row>
    <row r="548" ht="12.75" customHeight="1">
      <c r="A548" s="238"/>
      <c r="B548" s="235"/>
      <c r="C548" s="235"/>
      <c r="D548" s="236"/>
      <c r="E548" s="235"/>
      <c r="F548" s="235"/>
      <c r="G548" s="237"/>
      <c r="H548" s="235"/>
      <c r="I548" s="235"/>
      <c r="J548" s="235"/>
      <c r="K548" s="66"/>
      <c r="L548" s="238"/>
      <c r="M548" s="238"/>
    </row>
    <row r="549" ht="12.75" customHeight="1">
      <c r="A549" s="238"/>
      <c r="B549" s="235"/>
      <c r="C549" s="235"/>
      <c r="D549" s="236"/>
      <c r="E549" s="235"/>
      <c r="F549" s="235"/>
      <c r="G549" s="237"/>
      <c r="H549" s="235"/>
      <c r="I549" s="235"/>
      <c r="J549" s="235"/>
      <c r="K549" s="66"/>
      <c r="L549" s="238"/>
      <c r="M549" s="238"/>
    </row>
    <row r="550" ht="12.75" customHeight="1">
      <c r="A550" s="238"/>
      <c r="B550" s="235"/>
      <c r="C550" s="235"/>
      <c r="D550" s="236"/>
      <c r="E550" s="235"/>
      <c r="F550" s="235"/>
      <c r="G550" s="237"/>
      <c r="H550" s="235"/>
      <c r="I550" s="235"/>
      <c r="J550" s="235"/>
      <c r="K550" s="66"/>
      <c r="L550" s="238"/>
      <c r="M550" s="238"/>
    </row>
    <row r="551" ht="12.75" customHeight="1">
      <c r="A551" s="238"/>
      <c r="B551" s="235"/>
      <c r="C551" s="235"/>
      <c r="D551" s="236"/>
      <c r="E551" s="235"/>
      <c r="F551" s="235"/>
      <c r="G551" s="237"/>
      <c r="H551" s="235"/>
      <c r="I551" s="235"/>
      <c r="J551" s="235"/>
      <c r="K551" s="66"/>
      <c r="L551" s="238"/>
      <c r="M551" s="238"/>
    </row>
    <row r="552" ht="12.75" customHeight="1">
      <c r="A552" s="238"/>
      <c r="B552" s="235"/>
      <c r="C552" s="235"/>
      <c r="D552" s="236"/>
      <c r="E552" s="235"/>
      <c r="F552" s="235"/>
      <c r="G552" s="237"/>
      <c r="H552" s="235"/>
      <c r="I552" s="235"/>
      <c r="J552" s="235"/>
      <c r="K552" s="66"/>
      <c r="L552" s="238"/>
      <c r="M552" s="238"/>
    </row>
    <row r="553" ht="12.75" customHeight="1">
      <c r="A553" s="238"/>
      <c r="B553" s="235"/>
      <c r="C553" s="235"/>
      <c r="D553" s="236"/>
      <c r="E553" s="235"/>
      <c r="F553" s="235"/>
      <c r="G553" s="237"/>
      <c r="H553" s="235"/>
      <c r="I553" s="235"/>
      <c r="J553" s="235"/>
      <c r="K553" s="66"/>
      <c r="L553" s="238"/>
      <c r="M553" s="238"/>
    </row>
    <row r="554" ht="12.75" customHeight="1">
      <c r="A554" s="238"/>
      <c r="B554" s="235"/>
      <c r="C554" s="235"/>
      <c r="D554" s="236"/>
      <c r="E554" s="235"/>
      <c r="F554" s="235"/>
      <c r="G554" s="237"/>
      <c r="H554" s="235"/>
      <c r="I554" s="235"/>
      <c r="J554" s="235"/>
      <c r="K554" s="66"/>
      <c r="L554" s="238"/>
      <c r="M554" s="238"/>
    </row>
    <row r="555" ht="12.75" customHeight="1">
      <c r="A555" s="238"/>
      <c r="B555" s="235"/>
      <c r="C555" s="235"/>
      <c r="D555" s="236"/>
      <c r="E555" s="235"/>
      <c r="F555" s="235"/>
      <c r="G555" s="237"/>
      <c r="H555" s="235"/>
      <c r="I555" s="235"/>
      <c r="J555" s="235"/>
      <c r="K555" s="66"/>
      <c r="L555" s="238"/>
      <c r="M555" s="238"/>
    </row>
    <row r="556" ht="12.75" customHeight="1">
      <c r="A556" s="238"/>
      <c r="B556" s="235"/>
      <c r="C556" s="235"/>
      <c r="D556" s="236"/>
      <c r="E556" s="235"/>
      <c r="F556" s="235"/>
      <c r="G556" s="237"/>
      <c r="H556" s="235"/>
      <c r="I556" s="235"/>
      <c r="J556" s="235"/>
      <c r="K556" s="66"/>
      <c r="L556" s="238"/>
      <c r="M556" s="238"/>
    </row>
    <row r="557" ht="12.75" customHeight="1">
      <c r="A557" s="238"/>
      <c r="B557" s="235"/>
      <c r="C557" s="235"/>
      <c r="D557" s="236"/>
      <c r="E557" s="235"/>
      <c r="F557" s="235"/>
      <c r="G557" s="237"/>
      <c r="H557" s="235"/>
      <c r="I557" s="235"/>
      <c r="J557" s="235"/>
      <c r="K557" s="66"/>
      <c r="L557" s="238"/>
      <c r="M557" s="238"/>
    </row>
    <row r="558" ht="12.75" customHeight="1">
      <c r="A558" s="238"/>
      <c r="B558" s="235"/>
      <c r="C558" s="235"/>
      <c r="D558" s="236"/>
      <c r="E558" s="235"/>
      <c r="F558" s="235"/>
      <c r="G558" s="237"/>
      <c r="H558" s="235"/>
      <c r="I558" s="235"/>
      <c r="J558" s="235"/>
      <c r="K558" s="66"/>
      <c r="L558" s="238"/>
      <c r="M558" s="238"/>
    </row>
    <row r="559" ht="12.75" customHeight="1">
      <c r="A559" s="238"/>
      <c r="B559" s="235"/>
      <c r="C559" s="235"/>
      <c r="D559" s="236"/>
      <c r="E559" s="235"/>
      <c r="F559" s="235"/>
      <c r="G559" s="237"/>
      <c r="H559" s="235"/>
      <c r="I559" s="235"/>
      <c r="J559" s="235"/>
      <c r="K559" s="66"/>
      <c r="L559" s="238"/>
      <c r="M559" s="238"/>
    </row>
    <row r="560" ht="12.75" customHeight="1">
      <c r="A560" s="238"/>
      <c r="B560" s="235"/>
      <c r="C560" s="235"/>
      <c r="D560" s="236"/>
      <c r="E560" s="235"/>
      <c r="F560" s="235"/>
      <c r="G560" s="237"/>
      <c r="H560" s="235"/>
      <c r="I560" s="235"/>
      <c r="J560" s="235"/>
      <c r="K560" s="66"/>
      <c r="L560" s="238"/>
      <c r="M560" s="238"/>
    </row>
    <row r="561" ht="12.75" customHeight="1">
      <c r="A561" s="238"/>
      <c r="B561" s="235"/>
      <c r="C561" s="235"/>
      <c r="D561" s="236"/>
      <c r="E561" s="235"/>
      <c r="F561" s="235"/>
      <c r="G561" s="237"/>
      <c r="H561" s="235"/>
      <c r="I561" s="235"/>
      <c r="J561" s="235"/>
      <c r="K561" s="66"/>
      <c r="L561" s="238"/>
      <c r="M561" s="238"/>
    </row>
    <row r="562" ht="12.75" customHeight="1">
      <c r="A562" s="238"/>
      <c r="B562" s="235"/>
      <c r="C562" s="235"/>
      <c r="D562" s="236"/>
      <c r="E562" s="235"/>
      <c r="F562" s="235"/>
      <c r="G562" s="237"/>
      <c r="H562" s="235"/>
      <c r="I562" s="235"/>
      <c r="J562" s="235"/>
      <c r="K562" s="66"/>
      <c r="L562" s="238"/>
      <c r="M562" s="238"/>
    </row>
    <row r="563" ht="12.75" customHeight="1">
      <c r="A563" s="238"/>
      <c r="B563" s="235"/>
      <c r="C563" s="235"/>
      <c r="D563" s="236"/>
      <c r="E563" s="235"/>
      <c r="F563" s="235"/>
      <c r="G563" s="237"/>
      <c r="H563" s="235"/>
      <c r="I563" s="235"/>
      <c r="J563" s="235"/>
      <c r="K563" s="66"/>
      <c r="L563" s="238"/>
      <c r="M563" s="238"/>
    </row>
    <row r="564" ht="12.75" customHeight="1">
      <c r="A564" s="238"/>
      <c r="B564" s="235"/>
      <c r="C564" s="235"/>
      <c r="D564" s="236"/>
      <c r="E564" s="235"/>
      <c r="F564" s="235"/>
      <c r="G564" s="237"/>
      <c r="H564" s="235"/>
      <c r="I564" s="235"/>
      <c r="J564" s="235"/>
      <c r="K564" s="66"/>
      <c r="L564" s="238"/>
      <c r="M564" s="238"/>
    </row>
    <row r="565" ht="12.75" customHeight="1">
      <c r="A565" s="238"/>
      <c r="B565" s="235"/>
      <c r="C565" s="235"/>
      <c r="D565" s="236"/>
      <c r="E565" s="235"/>
      <c r="F565" s="235"/>
      <c r="G565" s="237"/>
      <c r="H565" s="235"/>
      <c r="I565" s="235"/>
      <c r="J565" s="235"/>
      <c r="K565" s="66"/>
      <c r="L565" s="238"/>
      <c r="M565" s="238"/>
    </row>
    <row r="566" ht="12.75" customHeight="1">
      <c r="A566" s="238"/>
      <c r="B566" s="235"/>
      <c r="C566" s="235"/>
      <c r="D566" s="236"/>
      <c r="E566" s="235"/>
      <c r="F566" s="235"/>
      <c r="G566" s="237"/>
      <c r="H566" s="235"/>
      <c r="I566" s="235"/>
      <c r="J566" s="235"/>
      <c r="K566" s="66"/>
      <c r="L566" s="238"/>
      <c r="M566" s="238"/>
    </row>
    <row r="567" ht="12.75" customHeight="1">
      <c r="A567" s="238"/>
      <c r="B567" s="235"/>
      <c r="C567" s="235"/>
      <c r="D567" s="236"/>
      <c r="E567" s="235"/>
      <c r="F567" s="235"/>
      <c r="G567" s="237"/>
      <c r="H567" s="235"/>
      <c r="I567" s="235"/>
      <c r="J567" s="235"/>
      <c r="K567" s="66"/>
      <c r="L567" s="238"/>
      <c r="M567" s="238"/>
    </row>
    <row r="568" ht="12.75" customHeight="1">
      <c r="A568" s="238"/>
      <c r="B568" s="235"/>
      <c r="C568" s="235"/>
      <c r="D568" s="236"/>
      <c r="E568" s="235"/>
      <c r="F568" s="235"/>
      <c r="G568" s="237"/>
      <c r="H568" s="235"/>
      <c r="I568" s="235"/>
      <c r="J568" s="235"/>
      <c r="K568" s="66"/>
      <c r="L568" s="238"/>
      <c r="M568" s="238"/>
    </row>
    <row r="569" ht="12.75" customHeight="1">
      <c r="A569" s="238"/>
      <c r="B569" s="235"/>
      <c r="C569" s="235"/>
      <c r="D569" s="236"/>
      <c r="E569" s="235"/>
      <c r="F569" s="235"/>
      <c r="G569" s="237"/>
      <c r="H569" s="235"/>
      <c r="I569" s="235"/>
      <c r="J569" s="235"/>
      <c r="K569" s="66"/>
      <c r="L569" s="238"/>
      <c r="M569" s="238"/>
    </row>
    <row r="570" ht="12.75" customHeight="1">
      <c r="A570" s="238"/>
      <c r="B570" s="235"/>
      <c r="C570" s="235"/>
      <c r="D570" s="236"/>
      <c r="E570" s="235"/>
      <c r="F570" s="235"/>
      <c r="G570" s="237"/>
      <c r="H570" s="235"/>
      <c r="I570" s="235"/>
      <c r="J570" s="235"/>
      <c r="K570" s="66"/>
      <c r="L570" s="238"/>
      <c r="M570" s="238"/>
    </row>
    <row r="571" ht="12.75" customHeight="1">
      <c r="A571" s="238"/>
      <c r="B571" s="235"/>
      <c r="C571" s="235"/>
      <c r="D571" s="236"/>
      <c r="E571" s="235"/>
      <c r="F571" s="235"/>
      <c r="G571" s="237"/>
      <c r="H571" s="235"/>
      <c r="I571" s="235"/>
      <c r="J571" s="235"/>
      <c r="K571" s="66"/>
      <c r="L571" s="238"/>
      <c r="M571" s="238"/>
    </row>
    <row r="572" ht="12.75" customHeight="1">
      <c r="A572" s="238"/>
      <c r="B572" s="235"/>
      <c r="C572" s="235"/>
      <c r="D572" s="236"/>
      <c r="E572" s="235"/>
      <c r="F572" s="235"/>
      <c r="G572" s="237"/>
      <c r="H572" s="235"/>
      <c r="I572" s="235"/>
      <c r="J572" s="235"/>
      <c r="K572" s="66"/>
      <c r="L572" s="238"/>
      <c r="M572" s="238"/>
    </row>
    <row r="573" ht="12.75" customHeight="1">
      <c r="A573" s="238"/>
      <c r="B573" s="235"/>
      <c r="C573" s="235"/>
      <c r="D573" s="236"/>
      <c r="E573" s="235"/>
      <c r="F573" s="235"/>
      <c r="G573" s="237"/>
      <c r="H573" s="235"/>
      <c r="I573" s="235"/>
      <c r="J573" s="235"/>
      <c r="K573" s="66"/>
      <c r="L573" s="238"/>
      <c r="M573" s="238"/>
    </row>
    <row r="574" ht="12.75" customHeight="1">
      <c r="A574" s="238"/>
      <c r="B574" s="235"/>
      <c r="C574" s="235"/>
      <c r="D574" s="236"/>
      <c r="E574" s="235"/>
      <c r="F574" s="235"/>
      <c r="G574" s="237"/>
      <c r="H574" s="235"/>
      <c r="I574" s="235"/>
      <c r="J574" s="235"/>
      <c r="K574" s="66"/>
      <c r="L574" s="238"/>
      <c r="M574" s="238"/>
    </row>
    <row r="575" ht="12.75" customHeight="1">
      <c r="A575" s="238"/>
      <c r="B575" s="235"/>
      <c r="C575" s="235"/>
      <c r="D575" s="236"/>
      <c r="E575" s="235"/>
      <c r="F575" s="235"/>
      <c r="G575" s="237"/>
      <c r="H575" s="235"/>
      <c r="I575" s="235"/>
      <c r="J575" s="235"/>
      <c r="K575" s="66"/>
      <c r="L575" s="238"/>
      <c r="M575" s="238"/>
    </row>
    <row r="576" ht="12.75" customHeight="1">
      <c r="A576" s="238"/>
      <c r="B576" s="235"/>
      <c r="C576" s="235"/>
      <c r="D576" s="236"/>
      <c r="E576" s="235"/>
      <c r="F576" s="235"/>
      <c r="G576" s="237"/>
      <c r="H576" s="235"/>
      <c r="I576" s="235"/>
      <c r="J576" s="235"/>
      <c r="K576" s="66"/>
      <c r="L576" s="238"/>
      <c r="M576" s="238"/>
    </row>
    <row r="577" ht="12.75" customHeight="1">
      <c r="A577" s="238"/>
      <c r="B577" s="235"/>
      <c r="C577" s="235"/>
      <c r="D577" s="236"/>
      <c r="E577" s="235"/>
      <c r="F577" s="235"/>
      <c r="G577" s="237"/>
      <c r="H577" s="235"/>
      <c r="I577" s="235"/>
      <c r="J577" s="235"/>
      <c r="K577" s="66"/>
      <c r="L577" s="238"/>
      <c r="M577" s="238"/>
    </row>
    <row r="578" ht="12.75" customHeight="1">
      <c r="A578" s="238"/>
      <c r="B578" s="235"/>
      <c r="C578" s="235"/>
      <c r="D578" s="236"/>
      <c r="E578" s="235"/>
      <c r="F578" s="235"/>
      <c r="G578" s="237"/>
      <c r="H578" s="235"/>
      <c r="I578" s="235"/>
      <c r="J578" s="235"/>
      <c r="K578" s="66"/>
      <c r="L578" s="238"/>
      <c r="M578" s="238"/>
    </row>
    <row r="579" ht="12.75" customHeight="1">
      <c r="A579" s="238"/>
      <c r="B579" s="235"/>
      <c r="C579" s="235"/>
      <c r="D579" s="236"/>
      <c r="E579" s="235"/>
      <c r="F579" s="235"/>
      <c r="G579" s="237"/>
      <c r="H579" s="235"/>
      <c r="I579" s="235"/>
      <c r="J579" s="235"/>
      <c r="K579" s="66"/>
      <c r="L579" s="238"/>
      <c r="M579" s="238"/>
    </row>
    <row r="580" ht="12.75" customHeight="1">
      <c r="A580" s="238"/>
      <c r="B580" s="235"/>
      <c r="C580" s="235"/>
      <c r="D580" s="236"/>
      <c r="E580" s="235"/>
      <c r="F580" s="235"/>
      <c r="G580" s="237"/>
      <c r="H580" s="235"/>
      <c r="I580" s="235"/>
      <c r="J580" s="235"/>
      <c r="K580" s="66"/>
      <c r="L580" s="238"/>
      <c r="M580" s="238"/>
    </row>
    <row r="581" ht="12.75" customHeight="1">
      <c r="A581" s="238"/>
      <c r="B581" s="235"/>
      <c r="C581" s="235"/>
      <c r="D581" s="236"/>
      <c r="E581" s="235"/>
      <c r="F581" s="235"/>
      <c r="G581" s="237"/>
      <c r="H581" s="235"/>
      <c r="I581" s="235"/>
      <c r="J581" s="235"/>
      <c r="K581" s="66"/>
      <c r="L581" s="238"/>
      <c r="M581" s="238"/>
    </row>
    <row r="582" ht="12.75" customHeight="1">
      <c r="A582" s="238"/>
      <c r="B582" s="235"/>
      <c r="C582" s="235"/>
      <c r="D582" s="236"/>
      <c r="E582" s="235"/>
      <c r="F582" s="235"/>
      <c r="G582" s="237"/>
      <c r="H582" s="235"/>
      <c r="I582" s="235"/>
      <c r="J582" s="235"/>
      <c r="K582" s="66"/>
      <c r="L582" s="238"/>
      <c r="M582" s="238"/>
    </row>
    <row r="583" ht="12.75" customHeight="1">
      <c r="A583" s="238"/>
      <c r="B583" s="235"/>
      <c r="C583" s="235"/>
      <c r="D583" s="236"/>
      <c r="E583" s="235"/>
      <c r="F583" s="235"/>
      <c r="G583" s="237"/>
      <c r="H583" s="235"/>
      <c r="I583" s="235"/>
      <c r="J583" s="235"/>
      <c r="K583" s="66"/>
      <c r="L583" s="238"/>
      <c r="M583" s="238"/>
    </row>
    <row r="584" ht="12.75" customHeight="1">
      <c r="A584" s="238"/>
      <c r="B584" s="235"/>
      <c r="C584" s="235"/>
      <c r="D584" s="236"/>
      <c r="E584" s="235"/>
      <c r="F584" s="235"/>
      <c r="G584" s="237"/>
      <c r="H584" s="235"/>
      <c r="I584" s="235"/>
      <c r="J584" s="235"/>
      <c r="K584" s="66"/>
      <c r="L584" s="238"/>
      <c r="M584" s="238"/>
    </row>
    <row r="585" ht="12.75" customHeight="1">
      <c r="A585" s="238"/>
      <c r="B585" s="235"/>
      <c r="C585" s="235"/>
      <c r="D585" s="236"/>
      <c r="E585" s="235"/>
      <c r="F585" s="235"/>
      <c r="G585" s="237"/>
      <c r="H585" s="235"/>
      <c r="I585" s="235"/>
      <c r="J585" s="235"/>
      <c r="K585" s="66"/>
      <c r="L585" s="238"/>
      <c r="M585" s="238"/>
    </row>
    <row r="586" ht="12.75" customHeight="1">
      <c r="A586" s="238"/>
      <c r="B586" s="235"/>
      <c r="C586" s="235"/>
      <c r="D586" s="236"/>
      <c r="E586" s="235"/>
      <c r="F586" s="235"/>
      <c r="G586" s="237"/>
      <c r="H586" s="235"/>
      <c r="I586" s="235"/>
      <c r="J586" s="235"/>
      <c r="K586" s="66"/>
      <c r="L586" s="238"/>
      <c r="M586" s="238"/>
    </row>
    <row r="587" ht="12.75" customHeight="1">
      <c r="A587" s="238"/>
      <c r="B587" s="235"/>
      <c r="C587" s="235"/>
      <c r="D587" s="236"/>
      <c r="E587" s="235"/>
      <c r="F587" s="235"/>
      <c r="G587" s="237"/>
      <c r="H587" s="235"/>
      <c r="I587" s="235"/>
      <c r="J587" s="235"/>
      <c r="K587" s="66"/>
      <c r="L587" s="238"/>
      <c r="M587" s="238"/>
    </row>
    <row r="588" ht="12.75" customHeight="1">
      <c r="A588" s="238"/>
      <c r="B588" s="235"/>
      <c r="C588" s="235"/>
      <c r="D588" s="236"/>
      <c r="E588" s="235"/>
      <c r="F588" s="235"/>
      <c r="G588" s="237"/>
      <c r="H588" s="235"/>
      <c r="I588" s="235"/>
      <c r="J588" s="235"/>
      <c r="K588" s="66"/>
      <c r="L588" s="238"/>
      <c r="M588" s="238"/>
    </row>
    <row r="589" ht="12.75" customHeight="1">
      <c r="A589" s="238"/>
      <c r="B589" s="235"/>
      <c r="C589" s="235"/>
      <c r="D589" s="236"/>
      <c r="E589" s="235"/>
      <c r="F589" s="235"/>
      <c r="G589" s="237"/>
      <c r="H589" s="235"/>
      <c r="I589" s="235"/>
      <c r="J589" s="235"/>
      <c r="K589" s="66"/>
      <c r="L589" s="238"/>
      <c r="M589" s="238"/>
    </row>
    <row r="590" ht="12.75" customHeight="1">
      <c r="A590" s="238"/>
      <c r="B590" s="235"/>
      <c r="C590" s="235"/>
      <c r="D590" s="236"/>
      <c r="E590" s="235"/>
      <c r="F590" s="235"/>
      <c r="G590" s="237"/>
      <c r="H590" s="235"/>
      <c r="I590" s="235"/>
      <c r="J590" s="235"/>
      <c r="K590" s="66"/>
      <c r="L590" s="238"/>
      <c r="M590" s="238"/>
    </row>
    <row r="591" ht="12.75" customHeight="1">
      <c r="A591" s="238"/>
      <c r="B591" s="235"/>
      <c r="C591" s="235"/>
      <c r="D591" s="236"/>
      <c r="E591" s="235"/>
      <c r="F591" s="235"/>
      <c r="G591" s="237"/>
      <c r="H591" s="235"/>
      <c r="I591" s="235"/>
      <c r="J591" s="235"/>
      <c r="K591" s="66"/>
      <c r="L591" s="238"/>
      <c r="M591" s="238"/>
    </row>
    <row r="592" ht="12.75" customHeight="1">
      <c r="A592" s="238"/>
      <c r="B592" s="235"/>
      <c r="C592" s="235"/>
      <c r="D592" s="236"/>
      <c r="E592" s="235"/>
      <c r="F592" s="235"/>
      <c r="G592" s="237"/>
      <c r="H592" s="235"/>
      <c r="I592" s="235"/>
      <c r="J592" s="235"/>
      <c r="K592" s="66"/>
      <c r="L592" s="238"/>
      <c r="M592" s="238"/>
    </row>
    <row r="593" ht="12.75" customHeight="1">
      <c r="A593" s="238"/>
      <c r="B593" s="235"/>
      <c r="C593" s="235"/>
      <c r="D593" s="236"/>
      <c r="E593" s="235"/>
      <c r="F593" s="235"/>
      <c r="G593" s="237"/>
      <c r="H593" s="235"/>
      <c r="I593" s="235"/>
      <c r="J593" s="235"/>
      <c r="K593" s="66"/>
      <c r="L593" s="238"/>
      <c r="M593" s="238"/>
    </row>
    <row r="594" ht="12.75" customHeight="1">
      <c r="A594" s="238"/>
      <c r="B594" s="235"/>
      <c r="C594" s="235"/>
      <c r="D594" s="236"/>
      <c r="E594" s="235"/>
      <c r="F594" s="235"/>
      <c r="G594" s="237"/>
      <c r="H594" s="235"/>
      <c r="I594" s="235"/>
      <c r="J594" s="235"/>
      <c r="K594" s="66"/>
      <c r="L594" s="238"/>
      <c r="M594" s="238"/>
    </row>
    <row r="595" ht="12.75" customHeight="1">
      <c r="A595" s="238"/>
      <c r="B595" s="235"/>
      <c r="C595" s="235"/>
      <c r="D595" s="236"/>
      <c r="E595" s="235"/>
      <c r="F595" s="235"/>
      <c r="G595" s="237"/>
      <c r="H595" s="235"/>
      <c r="I595" s="235"/>
      <c r="J595" s="235"/>
      <c r="K595" s="66"/>
      <c r="L595" s="238"/>
      <c r="M595" s="238"/>
    </row>
    <row r="596" ht="12.75" customHeight="1">
      <c r="A596" s="238"/>
      <c r="B596" s="235"/>
      <c r="C596" s="235"/>
      <c r="D596" s="236"/>
      <c r="E596" s="235"/>
      <c r="F596" s="235"/>
      <c r="G596" s="237"/>
      <c r="H596" s="235"/>
      <c r="I596" s="235"/>
      <c r="J596" s="235"/>
      <c r="K596" s="66"/>
      <c r="L596" s="238"/>
      <c r="M596" s="238"/>
    </row>
    <row r="597" ht="12.75" customHeight="1">
      <c r="A597" s="238"/>
      <c r="B597" s="235"/>
      <c r="C597" s="235"/>
      <c r="D597" s="236"/>
      <c r="E597" s="235"/>
      <c r="F597" s="235"/>
      <c r="G597" s="237"/>
      <c r="H597" s="235"/>
      <c r="I597" s="235"/>
      <c r="J597" s="235"/>
      <c r="K597" s="66"/>
      <c r="L597" s="238"/>
      <c r="M597" s="238"/>
    </row>
    <row r="598" ht="12.75" customHeight="1">
      <c r="A598" s="238"/>
      <c r="B598" s="235"/>
      <c r="C598" s="235"/>
      <c r="D598" s="236"/>
      <c r="E598" s="235"/>
      <c r="F598" s="235"/>
      <c r="G598" s="237"/>
      <c r="H598" s="235"/>
      <c r="I598" s="235"/>
      <c r="J598" s="235"/>
      <c r="K598" s="66"/>
      <c r="L598" s="238"/>
      <c r="M598" s="238"/>
    </row>
    <row r="599" ht="12.75" customHeight="1">
      <c r="A599" s="238"/>
      <c r="B599" s="235"/>
      <c r="C599" s="235"/>
      <c r="D599" s="236"/>
      <c r="E599" s="235"/>
      <c r="F599" s="235"/>
      <c r="G599" s="237"/>
      <c r="H599" s="235"/>
      <c r="I599" s="235"/>
      <c r="J599" s="235"/>
      <c r="K599" s="66"/>
      <c r="L599" s="238"/>
      <c r="M599" s="238"/>
    </row>
    <row r="600" ht="12.75" customHeight="1">
      <c r="A600" s="238"/>
      <c r="B600" s="235"/>
      <c r="C600" s="235"/>
      <c r="D600" s="236"/>
      <c r="E600" s="235"/>
      <c r="F600" s="235"/>
      <c r="G600" s="237"/>
      <c r="H600" s="235"/>
      <c r="I600" s="235"/>
      <c r="J600" s="235"/>
      <c r="K600" s="66"/>
      <c r="L600" s="238"/>
      <c r="M600" s="238"/>
    </row>
    <row r="601" ht="12.75" customHeight="1">
      <c r="A601" s="238"/>
      <c r="B601" s="235"/>
      <c r="C601" s="235"/>
      <c r="D601" s="236"/>
      <c r="E601" s="235"/>
      <c r="F601" s="235"/>
      <c r="G601" s="237"/>
      <c r="H601" s="235"/>
      <c r="I601" s="235"/>
      <c r="J601" s="235"/>
      <c r="K601" s="66"/>
      <c r="L601" s="238"/>
      <c r="M601" s="238"/>
    </row>
    <row r="602" ht="12.75" customHeight="1">
      <c r="A602" s="238"/>
      <c r="B602" s="235"/>
      <c r="C602" s="235"/>
      <c r="D602" s="236"/>
      <c r="E602" s="235"/>
      <c r="F602" s="235"/>
      <c r="G602" s="237"/>
      <c r="H602" s="235"/>
      <c r="I602" s="235"/>
      <c r="J602" s="235"/>
      <c r="K602" s="66"/>
      <c r="L602" s="238"/>
      <c r="M602" s="238"/>
    </row>
    <row r="603" ht="12.75" customHeight="1">
      <c r="A603" s="238"/>
      <c r="B603" s="235"/>
      <c r="C603" s="235"/>
      <c r="D603" s="236"/>
      <c r="E603" s="235"/>
      <c r="F603" s="235"/>
      <c r="G603" s="237"/>
      <c r="H603" s="235"/>
      <c r="I603" s="235"/>
      <c r="J603" s="235"/>
      <c r="K603" s="66"/>
      <c r="L603" s="238"/>
      <c r="M603" s="238"/>
    </row>
    <row r="604" ht="12.75" customHeight="1">
      <c r="A604" s="238"/>
      <c r="B604" s="235"/>
      <c r="C604" s="235"/>
      <c r="D604" s="236"/>
      <c r="E604" s="235"/>
      <c r="F604" s="235"/>
      <c r="G604" s="237"/>
      <c r="H604" s="235"/>
      <c r="I604" s="235"/>
      <c r="J604" s="235"/>
      <c r="K604" s="66"/>
      <c r="L604" s="238"/>
      <c r="M604" s="238"/>
    </row>
    <row r="605" ht="12.75" customHeight="1">
      <c r="A605" s="238"/>
      <c r="B605" s="235"/>
      <c r="C605" s="235"/>
      <c r="D605" s="236"/>
      <c r="E605" s="235"/>
      <c r="F605" s="235"/>
      <c r="G605" s="237"/>
      <c r="H605" s="235"/>
      <c r="I605" s="235"/>
      <c r="J605" s="235"/>
      <c r="K605" s="66"/>
      <c r="L605" s="238"/>
      <c r="M605" s="238"/>
    </row>
    <row r="606" ht="12.75" customHeight="1">
      <c r="A606" s="238"/>
      <c r="B606" s="235"/>
      <c r="C606" s="235"/>
      <c r="D606" s="236"/>
      <c r="E606" s="235"/>
      <c r="F606" s="235"/>
      <c r="G606" s="237"/>
      <c r="H606" s="235"/>
      <c r="I606" s="235"/>
      <c r="J606" s="235"/>
      <c r="K606" s="66"/>
      <c r="L606" s="238"/>
      <c r="M606" s="238"/>
    </row>
    <row r="607" ht="12.75" customHeight="1">
      <c r="A607" s="238"/>
      <c r="B607" s="235"/>
      <c r="C607" s="235"/>
      <c r="D607" s="236"/>
      <c r="E607" s="235"/>
      <c r="F607" s="235"/>
      <c r="G607" s="237"/>
      <c r="H607" s="235"/>
      <c r="I607" s="235"/>
      <c r="J607" s="235"/>
      <c r="K607" s="66"/>
      <c r="L607" s="238"/>
      <c r="M607" s="238"/>
    </row>
    <row r="608" ht="12.75" customHeight="1">
      <c r="A608" s="238"/>
      <c r="B608" s="235"/>
      <c r="C608" s="235"/>
      <c r="D608" s="236"/>
      <c r="E608" s="235"/>
      <c r="F608" s="235"/>
      <c r="G608" s="237"/>
      <c r="H608" s="235"/>
      <c r="I608" s="235"/>
      <c r="J608" s="235"/>
      <c r="K608" s="66"/>
      <c r="L608" s="238"/>
      <c r="M608" s="238"/>
    </row>
    <row r="609" ht="12.75" customHeight="1">
      <c r="A609" s="238"/>
      <c r="B609" s="235"/>
      <c r="C609" s="235"/>
      <c r="D609" s="236"/>
      <c r="E609" s="235"/>
      <c r="F609" s="235"/>
      <c r="G609" s="237"/>
      <c r="H609" s="235"/>
      <c r="I609" s="235"/>
      <c r="J609" s="235"/>
      <c r="K609" s="66"/>
      <c r="L609" s="238"/>
      <c r="M609" s="238"/>
    </row>
    <row r="610" ht="12.75" customHeight="1">
      <c r="A610" s="238"/>
      <c r="B610" s="235"/>
      <c r="C610" s="235"/>
      <c r="D610" s="236"/>
      <c r="E610" s="235"/>
      <c r="F610" s="235"/>
      <c r="G610" s="237"/>
      <c r="H610" s="235"/>
      <c r="I610" s="235"/>
      <c r="J610" s="235"/>
      <c r="K610" s="66"/>
      <c r="L610" s="238"/>
      <c r="M610" s="238"/>
    </row>
    <row r="611" ht="12.75" customHeight="1">
      <c r="A611" s="238"/>
      <c r="B611" s="235"/>
      <c r="C611" s="235"/>
      <c r="D611" s="236"/>
      <c r="E611" s="235"/>
      <c r="F611" s="235"/>
      <c r="G611" s="237"/>
      <c r="H611" s="235"/>
      <c r="I611" s="235"/>
      <c r="J611" s="235"/>
      <c r="K611" s="66"/>
      <c r="L611" s="238"/>
      <c r="M611" s="238"/>
    </row>
    <row r="612" ht="12.75" customHeight="1">
      <c r="A612" s="238"/>
      <c r="B612" s="235"/>
      <c r="C612" s="235"/>
      <c r="D612" s="236"/>
      <c r="E612" s="235"/>
      <c r="F612" s="235"/>
      <c r="G612" s="237"/>
      <c r="H612" s="235"/>
      <c r="I612" s="235"/>
      <c r="J612" s="235"/>
      <c r="K612" s="66"/>
      <c r="L612" s="238"/>
      <c r="M612" s="238"/>
    </row>
    <row r="613" ht="12.75" customHeight="1">
      <c r="A613" s="238"/>
      <c r="B613" s="235"/>
      <c r="C613" s="235"/>
      <c r="D613" s="236"/>
      <c r="E613" s="235"/>
      <c r="F613" s="235"/>
      <c r="G613" s="237"/>
      <c r="H613" s="235"/>
      <c r="I613" s="235"/>
      <c r="J613" s="235"/>
      <c r="K613" s="66"/>
      <c r="L613" s="238"/>
      <c r="M613" s="238"/>
    </row>
    <row r="614" ht="12.75" customHeight="1">
      <c r="A614" s="238"/>
      <c r="B614" s="235"/>
      <c r="C614" s="235"/>
      <c r="D614" s="236"/>
      <c r="E614" s="235"/>
      <c r="F614" s="235"/>
      <c r="G614" s="237"/>
      <c r="H614" s="235"/>
      <c r="I614" s="235"/>
      <c r="J614" s="235"/>
      <c r="K614" s="66"/>
      <c r="L614" s="238"/>
      <c r="M614" s="238"/>
    </row>
    <row r="615" ht="12.75" customHeight="1">
      <c r="A615" s="238"/>
      <c r="B615" s="235"/>
      <c r="C615" s="235"/>
      <c r="D615" s="236"/>
      <c r="E615" s="235"/>
      <c r="F615" s="235"/>
      <c r="G615" s="237"/>
      <c r="H615" s="235"/>
      <c r="I615" s="235"/>
      <c r="J615" s="235"/>
      <c r="K615" s="66"/>
      <c r="L615" s="238"/>
      <c r="M615" s="238"/>
    </row>
    <row r="616" ht="12.75" customHeight="1">
      <c r="A616" s="238"/>
      <c r="B616" s="235"/>
      <c r="C616" s="235"/>
      <c r="D616" s="236"/>
      <c r="E616" s="235"/>
      <c r="F616" s="235"/>
      <c r="G616" s="237"/>
      <c r="H616" s="235"/>
      <c r="I616" s="235"/>
      <c r="J616" s="235"/>
      <c r="K616" s="66"/>
      <c r="L616" s="238"/>
      <c r="M616" s="238"/>
    </row>
    <row r="617" ht="12.75" customHeight="1">
      <c r="A617" s="238"/>
      <c r="B617" s="235"/>
      <c r="C617" s="235"/>
      <c r="D617" s="236"/>
      <c r="E617" s="235"/>
      <c r="F617" s="235"/>
      <c r="G617" s="237"/>
      <c r="H617" s="235"/>
      <c r="I617" s="235"/>
      <c r="J617" s="235"/>
      <c r="K617" s="66"/>
      <c r="L617" s="238"/>
      <c r="M617" s="238"/>
    </row>
    <row r="618" ht="12.75" customHeight="1">
      <c r="A618" s="238"/>
      <c r="B618" s="235"/>
      <c r="C618" s="235"/>
      <c r="D618" s="236"/>
      <c r="E618" s="235"/>
      <c r="F618" s="235"/>
      <c r="G618" s="237"/>
      <c r="H618" s="235"/>
      <c r="I618" s="235"/>
      <c r="J618" s="235"/>
      <c r="K618" s="66"/>
      <c r="L618" s="238"/>
      <c r="M618" s="238"/>
    </row>
    <row r="619" ht="12.75" customHeight="1">
      <c r="A619" s="238"/>
      <c r="B619" s="235"/>
      <c r="C619" s="235"/>
      <c r="D619" s="236"/>
      <c r="E619" s="235"/>
      <c r="F619" s="235"/>
      <c r="G619" s="237"/>
      <c r="H619" s="235"/>
      <c r="I619" s="235"/>
      <c r="J619" s="235"/>
      <c r="K619" s="66"/>
      <c r="L619" s="238"/>
      <c r="M619" s="238"/>
    </row>
    <row r="620" ht="12.75" customHeight="1">
      <c r="A620" s="238"/>
      <c r="B620" s="235"/>
      <c r="C620" s="235"/>
      <c r="D620" s="236"/>
      <c r="E620" s="235"/>
      <c r="F620" s="235"/>
      <c r="G620" s="237"/>
      <c r="H620" s="235"/>
      <c r="I620" s="235"/>
      <c r="J620" s="235"/>
      <c r="K620" s="66"/>
      <c r="L620" s="238"/>
      <c r="M620" s="238"/>
    </row>
    <row r="621" ht="12.75" customHeight="1">
      <c r="A621" s="238"/>
      <c r="B621" s="235"/>
      <c r="C621" s="235"/>
      <c r="D621" s="236"/>
      <c r="E621" s="235"/>
      <c r="F621" s="235"/>
      <c r="G621" s="237"/>
      <c r="H621" s="235"/>
      <c r="I621" s="235"/>
      <c r="J621" s="235"/>
      <c r="K621" s="66"/>
      <c r="L621" s="238"/>
      <c r="M621" s="238"/>
    </row>
    <row r="622" ht="12.75" customHeight="1">
      <c r="A622" s="238"/>
      <c r="B622" s="235"/>
      <c r="C622" s="235"/>
      <c r="D622" s="236"/>
      <c r="E622" s="235"/>
      <c r="F622" s="235"/>
      <c r="G622" s="237"/>
      <c r="H622" s="235"/>
      <c r="I622" s="235"/>
      <c r="J622" s="235"/>
      <c r="K622" s="66"/>
      <c r="L622" s="238"/>
      <c r="M622" s="238"/>
    </row>
    <row r="623" ht="12.75" customHeight="1">
      <c r="A623" s="238"/>
      <c r="B623" s="235"/>
      <c r="C623" s="235"/>
      <c r="D623" s="236"/>
      <c r="E623" s="235"/>
      <c r="F623" s="235"/>
      <c r="G623" s="237"/>
      <c r="H623" s="235"/>
      <c r="I623" s="235"/>
      <c r="J623" s="235"/>
      <c r="K623" s="66"/>
      <c r="L623" s="238"/>
      <c r="M623" s="238"/>
    </row>
    <row r="624" ht="12.75" customHeight="1">
      <c r="A624" s="238"/>
      <c r="B624" s="235"/>
      <c r="C624" s="235"/>
      <c r="D624" s="236"/>
      <c r="E624" s="235"/>
      <c r="F624" s="235"/>
      <c r="G624" s="237"/>
      <c r="H624" s="235"/>
      <c r="I624" s="235"/>
      <c r="J624" s="235"/>
      <c r="K624" s="66"/>
      <c r="L624" s="238"/>
      <c r="M624" s="238"/>
    </row>
    <row r="625" ht="12.75" customHeight="1">
      <c r="A625" s="238"/>
      <c r="B625" s="235"/>
      <c r="C625" s="235"/>
      <c r="D625" s="236"/>
      <c r="E625" s="235"/>
      <c r="F625" s="235"/>
      <c r="G625" s="237"/>
      <c r="H625" s="235"/>
      <c r="I625" s="235"/>
      <c r="J625" s="235"/>
      <c r="K625" s="66"/>
      <c r="L625" s="238"/>
      <c r="M625" s="238"/>
    </row>
    <row r="626" ht="12.75" customHeight="1">
      <c r="A626" s="238"/>
      <c r="B626" s="235"/>
      <c r="C626" s="235"/>
      <c r="D626" s="236"/>
      <c r="E626" s="235"/>
      <c r="F626" s="235"/>
      <c r="G626" s="237"/>
      <c r="H626" s="235"/>
      <c r="I626" s="235"/>
      <c r="J626" s="235"/>
      <c r="K626" s="66"/>
      <c r="L626" s="238"/>
      <c r="M626" s="238"/>
    </row>
    <row r="627" ht="12.75" customHeight="1">
      <c r="A627" s="238"/>
      <c r="B627" s="235"/>
      <c r="C627" s="235"/>
      <c r="D627" s="236"/>
      <c r="E627" s="235"/>
      <c r="F627" s="235"/>
      <c r="G627" s="237"/>
      <c r="H627" s="235"/>
      <c r="I627" s="235"/>
      <c r="J627" s="235"/>
      <c r="K627" s="66"/>
      <c r="L627" s="238"/>
      <c r="M627" s="238"/>
    </row>
    <row r="628" ht="12.75" customHeight="1">
      <c r="A628" s="238"/>
      <c r="B628" s="235"/>
      <c r="C628" s="235"/>
      <c r="D628" s="236"/>
      <c r="E628" s="235"/>
      <c r="F628" s="235"/>
      <c r="G628" s="237"/>
      <c r="H628" s="235"/>
      <c r="I628" s="235"/>
      <c r="J628" s="235"/>
      <c r="K628" s="66"/>
      <c r="L628" s="238"/>
      <c r="M628" s="238"/>
    </row>
    <row r="629" ht="12.75" customHeight="1">
      <c r="A629" s="238"/>
      <c r="B629" s="235"/>
      <c r="C629" s="235"/>
      <c r="D629" s="236"/>
      <c r="E629" s="235"/>
      <c r="F629" s="235"/>
      <c r="G629" s="237"/>
      <c r="H629" s="235"/>
      <c r="I629" s="235"/>
      <c r="J629" s="235"/>
      <c r="K629" s="66"/>
      <c r="L629" s="238"/>
      <c r="M629" s="238"/>
    </row>
    <row r="630" ht="12.75" customHeight="1">
      <c r="A630" s="238"/>
      <c r="B630" s="235"/>
      <c r="C630" s="235"/>
      <c r="D630" s="236"/>
      <c r="E630" s="235"/>
      <c r="F630" s="235"/>
      <c r="G630" s="237"/>
      <c r="H630" s="235"/>
      <c r="I630" s="235"/>
      <c r="J630" s="235"/>
      <c r="K630" s="66"/>
      <c r="L630" s="238"/>
      <c r="M630" s="238"/>
    </row>
    <row r="631" ht="12.75" customHeight="1">
      <c r="A631" s="238"/>
      <c r="B631" s="235"/>
      <c r="C631" s="235"/>
      <c r="D631" s="236"/>
      <c r="E631" s="235"/>
      <c r="F631" s="235"/>
      <c r="G631" s="237"/>
      <c r="H631" s="235"/>
      <c r="I631" s="235"/>
      <c r="J631" s="235"/>
      <c r="K631" s="66"/>
      <c r="L631" s="238"/>
      <c r="M631" s="238"/>
    </row>
    <row r="632" ht="12.75" customHeight="1">
      <c r="A632" s="238"/>
      <c r="B632" s="235"/>
      <c r="C632" s="235"/>
      <c r="D632" s="236"/>
      <c r="E632" s="235"/>
      <c r="F632" s="235"/>
      <c r="G632" s="237"/>
      <c r="H632" s="235"/>
      <c r="I632" s="235"/>
      <c r="J632" s="235"/>
      <c r="K632" s="66"/>
      <c r="L632" s="238"/>
      <c r="M632" s="238"/>
    </row>
    <row r="633" ht="12.75" customHeight="1">
      <c r="A633" s="238"/>
      <c r="B633" s="235"/>
      <c r="C633" s="235"/>
      <c r="D633" s="236"/>
      <c r="E633" s="235"/>
      <c r="F633" s="235"/>
      <c r="G633" s="237"/>
      <c r="H633" s="235"/>
      <c r="I633" s="235"/>
      <c r="J633" s="235"/>
      <c r="K633" s="66"/>
      <c r="L633" s="238"/>
      <c r="M633" s="238"/>
    </row>
    <row r="634" ht="12.75" customHeight="1">
      <c r="A634" s="238"/>
      <c r="B634" s="235"/>
      <c r="C634" s="235"/>
      <c r="D634" s="236"/>
      <c r="E634" s="235"/>
      <c r="F634" s="235"/>
      <c r="G634" s="237"/>
      <c r="H634" s="235"/>
      <c r="I634" s="235"/>
      <c r="J634" s="235"/>
      <c r="K634" s="66"/>
      <c r="L634" s="238"/>
      <c r="M634" s="238"/>
    </row>
    <row r="635" ht="12.75" customHeight="1">
      <c r="A635" s="238"/>
      <c r="B635" s="235"/>
      <c r="C635" s="235"/>
      <c r="D635" s="236"/>
      <c r="E635" s="235"/>
      <c r="F635" s="235"/>
      <c r="G635" s="237"/>
      <c r="H635" s="235"/>
      <c r="I635" s="235"/>
      <c r="J635" s="235"/>
      <c r="K635" s="66"/>
      <c r="L635" s="238"/>
      <c r="M635" s="238"/>
    </row>
    <row r="636" ht="12.75" customHeight="1">
      <c r="A636" s="238"/>
      <c r="B636" s="235"/>
      <c r="C636" s="235"/>
      <c r="D636" s="236"/>
      <c r="E636" s="235"/>
      <c r="F636" s="235"/>
      <c r="G636" s="237"/>
      <c r="H636" s="235"/>
      <c r="I636" s="235"/>
      <c r="J636" s="235"/>
      <c r="K636" s="66"/>
      <c r="L636" s="238"/>
      <c r="M636" s="238"/>
    </row>
    <row r="637" ht="12.75" customHeight="1">
      <c r="A637" s="238"/>
      <c r="B637" s="235"/>
      <c r="C637" s="235"/>
      <c r="D637" s="236"/>
      <c r="E637" s="235"/>
      <c r="F637" s="235"/>
      <c r="G637" s="237"/>
      <c r="H637" s="235"/>
      <c r="I637" s="235"/>
      <c r="J637" s="235"/>
      <c r="K637" s="66"/>
      <c r="L637" s="238"/>
      <c r="M637" s="238"/>
    </row>
    <row r="638" ht="12.75" customHeight="1">
      <c r="A638" s="238"/>
      <c r="B638" s="235"/>
      <c r="C638" s="235"/>
      <c r="D638" s="236"/>
      <c r="E638" s="235"/>
      <c r="F638" s="235"/>
      <c r="G638" s="237"/>
      <c r="H638" s="235"/>
      <c r="I638" s="235"/>
      <c r="J638" s="235"/>
      <c r="K638" s="66"/>
      <c r="L638" s="238"/>
      <c r="M638" s="238"/>
    </row>
    <row r="639" ht="12.75" customHeight="1">
      <c r="A639" s="238"/>
      <c r="B639" s="235"/>
      <c r="C639" s="235"/>
      <c r="D639" s="236"/>
      <c r="E639" s="235"/>
      <c r="F639" s="235"/>
      <c r="G639" s="237"/>
      <c r="H639" s="235"/>
      <c r="I639" s="235"/>
      <c r="J639" s="235"/>
      <c r="K639" s="66"/>
      <c r="L639" s="238"/>
      <c r="M639" s="238"/>
    </row>
    <row r="640" ht="12.75" customHeight="1">
      <c r="A640" s="238"/>
      <c r="B640" s="235"/>
      <c r="C640" s="235"/>
      <c r="D640" s="236"/>
      <c r="E640" s="235"/>
      <c r="F640" s="235"/>
      <c r="G640" s="237"/>
      <c r="H640" s="235"/>
      <c r="I640" s="235"/>
      <c r="J640" s="235"/>
      <c r="K640" s="66"/>
      <c r="L640" s="238"/>
      <c r="M640" s="238"/>
    </row>
    <row r="641" ht="12.75" customHeight="1">
      <c r="A641" s="238"/>
      <c r="B641" s="235"/>
      <c r="C641" s="235"/>
      <c r="D641" s="236"/>
      <c r="E641" s="235"/>
      <c r="F641" s="235"/>
      <c r="G641" s="237"/>
      <c r="H641" s="235"/>
      <c r="I641" s="235"/>
      <c r="J641" s="235"/>
      <c r="K641" s="66"/>
      <c r="L641" s="238"/>
      <c r="M641" s="238"/>
    </row>
    <row r="642" ht="12.75" customHeight="1">
      <c r="A642" s="238"/>
      <c r="B642" s="235"/>
      <c r="C642" s="235"/>
      <c r="D642" s="236"/>
      <c r="E642" s="235"/>
      <c r="F642" s="235"/>
      <c r="G642" s="237"/>
      <c r="H642" s="235"/>
      <c r="I642" s="235"/>
      <c r="J642" s="235"/>
      <c r="K642" s="66"/>
      <c r="L642" s="238"/>
      <c r="M642" s="238"/>
    </row>
    <row r="643" ht="12.75" customHeight="1">
      <c r="A643" s="238"/>
      <c r="B643" s="235"/>
      <c r="C643" s="235"/>
      <c r="D643" s="236"/>
      <c r="E643" s="235"/>
      <c r="F643" s="235"/>
      <c r="G643" s="237"/>
      <c r="H643" s="235"/>
      <c r="I643" s="235"/>
      <c r="J643" s="235"/>
      <c r="K643" s="66"/>
      <c r="L643" s="238"/>
      <c r="M643" s="238"/>
    </row>
    <row r="644" ht="12.75" customHeight="1">
      <c r="A644" s="238"/>
      <c r="B644" s="235"/>
      <c r="C644" s="235"/>
      <c r="D644" s="236"/>
      <c r="E644" s="235"/>
      <c r="F644" s="235"/>
      <c r="G644" s="237"/>
      <c r="H644" s="235"/>
      <c r="I644" s="235"/>
      <c r="J644" s="235"/>
      <c r="K644" s="66"/>
      <c r="L644" s="238"/>
      <c r="M644" s="238"/>
    </row>
    <row r="645" ht="12.75" customHeight="1">
      <c r="A645" s="238"/>
      <c r="B645" s="235"/>
      <c r="C645" s="235"/>
      <c r="D645" s="236"/>
      <c r="E645" s="235"/>
      <c r="F645" s="235"/>
      <c r="G645" s="237"/>
      <c r="H645" s="235"/>
      <c r="I645" s="235"/>
      <c r="J645" s="235"/>
      <c r="K645" s="66"/>
      <c r="L645" s="238"/>
      <c r="M645" s="238"/>
    </row>
    <row r="646" ht="12.75" customHeight="1">
      <c r="A646" s="238"/>
      <c r="B646" s="235"/>
      <c r="C646" s="235"/>
      <c r="D646" s="236"/>
      <c r="E646" s="235"/>
      <c r="F646" s="235"/>
      <c r="G646" s="237"/>
      <c r="H646" s="235"/>
      <c r="I646" s="235"/>
      <c r="J646" s="235"/>
      <c r="K646" s="66"/>
      <c r="L646" s="238"/>
      <c r="M646" s="238"/>
    </row>
    <row r="647" ht="12.75" customHeight="1">
      <c r="A647" s="238"/>
      <c r="B647" s="235"/>
      <c r="C647" s="235"/>
      <c r="D647" s="236"/>
      <c r="E647" s="235"/>
      <c r="F647" s="235"/>
      <c r="G647" s="237"/>
      <c r="H647" s="235"/>
      <c r="I647" s="235"/>
      <c r="J647" s="235"/>
      <c r="K647" s="66"/>
      <c r="L647" s="238"/>
      <c r="M647" s="238"/>
    </row>
    <row r="648" ht="12.75" customHeight="1">
      <c r="A648" s="238"/>
      <c r="B648" s="235"/>
      <c r="C648" s="235"/>
      <c r="D648" s="236"/>
      <c r="E648" s="235"/>
      <c r="F648" s="235"/>
      <c r="G648" s="237"/>
      <c r="H648" s="235"/>
      <c r="I648" s="235"/>
      <c r="J648" s="235"/>
      <c r="K648" s="66"/>
      <c r="L648" s="238"/>
      <c r="M648" s="238"/>
    </row>
    <row r="649" ht="12.75" customHeight="1">
      <c r="A649" s="238"/>
      <c r="B649" s="235"/>
      <c r="C649" s="235"/>
      <c r="D649" s="236"/>
      <c r="E649" s="235"/>
      <c r="F649" s="235"/>
      <c r="G649" s="237"/>
      <c r="H649" s="235"/>
      <c r="I649" s="235"/>
      <c r="J649" s="235"/>
      <c r="K649" s="66"/>
      <c r="L649" s="238"/>
      <c r="M649" s="238"/>
    </row>
    <row r="650" ht="12.75" customHeight="1">
      <c r="A650" s="238"/>
      <c r="B650" s="235"/>
      <c r="C650" s="235"/>
      <c r="D650" s="236"/>
      <c r="E650" s="235"/>
      <c r="F650" s="235"/>
      <c r="G650" s="237"/>
      <c r="H650" s="235"/>
      <c r="I650" s="235"/>
      <c r="J650" s="235"/>
      <c r="K650" s="66"/>
      <c r="L650" s="238"/>
      <c r="M650" s="238"/>
    </row>
    <row r="651" ht="12.75" customHeight="1">
      <c r="A651" s="238"/>
      <c r="B651" s="235"/>
      <c r="C651" s="235"/>
      <c r="D651" s="236"/>
      <c r="E651" s="235"/>
      <c r="F651" s="235"/>
      <c r="G651" s="237"/>
      <c r="H651" s="235"/>
      <c r="I651" s="235"/>
      <c r="J651" s="235"/>
      <c r="K651" s="66"/>
      <c r="L651" s="238"/>
      <c r="M651" s="238"/>
    </row>
    <row r="652" ht="12.75" customHeight="1">
      <c r="A652" s="238"/>
      <c r="B652" s="235"/>
      <c r="C652" s="235"/>
      <c r="D652" s="236"/>
      <c r="E652" s="235"/>
      <c r="F652" s="235"/>
      <c r="G652" s="237"/>
      <c r="H652" s="235"/>
      <c r="I652" s="235"/>
      <c r="J652" s="235"/>
      <c r="K652" s="66"/>
      <c r="L652" s="238"/>
      <c r="M652" s="238"/>
    </row>
    <row r="653" ht="12.75" customHeight="1">
      <c r="A653" s="238"/>
      <c r="B653" s="235"/>
      <c r="C653" s="235"/>
      <c r="D653" s="236"/>
      <c r="E653" s="235"/>
      <c r="F653" s="235"/>
      <c r="G653" s="237"/>
      <c r="H653" s="235"/>
      <c r="I653" s="235"/>
      <c r="J653" s="235"/>
      <c r="K653" s="66"/>
      <c r="L653" s="238"/>
      <c r="M653" s="238"/>
    </row>
    <row r="654" ht="12.75" customHeight="1">
      <c r="A654" s="238"/>
      <c r="B654" s="235"/>
      <c r="C654" s="235"/>
      <c r="D654" s="236"/>
      <c r="E654" s="235"/>
      <c r="F654" s="235"/>
      <c r="G654" s="237"/>
      <c r="H654" s="235"/>
      <c r="I654" s="235"/>
      <c r="J654" s="235"/>
      <c r="K654" s="66"/>
      <c r="L654" s="238"/>
      <c r="M654" s="238"/>
    </row>
    <row r="655" ht="12.75" customHeight="1">
      <c r="A655" s="238"/>
      <c r="B655" s="235"/>
      <c r="C655" s="235"/>
      <c r="D655" s="236"/>
      <c r="E655" s="235"/>
      <c r="F655" s="235"/>
      <c r="G655" s="237"/>
      <c r="H655" s="235"/>
      <c r="I655" s="235"/>
      <c r="J655" s="235"/>
      <c r="K655" s="66"/>
      <c r="L655" s="238"/>
      <c r="M655" s="238"/>
    </row>
    <row r="656" ht="12.75" customHeight="1">
      <c r="A656" s="238"/>
      <c r="B656" s="235"/>
      <c r="C656" s="235"/>
      <c r="D656" s="236"/>
      <c r="E656" s="235"/>
      <c r="F656" s="235"/>
      <c r="G656" s="237"/>
      <c r="H656" s="235"/>
      <c r="I656" s="235"/>
      <c r="J656" s="235"/>
      <c r="K656" s="66"/>
      <c r="L656" s="238"/>
      <c r="M656" s="238"/>
    </row>
    <row r="657" ht="12.75" customHeight="1">
      <c r="A657" s="238"/>
      <c r="B657" s="235"/>
      <c r="C657" s="235"/>
      <c r="D657" s="236"/>
      <c r="E657" s="235"/>
      <c r="F657" s="235"/>
      <c r="G657" s="237"/>
      <c r="H657" s="235"/>
      <c r="I657" s="235"/>
      <c r="J657" s="235"/>
      <c r="K657" s="66"/>
      <c r="L657" s="238"/>
      <c r="M657" s="238"/>
    </row>
    <row r="658" ht="12.75" customHeight="1">
      <c r="A658" s="238"/>
      <c r="B658" s="235"/>
      <c r="C658" s="235"/>
      <c r="D658" s="236"/>
      <c r="E658" s="235"/>
      <c r="F658" s="235"/>
      <c r="G658" s="237"/>
      <c r="H658" s="235"/>
      <c r="I658" s="235"/>
      <c r="J658" s="235"/>
      <c r="K658" s="66"/>
      <c r="L658" s="238"/>
      <c r="M658" s="238"/>
    </row>
    <row r="659" ht="12.75" customHeight="1">
      <c r="A659" s="238"/>
      <c r="B659" s="235"/>
      <c r="C659" s="235"/>
      <c r="D659" s="236"/>
      <c r="E659" s="235"/>
      <c r="F659" s="235"/>
      <c r="G659" s="237"/>
      <c r="H659" s="235"/>
      <c r="I659" s="235"/>
      <c r="J659" s="235"/>
      <c r="K659" s="66"/>
      <c r="L659" s="238"/>
      <c r="M659" s="238"/>
    </row>
    <row r="660" ht="12.75" customHeight="1">
      <c r="A660" s="238"/>
      <c r="B660" s="235"/>
      <c r="C660" s="235"/>
      <c r="D660" s="236"/>
      <c r="E660" s="235"/>
      <c r="F660" s="235"/>
      <c r="G660" s="237"/>
      <c r="H660" s="235"/>
      <c r="I660" s="235"/>
      <c r="J660" s="235"/>
      <c r="K660" s="66"/>
      <c r="L660" s="238"/>
      <c r="M660" s="238"/>
    </row>
    <row r="661" ht="12.75" customHeight="1">
      <c r="A661" s="238"/>
      <c r="B661" s="235"/>
      <c r="C661" s="235"/>
      <c r="D661" s="236"/>
      <c r="E661" s="235"/>
      <c r="F661" s="235"/>
      <c r="G661" s="237"/>
      <c r="H661" s="235"/>
      <c r="I661" s="235"/>
      <c r="J661" s="235"/>
      <c r="K661" s="66"/>
      <c r="L661" s="238"/>
      <c r="M661" s="238"/>
    </row>
    <row r="662" ht="12.75" customHeight="1">
      <c r="A662" s="238"/>
      <c r="B662" s="235"/>
      <c r="C662" s="235"/>
      <c r="D662" s="236"/>
      <c r="E662" s="235"/>
      <c r="F662" s="235"/>
      <c r="G662" s="237"/>
      <c r="H662" s="235"/>
      <c r="I662" s="235"/>
      <c r="J662" s="235"/>
      <c r="K662" s="66"/>
      <c r="L662" s="238"/>
      <c r="M662" s="238"/>
    </row>
    <row r="663" ht="12.75" customHeight="1">
      <c r="A663" s="238"/>
      <c r="B663" s="235"/>
      <c r="C663" s="235"/>
      <c r="D663" s="236"/>
      <c r="E663" s="235"/>
      <c r="F663" s="235"/>
      <c r="G663" s="237"/>
      <c r="H663" s="235"/>
      <c r="I663" s="235"/>
      <c r="J663" s="235"/>
      <c r="K663" s="66"/>
      <c r="L663" s="238"/>
      <c r="M663" s="238"/>
    </row>
    <row r="664" ht="12.75" customHeight="1">
      <c r="A664" s="238"/>
      <c r="B664" s="235"/>
      <c r="C664" s="235"/>
      <c r="D664" s="236"/>
      <c r="E664" s="235"/>
      <c r="F664" s="235"/>
      <c r="G664" s="237"/>
      <c r="H664" s="235"/>
      <c r="I664" s="235"/>
      <c r="J664" s="235"/>
      <c r="K664" s="66"/>
      <c r="L664" s="238"/>
      <c r="M664" s="238"/>
    </row>
    <row r="665" ht="12.75" customHeight="1">
      <c r="A665" s="238"/>
      <c r="B665" s="235"/>
      <c r="C665" s="235"/>
      <c r="D665" s="236"/>
      <c r="E665" s="235"/>
      <c r="F665" s="235"/>
      <c r="G665" s="237"/>
      <c r="H665" s="235"/>
      <c r="I665" s="235"/>
      <c r="J665" s="235"/>
      <c r="K665" s="66"/>
      <c r="L665" s="238"/>
      <c r="M665" s="238"/>
    </row>
    <row r="666" ht="12.75" customHeight="1">
      <c r="A666" s="238"/>
      <c r="B666" s="235"/>
      <c r="C666" s="235"/>
      <c r="D666" s="236"/>
      <c r="E666" s="235"/>
      <c r="F666" s="235"/>
      <c r="G666" s="237"/>
      <c r="H666" s="235"/>
      <c r="I666" s="235"/>
      <c r="J666" s="235"/>
      <c r="K666" s="66"/>
      <c r="L666" s="238"/>
      <c r="M666" s="238"/>
    </row>
    <row r="667" ht="12.75" customHeight="1">
      <c r="A667" s="238"/>
      <c r="B667" s="235"/>
      <c r="C667" s="235"/>
      <c r="D667" s="236"/>
      <c r="E667" s="235"/>
      <c r="F667" s="235"/>
      <c r="G667" s="237"/>
      <c r="H667" s="235"/>
      <c r="I667" s="235"/>
      <c r="J667" s="235"/>
      <c r="K667" s="66"/>
      <c r="L667" s="238"/>
      <c r="M667" s="238"/>
    </row>
    <row r="668" ht="12.75" customHeight="1">
      <c r="A668" s="238"/>
      <c r="B668" s="235"/>
      <c r="C668" s="235"/>
      <c r="D668" s="236"/>
      <c r="E668" s="235"/>
      <c r="F668" s="235"/>
      <c r="G668" s="237"/>
      <c r="H668" s="235"/>
      <c r="I668" s="235"/>
      <c r="J668" s="235"/>
      <c r="K668" s="66"/>
      <c r="L668" s="238"/>
      <c r="M668" s="238"/>
    </row>
    <row r="669" ht="12.75" customHeight="1">
      <c r="A669" s="238"/>
      <c r="B669" s="235"/>
      <c r="C669" s="235"/>
      <c r="D669" s="236"/>
      <c r="E669" s="235"/>
      <c r="F669" s="235"/>
      <c r="G669" s="237"/>
      <c r="H669" s="235"/>
      <c r="I669" s="235"/>
      <c r="J669" s="235"/>
      <c r="K669" s="66"/>
      <c r="L669" s="238"/>
      <c r="M669" s="238"/>
    </row>
    <row r="670" ht="12.75" customHeight="1">
      <c r="A670" s="238"/>
      <c r="B670" s="235"/>
      <c r="C670" s="235"/>
      <c r="D670" s="236"/>
      <c r="E670" s="235"/>
      <c r="F670" s="235"/>
      <c r="G670" s="237"/>
      <c r="H670" s="235"/>
      <c r="I670" s="235"/>
      <c r="J670" s="235"/>
      <c r="K670" s="66"/>
      <c r="L670" s="238"/>
      <c r="M670" s="238"/>
    </row>
    <row r="671" ht="12.75" customHeight="1">
      <c r="A671" s="238"/>
      <c r="B671" s="235"/>
      <c r="C671" s="235"/>
      <c r="D671" s="236"/>
      <c r="E671" s="235"/>
      <c r="F671" s="235"/>
      <c r="G671" s="237"/>
      <c r="H671" s="235"/>
      <c r="I671" s="235"/>
      <c r="J671" s="235"/>
      <c r="K671" s="66"/>
      <c r="L671" s="238"/>
      <c r="M671" s="238"/>
    </row>
    <row r="672" ht="12.75" customHeight="1">
      <c r="A672" s="238"/>
      <c r="B672" s="235"/>
      <c r="C672" s="235"/>
      <c r="D672" s="236"/>
      <c r="E672" s="235"/>
      <c r="F672" s="235"/>
      <c r="G672" s="237"/>
      <c r="H672" s="235"/>
      <c r="I672" s="235"/>
      <c r="J672" s="235"/>
      <c r="K672" s="66"/>
      <c r="L672" s="238"/>
      <c r="M672" s="238"/>
    </row>
    <row r="673" ht="12.75" customHeight="1">
      <c r="A673" s="238"/>
      <c r="B673" s="235"/>
      <c r="C673" s="235"/>
      <c r="D673" s="236"/>
      <c r="E673" s="235"/>
      <c r="F673" s="235"/>
      <c r="G673" s="237"/>
      <c r="H673" s="235"/>
      <c r="I673" s="235"/>
      <c r="J673" s="235"/>
      <c r="K673" s="66"/>
      <c r="L673" s="238"/>
      <c r="M673" s="238"/>
    </row>
    <row r="674" ht="12.75" customHeight="1">
      <c r="A674" s="238"/>
      <c r="B674" s="235"/>
      <c r="C674" s="235"/>
      <c r="D674" s="236"/>
      <c r="E674" s="235"/>
      <c r="F674" s="235"/>
      <c r="G674" s="237"/>
      <c r="H674" s="235"/>
      <c r="I674" s="235"/>
      <c r="J674" s="235"/>
      <c r="K674" s="66"/>
      <c r="L674" s="238"/>
      <c r="M674" s="238"/>
    </row>
    <row r="675" ht="12.75" customHeight="1">
      <c r="A675" s="238"/>
      <c r="B675" s="235"/>
      <c r="C675" s="235"/>
      <c r="D675" s="236"/>
      <c r="E675" s="235"/>
      <c r="F675" s="235"/>
      <c r="G675" s="237"/>
      <c r="H675" s="235"/>
      <c r="I675" s="235"/>
      <c r="J675" s="235"/>
      <c r="K675" s="66"/>
      <c r="L675" s="238"/>
      <c r="M675" s="238"/>
    </row>
    <row r="676" ht="12.75" customHeight="1">
      <c r="A676" s="238"/>
      <c r="B676" s="235"/>
      <c r="C676" s="235"/>
      <c r="D676" s="236"/>
      <c r="E676" s="235"/>
      <c r="F676" s="235"/>
      <c r="G676" s="237"/>
      <c r="H676" s="235"/>
      <c r="I676" s="235"/>
      <c r="J676" s="235"/>
      <c r="K676" s="66"/>
      <c r="L676" s="238"/>
      <c r="M676" s="238"/>
    </row>
    <row r="677" ht="12.75" customHeight="1">
      <c r="A677" s="238"/>
      <c r="B677" s="235"/>
      <c r="C677" s="235"/>
      <c r="D677" s="236"/>
      <c r="E677" s="235"/>
      <c r="F677" s="235"/>
      <c r="G677" s="237"/>
      <c r="H677" s="235"/>
      <c r="I677" s="235"/>
      <c r="J677" s="235"/>
      <c r="K677" s="66"/>
      <c r="L677" s="238"/>
      <c r="M677" s="238"/>
    </row>
    <row r="678" ht="12.75" customHeight="1">
      <c r="A678" s="238"/>
      <c r="B678" s="235"/>
      <c r="C678" s="235"/>
      <c r="D678" s="236"/>
      <c r="E678" s="235"/>
      <c r="F678" s="235"/>
      <c r="G678" s="237"/>
      <c r="H678" s="235"/>
      <c r="I678" s="235"/>
      <c r="J678" s="235"/>
      <c r="K678" s="66"/>
      <c r="L678" s="238"/>
      <c r="M678" s="238"/>
    </row>
    <row r="679" ht="12.75" customHeight="1">
      <c r="A679" s="238"/>
      <c r="B679" s="235"/>
      <c r="C679" s="235"/>
      <c r="D679" s="236"/>
      <c r="E679" s="235"/>
      <c r="F679" s="235"/>
      <c r="G679" s="237"/>
      <c r="H679" s="235"/>
      <c r="I679" s="235"/>
      <c r="J679" s="235"/>
      <c r="K679" s="66"/>
      <c r="L679" s="238"/>
      <c r="M679" s="238"/>
    </row>
    <row r="680" ht="12.75" customHeight="1">
      <c r="A680" s="238"/>
      <c r="B680" s="235"/>
      <c r="C680" s="235"/>
      <c r="D680" s="236"/>
      <c r="E680" s="235"/>
      <c r="F680" s="235"/>
      <c r="G680" s="237"/>
      <c r="H680" s="235"/>
      <c r="I680" s="235"/>
      <c r="J680" s="235"/>
      <c r="K680" s="66"/>
      <c r="L680" s="238"/>
      <c r="M680" s="238"/>
    </row>
    <row r="681" ht="12.75" customHeight="1">
      <c r="A681" s="238"/>
      <c r="B681" s="235"/>
      <c r="C681" s="235"/>
      <c r="D681" s="236"/>
      <c r="E681" s="235"/>
      <c r="F681" s="235"/>
      <c r="G681" s="237"/>
      <c r="H681" s="235"/>
      <c r="I681" s="235"/>
      <c r="J681" s="235"/>
      <c r="K681" s="66"/>
      <c r="L681" s="238"/>
      <c r="M681" s="238"/>
    </row>
    <row r="682" ht="12.75" customHeight="1">
      <c r="A682" s="238"/>
      <c r="B682" s="235"/>
      <c r="C682" s="235"/>
      <c r="D682" s="236"/>
      <c r="E682" s="235"/>
      <c r="F682" s="235"/>
      <c r="G682" s="237"/>
      <c r="H682" s="235"/>
      <c r="I682" s="235"/>
      <c r="J682" s="235"/>
      <c r="K682" s="66"/>
      <c r="L682" s="238"/>
      <c r="M682" s="238"/>
    </row>
    <row r="683" ht="12.75" customHeight="1">
      <c r="A683" s="238"/>
      <c r="B683" s="235"/>
      <c r="C683" s="235"/>
      <c r="D683" s="236"/>
      <c r="E683" s="235"/>
      <c r="F683" s="235"/>
      <c r="G683" s="237"/>
      <c r="H683" s="235"/>
      <c r="I683" s="235"/>
      <c r="J683" s="235"/>
      <c r="K683" s="66"/>
      <c r="L683" s="238"/>
      <c r="M683" s="238"/>
    </row>
    <row r="684" ht="12.75" customHeight="1">
      <c r="A684" s="238"/>
      <c r="B684" s="235"/>
      <c r="C684" s="235"/>
      <c r="D684" s="236"/>
      <c r="E684" s="235"/>
      <c r="F684" s="235"/>
      <c r="G684" s="237"/>
      <c r="H684" s="235"/>
      <c r="I684" s="235"/>
      <c r="J684" s="235"/>
      <c r="K684" s="66"/>
      <c r="L684" s="238"/>
      <c r="M684" s="238"/>
    </row>
    <row r="685" ht="12.75" customHeight="1">
      <c r="A685" s="238"/>
      <c r="B685" s="235"/>
      <c r="C685" s="235"/>
      <c r="D685" s="236"/>
      <c r="E685" s="235"/>
      <c r="F685" s="235"/>
      <c r="G685" s="237"/>
      <c r="H685" s="235"/>
      <c r="I685" s="235"/>
      <c r="J685" s="235"/>
      <c r="K685" s="66"/>
      <c r="L685" s="238"/>
      <c r="M685" s="238"/>
    </row>
    <row r="686" ht="12.75" customHeight="1">
      <c r="A686" s="238"/>
      <c r="B686" s="235"/>
      <c r="C686" s="235"/>
      <c r="D686" s="236"/>
      <c r="E686" s="235"/>
      <c r="F686" s="235"/>
      <c r="G686" s="237"/>
      <c r="H686" s="235"/>
      <c r="I686" s="235"/>
      <c r="J686" s="235"/>
      <c r="K686" s="66"/>
      <c r="L686" s="238"/>
      <c r="M686" s="238"/>
    </row>
    <row r="687" ht="12.75" customHeight="1">
      <c r="A687" s="238"/>
      <c r="B687" s="235"/>
      <c r="C687" s="235"/>
      <c r="D687" s="236"/>
      <c r="E687" s="235"/>
      <c r="F687" s="235"/>
      <c r="G687" s="237"/>
      <c r="H687" s="235"/>
      <c r="I687" s="235"/>
      <c r="J687" s="235"/>
      <c r="K687" s="66"/>
      <c r="L687" s="238"/>
      <c r="M687" s="238"/>
    </row>
    <row r="688" ht="12.75" customHeight="1">
      <c r="A688" s="238"/>
      <c r="B688" s="235"/>
      <c r="C688" s="235"/>
      <c r="D688" s="236"/>
      <c r="E688" s="235"/>
      <c r="F688" s="235"/>
      <c r="G688" s="237"/>
      <c r="H688" s="235"/>
      <c r="I688" s="235"/>
      <c r="J688" s="235"/>
      <c r="K688" s="66"/>
      <c r="L688" s="238"/>
      <c r="M688" s="238"/>
    </row>
    <row r="689" ht="12.75" customHeight="1">
      <c r="A689" s="238"/>
      <c r="B689" s="235"/>
      <c r="C689" s="235"/>
      <c r="D689" s="236"/>
      <c r="E689" s="235"/>
      <c r="F689" s="235"/>
      <c r="G689" s="237"/>
      <c r="H689" s="235"/>
      <c r="I689" s="235"/>
      <c r="J689" s="235"/>
      <c r="K689" s="66"/>
      <c r="L689" s="238"/>
      <c r="M689" s="238"/>
    </row>
    <row r="690" ht="12.75" customHeight="1">
      <c r="A690" s="238"/>
      <c r="B690" s="235"/>
      <c r="C690" s="235"/>
      <c r="D690" s="236"/>
      <c r="E690" s="235"/>
      <c r="F690" s="235"/>
      <c r="G690" s="237"/>
      <c r="H690" s="235"/>
      <c r="I690" s="235"/>
      <c r="J690" s="235"/>
      <c r="K690" s="66"/>
      <c r="L690" s="238"/>
      <c r="M690" s="238"/>
    </row>
    <row r="691" ht="12.75" customHeight="1">
      <c r="A691" s="238"/>
      <c r="B691" s="235"/>
      <c r="C691" s="235"/>
      <c r="D691" s="236"/>
      <c r="E691" s="235"/>
      <c r="F691" s="235"/>
      <c r="G691" s="237"/>
      <c r="H691" s="235"/>
      <c r="I691" s="235"/>
      <c r="J691" s="235"/>
      <c r="K691" s="66"/>
      <c r="L691" s="238"/>
      <c r="M691" s="238"/>
    </row>
    <row r="692" ht="12.75" customHeight="1">
      <c r="A692" s="238"/>
      <c r="B692" s="235"/>
      <c r="C692" s="235"/>
      <c r="D692" s="236"/>
      <c r="E692" s="235"/>
      <c r="F692" s="235"/>
      <c r="G692" s="237"/>
      <c r="H692" s="235"/>
      <c r="I692" s="235"/>
      <c r="J692" s="235"/>
      <c r="K692" s="66"/>
      <c r="L692" s="238"/>
      <c r="M692" s="238"/>
    </row>
    <row r="693" ht="12.75" customHeight="1">
      <c r="A693" s="238"/>
      <c r="B693" s="235"/>
      <c r="C693" s="235"/>
      <c r="D693" s="236"/>
      <c r="E693" s="235"/>
      <c r="F693" s="235"/>
      <c r="G693" s="237"/>
      <c r="H693" s="235"/>
      <c r="I693" s="235"/>
      <c r="J693" s="235"/>
      <c r="K693" s="66"/>
      <c r="L693" s="238"/>
      <c r="M693" s="238"/>
    </row>
    <row r="694" ht="12.75" customHeight="1">
      <c r="A694" s="238"/>
      <c r="B694" s="235"/>
      <c r="C694" s="235"/>
      <c r="D694" s="236"/>
      <c r="E694" s="235"/>
      <c r="F694" s="235"/>
      <c r="G694" s="237"/>
      <c r="H694" s="235"/>
      <c r="I694" s="235"/>
      <c r="J694" s="235"/>
      <c r="K694" s="66"/>
      <c r="L694" s="238"/>
      <c r="M694" s="238"/>
    </row>
    <row r="695" ht="12.75" customHeight="1">
      <c r="A695" s="238"/>
      <c r="B695" s="235"/>
      <c r="C695" s="235"/>
      <c r="D695" s="236"/>
      <c r="E695" s="235"/>
      <c r="F695" s="235"/>
      <c r="G695" s="237"/>
      <c r="H695" s="235"/>
      <c r="I695" s="235"/>
      <c r="J695" s="235"/>
      <c r="K695" s="66"/>
      <c r="L695" s="238"/>
      <c r="M695" s="238"/>
    </row>
    <row r="696" ht="12.75" customHeight="1">
      <c r="A696" s="238"/>
      <c r="B696" s="235"/>
      <c r="C696" s="235"/>
      <c r="D696" s="236"/>
      <c r="E696" s="235"/>
      <c r="F696" s="235"/>
      <c r="G696" s="237"/>
      <c r="H696" s="235"/>
      <c r="I696" s="235"/>
      <c r="J696" s="235"/>
      <c r="K696" s="66"/>
      <c r="L696" s="238"/>
      <c r="M696" s="238"/>
    </row>
    <row r="697" ht="12.75" customHeight="1">
      <c r="A697" s="238"/>
      <c r="B697" s="235"/>
      <c r="C697" s="235"/>
      <c r="D697" s="236"/>
      <c r="E697" s="235"/>
      <c r="F697" s="235"/>
      <c r="G697" s="237"/>
      <c r="H697" s="235"/>
      <c r="I697" s="235"/>
      <c r="J697" s="235"/>
      <c r="K697" s="66"/>
      <c r="L697" s="238"/>
      <c r="M697" s="238"/>
    </row>
    <row r="698" ht="12.75" customHeight="1">
      <c r="A698" s="238"/>
      <c r="B698" s="235"/>
      <c r="C698" s="235"/>
      <c r="D698" s="236"/>
      <c r="E698" s="235"/>
      <c r="F698" s="235"/>
      <c r="G698" s="237"/>
      <c r="H698" s="235"/>
      <c r="I698" s="235"/>
      <c r="J698" s="235"/>
      <c r="K698" s="66"/>
      <c r="L698" s="238"/>
      <c r="M698" s="238"/>
    </row>
    <row r="699" ht="12.75" customHeight="1">
      <c r="A699" s="238"/>
      <c r="B699" s="235"/>
      <c r="C699" s="235"/>
      <c r="D699" s="236"/>
      <c r="E699" s="235"/>
      <c r="F699" s="235"/>
      <c r="G699" s="237"/>
      <c r="H699" s="235"/>
      <c r="I699" s="235"/>
      <c r="J699" s="235"/>
      <c r="K699" s="66"/>
      <c r="L699" s="238"/>
      <c r="M699" s="238"/>
    </row>
    <row r="700" ht="12.75" customHeight="1">
      <c r="A700" s="238"/>
      <c r="B700" s="235"/>
      <c r="C700" s="235"/>
      <c r="D700" s="236"/>
      <c r="E700" s="235"/>
      <c r="F700" s="235"/>
      <c r="G700" s="237"/>
      <c r="H700" s="235"/>
      <c r="I700" s="235"/>
      <c r="J700" s="235"/>
      <c r="K700" s="66"/>
      <c r="L700" s="238"/>
      <c r="M700" s="238"/>
    </row>
    <row r="701" ht="12.75" customHeight="1">
      <c r="A701" s="238"/>
      <c r="B701" s="235"/>
      <c r="C701" s="235"/>
      <c r="D701" s="236"/>
      <c r="E701" s="235"/>
      <c r="F701" s="235"/>
      <c r="G701" s="237"/>
      <c r="H701" s="235"/>
      <c r="I701" s="235"/>
      <c r="J701" s="235"/>
      <c r="K701" s="66"/>
      <c r="L701" s="238"/>
      <c r="M701" s="238"/>
    </row>
    <row r="702" ht="12.75" customHeight="1">
      <c r="A702" s="238"/>
      <c r="B702" s="235"/>
      <c r="C702" s="235"/>
      <c r="D702" s="236"/>
      <c r="E702" s="235"/>
      <c r="F702" s="235"/>
      <c r="G702" s="237"/>
      <c r="H702" s="235"/>
      <c r="I702" s="235"/>
      <c r="J702" s="235"/>
      <c r="K702" s="66"/>
      <c r="L702" s="238"/>
      <c r="M702" s="238"/>
    </row>
    <row r="703" ht="12.75" customHeight="1">
      <c r="A703" s="238"/>
      <c r="B703" s="235"/>
      <c r="C703" s="235"/>
      <c r="D703" s="236"/>
      <c r="E703" s="235"/>
      <c r="F703" s="235"/>
      <c r="G703" s="237"/>
      <c r="H703" s="235"/>
      <c r="I703" s="235"/>
      <c r="J703" s="235"/>
      <c r="K703" s="66"/>
      <c r="L703" s="238"/>
      <c r="M703" s="238"/>
    </row>
    <row r="704" ht="12.75" customHeight="1">
      <c r="A704" s="238"/>
      <c r="B704" s="235"/>
      <c r="C704" s="235"/>
      <c r="D704" s="236"/>
      <c r="E704" s="235"/>
      <c r="F704" s="235"/>
      <c r="G704" s="237"/>
      <c r="H704" s="235"/>
      <c r="I704" s="235"/>
      <c r="J704" s="235"/>
      <c r="K704" s="66"/>
      <c r="L704" s="238"/>
      <c r="M704" s="238"/>
    </row>
    <row r="705" ht="12.75" customHeight="1">
      <c r="A705" s="238"/>
      <c r="B705" s="235"/>
      <c r="C705" s="235"/>
      <c r="D705" s="236"/>
      <c r="E705" s="235"/>
      <c r="F705" s="235"/>
      <c r="G705" s="237"/>
      <c r="H705" s="235"/>
      <c r="I705" s="235"/>
      <c r="J705" s="235"/>
      <c r="K705" s="66"/>
      <c r="L705" s="238"/>
      <c r="M705" s="238"/>
    </row>
    <row r="706" ht="12.75" customHeight="1">
      <c r="A706" s="238"/>
      <c r="B706" s="235"/>
      <c r="C706" s="235"/>
      <c r="D706" s="236"/>
      <c r="E706" s="235"/>
      <c r="F706" s="235"/>
      <c r="G706" s="237"/>
      <c r="H706" s="235"/>
      <c r="I706" s="235"/>
      <c r="J706" s="235"/>
      <c r="K706" s="66"/>
      <c r="L706" s="238"/>
      <c r="M706" s="238"/>
    </row>
    <row r="707" ht="12.75" customHeight="1">
      <c r="A707" s="238"/>
      <c r="B707" s="235"/>
      <c r="C707" s="235"/>
      <c r="D707" s="236"/>
      <c r="E707" s="235"/>
      <c r="F707" s="235"/>
      <c r="G707" s="237"/>
      <c r="H707" s="235"/>
      <c r="I707" s="235"/>
      <c r="J707" s="235"/>
      <c r="K707" s="66"/>
      <c r="L707" s="238"/>
      <c r="M707" s="238"/>
    </row>
    <row r="708" ht="12.75" customHeight="1">
      <c r="A708" s="238"/>
      <c r="B708" s="235"/>
      <c r="C708" s="235"/>
      <c r="D708" s="236"/>
      <c r="E708" s="235"/>
      <c r="F708" s="235"/>
      <c r="G708" s="237"/>
      <c r="H708" s="235"/>
      <c r="I708" s="235"/>
      <c r="J708" s="235"/>
      <c r="K708" s="66"/>
      <c r="L708" s="238"/>
      <c r="M708" s="238"/>
    </row>
    <row r="709" ht="12.75" customHeight="1">
      <c r="A709" s="238"/>
      <c r="B709" s="235"/>
      <c r="C709" s="235"/>
      <c r="D709" s="236"/>
      <c r="E709" s="235"/>
      <c r="F709" s="235"/>
      <c r="G709" s="237"/>
      <c r="H709" s="235"/>
      <c r="I709" s="235"/>
      <c r="J709" s="235"/>
      <c r="K709" s="66"/>
      <c r="L709" s="238"/>
      <c r="M709" s="238"/>
    </row>
    <row r="710" ht="12.75" customHeight="1">
      <c r="A710" s="238"/>
      <c r="B710" s="235"/>
      <c r="C710" s="235"/>
      <c r="D710" s="236"/>
      <c r="E710" s="235"/>
      <c r="F710" s="235"/>
      <c r="G710" s="237"/>
      <c r="H710" s="235"/>
      <c r="I710" s="235"/>
      <c r="J710" s="235"/>
      <c r="K710" s="66"/>
      <c r="L710" s="238"/>
      <c r="M710" s="238"/>
    </row>
    <row r="711" ht="12.75" customHeight="1">
      <c r="A711" s="238"/>
      <c r="B711" s="235"/>
      <c r="C711" s="235"/>
      <c r="D711" s="236"/>
      <c r="E711" s="235"/>
      <c r="F711" s="235"/>
      <c r="G711" s="237"/>
      <c r="H711" s="235"/>
      <c r="I711" s="235"/>
      <c r="J711" s="235"/>
      <c r="K711" s="66"/>
      <c r="L711" s="238"/>
      <c r="M711" s="238"/>
    </row>
    <row r="712" ht="12.75" customHeight="1">
      <c r="A712" s="238"/>
      <c r="B712" s="235"/>
      <c r="C712" s="235"/>
      <c r="D712" s="236"/>
      <c r="E712" s="235"/>
      <c r="F712" s="235"/>
      <c r="G712" s="237"/>
      <c r="H712" s="235"/>
      <c r="I712" s="235"/>
      <c r="J712" s="235"/>
      <c r="K712" s="66"/>
      <c r="L712" s="238"/>
      <c r="M712" s="238"/>
    </row>
    <row r="713" ht="12.75" customHeight="1">
      <c r="A713" s="238"/>
      <c r="B713" s="235"/>
      <c r="C713" s="235"/>
      <c r="D713" s="236"/>
      <c r="E713" s="235"/>
      <c r="F713" s="235"/>
      <c r="G713" s="237"/>
      <c r="H713" s="235"/>
      <c r="I713" s="235"/>
      <c r="J713" s="235"/>
      <c r="K713" s="66"/>
      <c r="L713" s="238"/>
      <c r="M713" s="238"/>
    </row>
    <row r="714" ht="12.75" customHeight="1">
      <c r="A714" s="238"/>
      <c r="B714" s="235"/>
      <c r="C714" s="235"/>
      <c r="D714" s="236"/>
      <c r="E714" s="235"/>
      <c r="F714" s="235"/>
      <c r="G714" s="237"/>
      <c r="H714" s="235"/>
      <c r="I714" s="235"/>
      <c r="J714" s="235"/>
      <c r="K714" s="66"/>
      <c r="L714" s="238"/>
      <c r="M714" s="238"/>
    </row>
    <row r="715" ht="12.75" customHeight="1">
      <c r="A715" s="238"/>
      <c r="B715" s="235"/>
      <c r="C715" s="235"/>
      <c r="D715" s="236"/>
      <c r="E715" s="235"/>
      <c r="F715" s="235"/>
      <c r="G715" s="237"/>
      <c r="H715" s="235"/>
      <c r="I715" s="235"/>
      <c r="J715" s="235"/>
      <c r="K715" s="66"/>
      <c r="L715" s="238"/>
      <c r="M715" s="238"/>
    </row>
    <row r="716" ht="12.75" customHeight="1">
      <c r="A716" s="238"/>
      <c r="B716" s="235"/>
      <c r="C716" s="235"/>
      <c r="D716" s="236"/>
      <c r="E716" s="235"/>
      <c r="F716" s="235"/>
      <c r="G716" s="237"/>
      <c r="H716" s="235"/>
      <c r="I716" s="235"/>
      <c r="J716" s="235"/>
      <c r="K716" s="66"/>
      <c r="L716" s="238"/>
      <c r="M716" s="238"/>
    </row>
    <row r="717" ht="12.75" customHeight="1">
      <c r="A717" s="238"/>
      <c r="B717" s="235"/>
      <c r="C717" s="235"/>
      <c r="D717" s="236"/>
      <c r="E717" s="235"/>
      <c r="F717" s="235"/>
      <c r="G717" s="237"/>
      <c r="H717" s="235"/>
      <c r="I717" s="235"/>
      <c r="J717" s="235"/>
      <c r="K717" s="66"/>
      <c r="L717" s="238"/>
      <c r="M717" s="238"/>
    </row>
    <row r="718" ht="12.75" customHeight="1">
      <c r="A718" s="238"/>
      <c r="B718" s="235"/>
      <c r="C718" s="235"/>
      <c r="D718" s="236"/>
      <c r="E718" s="235"/>
      <c r="F718" s="235"/>
      <c r="G718" s="237"/>
      <c r="H718" s="235"/>
      <c r="I718" s="235"/>
      <c r="J718" s="235"/>
      <c r="K718" s="66"/>
      <c r="L718" s="238"/>
      <c r="M718" s="238"/>
    </row>
    <row r="719" ht="12.75" customHeight="1">
      <c r="A719" s="238"/>
      <c r="B719" s="235"/>
      <c r="C719" s="235"/>
      <c r="D719" s="236"/>
      <c r="E719" s="235"/>
      <c r="F719" s="235"/>
      <c r="G719" s="237"/>
      <c r="H719" s="235"/>
      <c r="I719" s="235"/>
      <c r="J719" s="235"/>
      <c r="K719" s="66"/>
      <c r="L719" s="238"/>
      <c r="M719" s="238"/>
    </row>
    <row r="720" ht="12.75" customHeight="1">
      <c r="A720" s="238"/>
      <c r="B720" s="235"/>
      <c r="C720" s="235"/>
      <c r="D720" s="236"/>
      <c r="E720" s="235"/>
      <c r="F720" s="235"/>
      <c r="G720" s="237"/>
      <c r="H720" s="235"/>
      <c r="I720" s="235"/>
      <c r="J720" s="235"/>
      <c r="K720" s="66"/>
      <c r="L720" s="238"/>
      <c r="M720" s="238"/>
    </row>
    <row r="721" ht="12.75" customHeight="1">
      <c r="A721" s="238"/>
      <c r="B721" s="235"/>
      <c r="C721" s="235"/>
      <c r="D721" s="236"/>
      <c r="E721" s="235"/>
      <c r="F721" s="235"/>
      <c r="G721" s="237"/>
      <c r="H721" s="235"/>
      <c r="I721" s="235"/>
      <c r="J721" s="235"/>
      <c r="K721" s="66"/>
      <c r="L721" s="238"/>
      <c r="M721" s="238"/>
    </row>
    <row r="722" ht="12.75" customHeight="1">
      <c r="A722" s="238"/>
      <c r="B722" s="235"/>
      <c r="C722" s="235"/>
      <c r="D722" s="236"/>
      <c r="E722" s="235"/>
      <c r="F722" s="235"/>
      <c r="G722" s="237"/>
      <c r="H722" s="235"/>
      <c r="I722" s="235"/>
      <c r="J722" s="235"/>
      <c r="K722" s="66"/>
      <c r="L722" s="238"/>
      <c r="M722" s="238"/>
    </row>
    <row r="723" ht="12.75" customHeight="1">
      <c r="A723" s="238"/>
      <c r="B723" s="235"/>
      <c r="C723" s="235"/>
      <c r="D723" s="236"/>
      <c r="E723" s="235"/>
      <c r="F723" s="235"/>
      <c r="G723" s="237"/>
      <c r="H723" s="235"/>
      <c r="I723" s="235"/>
      <c r="J723" s="235"/>
      <c r="K723" s="66"/>
      <c r="L723" s="238"/>
      <c r="M723" s="238"/>
    </row>
    <row r="724" ht="12.75" customHeight="1">
      <c r="A724" s="238"/>
      <c r="B724" s="235"/>
      <c r="C724" s="235"/>
      <c r="D724" s="236"/>
      <c r="E724" s="235"/>
      <c r="F724" s="235"/>
      <c r="G724" s="237"/>
      <c r="H724" s="235"/>
      <c r="I724" s="235"/>
      <c r="J724" s="235"/>
      <c r="K724" s="66"/>
      <c r="L724" s="238"/>
      <c r="M724" s="238"/>
    </row>
    <row r="725" ht="12.75" customHeight="1">
      <c r="A725" s="238"/>
      <c r="B725" s="235"/>
      <c r="C725" s="235"/>
      <c r="D725" s="236"/>
      <c r="E725" s="235"/>
      <c r="F725" s="235"/>
      <c r="G725" s="237"/>
      <c r="H725" s="235"/>
      <c r="I725" s="235"/>
      <c r="J725" s="235"/>
      <c r="K725" s="66"/>
      <c r="L725" s="238"/>
      <c r="M725" s="238"/>
    </row>
    <row r="726" ht="12.75" customHeight="1">
      <c r="A726" s="238"/>
      <c r="B726" s="235"/>
      <c r="C726" s="235"/>
      <c r="D726" s="236"/>
      <c r="E726" s="235"/>
      <c r="F726" s="235"/>
      <c r="G726" s="237"/>
      <c r="H726" s="235"/>
      <c r="I726" s="235"/>
      <c r="J726" s="235"/>
      <c r="K726" s="66"/>
      <c r="L726" s="238"/>
      <c r="M726" s="238"/>
    </row>
    <row r="727" ht="12.75" customHeight="1">
      <c r="A727" s="238"/>
      <c r="B727" s="235"/>
      <c r="C727" s="235"/>
      <c r="D727" s="236"/>
      <c r="E727" s="235"/>
      <c r="F727" s="235"/>
      <c r="G727" s="237"/>
      <c r="H727" s="235"/>
      <c r="I727" s="235"/>
      <c r="J727" s="235"/>
      <c r="K727" s="66"/>
      <c r="L727" s="238"/>
      <c r="M727" s="238"/>
    </row>
    <row r="728" ht="12.75" customHeight="1">
      <c r="A728" s="238"/>
      <c r="B728" s="235"/>
      <c r="C728" s="235"/>
      <c r="D728" s="236"/>
      <c r="E728" s="235"/>
      <c r="F728" s="235"/>
      <c r="G728" s="237"/>
      <c r="H728" s="235"/>
      <c r="I728" s="235"/>
      <c r="J728" s="235"/>
      <c r="K728" s="66"/>
      <c r="L728" s="238"/>
      <c r="M728" s="238"/>
    </row>
    <row r="729" ht="12.75" customHeight="1">
      <c r="A729" s="238"/>
      <c r="B729" s="235"/>
      <c r="C729" s="235"/>
      <c r="D729" s="236"/>
      <c r="E729" s="235"/>
      <c r="F729" s="235"/>
      <c r="G729" s="237"/>
      <c r="H729" s="235"/>
      <c r="I729" s="235"/>
      <c r="J729" s="235"/>
      <c r="K729" s="66"/>
      <c r="L729" s="238"/>
      <c r="M729" s="238"/>
    </row>
    <row r="730" ht="12.75" customHeight="1">
      <c r="A730" s="238"/>
      <c r="B730" s="235"/>
      <c r="C730" s="235"/>
      <c r="D730" s="236"/>
      <c r="E730" s="235"/>
      <c r="F730" s="235"/>
      <c r="G730" s="237"/>
      <c r="H730" s="235"/>
      <c r="I730" s="235"/>
      <c r="J730" s="235"/>
      <c r="K730" s="66"/>
      <c r="L730" s="238"/>
      <c r="M730" s="238"/>
    </row>
    <row r="731" ht="12.75" customHeight="1">
      <c r="A731" s="238"/>
      <c r="B731" s="235"/>
      <c r="C731" s="235"/>
      <c r="D731" s="236"/>
      <c r="E731" s="235"/>
      <c r="F731" s="235"/>
      <c r="G731" s="237"/>
      <c r="H731" s="235"/>
      <c r="I731" s="235"/>
      <c r="J731" s="235"/>
      <c r="K731" s="66"/>
      <c r="L731" s="238"/>
      <c r="M731" s="238"/>
    </row>
    <row r="732" ht="12.75" customHeight="1">
      <c r="A732" s="238"/>
      <c r="B732" s="235"/>
      <c r="C732" s="235"/>
      <c r="D732" s="236"/>
      <c r="E732" s="235"/>
      <c r="F732" s="235"/>
      <c r="G732" s="237"/>
      <c r="H732" s="235"/>
      <c r="I732" s="235"/>
      <c r="J732" s="235"/>
      <c r="K732" s="66"/>
      <c r="L732" s="238"/>
      <c r="M732" s="238"/>
    </row>
    <row r="733" ht="12.75" customHeight="1">
      <c r="A733" s="238"/>
      <c r="B733" s="235"/>
      <c r="C733" s="235"/>
      <c r="D733" s="236"/>
      <c r="E733" s="235"/>
      <c r="F733" s="235"/>
      <c r="G733" s="237"/>
      <c r="H733" s="235"/>
      <c r="I733" s="235"/>
      <c r="J733" s="235"/>
      <c r="K733" s="66"/>
      <c r="L733" s="238"/>
      <c r="M733" s="238"/>
    </row>
    <row r="734" ht="12.75" customHeight="1">
      <c r="A734" s="238"/>
      <c r="B734" s="235"/>
      <c r="C734" s="235"/>
      <c r="D734" s="236"/>
      <c r="E734" s="235"/>
      <c r="F734" s="235"/>
      <c r="G734" s="237"/>
      <c r="H734" s="235"/>
      <c r="I734" s="235"/>
      <c r="J734" s="235"/>
      <c r="K734" s="66"/>
      <c r="L734" s="238"/>
      <c r="M734" s="238"/>
    </row>
    <row r="735" ht="12.75" customHeight="1">
      <c r="A735" s="238"/>
      <c r="B735" s="235"/>
      <c r="C735" s="235"/>
      <c r="D735" s="236"/>
      <c r="E735" s="235"/>
      <c r="F735" s="235"/>
      <c r="G735" s="237"/>
      <c r="H735" s="235"/>
      <c r="I735" s="235"/>
      <c r="J735" s="235"/>
      <c r="K735" s="66"/>
      <c r="L735" s="238"/>
      <c r="M735" s="238"/>
    </row>
    <row r="736" ht="12.75" customHeight="1">
      <c r="A736" s="238"/>
      <c r="B736" s="235"/>
      <c r="C736" s="235"/>
      <c r="D736" s="236"/>
      <c r="E736" s="235"/>
      <c r="F736" s="235"/>
      <c r="G736" s="237"/>
      <c r="H736" s="235"/>
      <c r="I736" s="235"/>
      <c r="J736" s="235"/>
      <c r="K736" s="66"/>
      <c r="L736" s="238"/>
      <c r="M736" s="238"/>
    </row>
    <row r="737" ht="12.75" customHeight="1">
      <c r="A737" s="238"/>
      <c r="B737" s="235"/>
      <c r="C737" s="235"/>
      <c r="D737" s="236"/>
      <c r="E737" s="235"/>
      <c r="F737" s="235"/>
      <c r="G737" s="237"/>
      <c r="H737" s="235"/>
      <c r="I737" s="235"/>
      <c r="J737" s="235"/>
      <c r="K737" s="66"/>
      <c r="L737" s="238"/>
      <c r="M737" s="238"/>
    </row>
    <row r="738" ht="12.75" customHeight="1">
      <c r="A738" s="238"/>
      <c r="B738" s="235"/>
      <c r="C738" s="235"/>
      <c r="D738" s="236"/>
      <c r="E738" s="235"/>
      <c r="F738" s="235"/>
      <c r="G738" s="237"/>
      <c r="H738" s="235"/>
      <c r="I738" s="235"/>
      <c r="J738" s="235"/>
      <c r="K738" s="66"/>
      <c r="L738" s="238"/>
      <c r="M738" s="238"/>
    </row>
    <row r="739" ht="12.75" customHeight="1">
      <c r="A739" s="238"/>
      <c r="B739" s="235"/>
      <c r="C739" s="235"/>
      <c r="D739" s="236"/>
      <c r="E739" s="235"/>
      <c r="F739" s="235"/>
      <c r="G739" s="237"/>
      <c r="H739" s="235"/>
      <c r="I739" s="235"/>
      <c r="J739" s="235"/>
      <c r="K739" s="66"/>
      <c r="L739" s="238"/>
      <c r="M739" s="238"/>
    </row>
    <row r="740" ht="12.75" customHeight="1">
      <c r="A740" s="238"/>
      <c r="B740" s="235"/>
      <c r="C740" s="235"/>
      <c r="D740" s="236"/>
      <c r="E740" s="235"/>
      <c r="F740" s="235"/>
      <c r="G740" s="237"/>
      <c r="H740" s="235"/>
      <c r="I740" s="235"/>
      <c r="J740" s="235"/>
      <c r="K740" s="66"/>
      <c r="L740" s="238"/>
      <c r="M740" s="238"/>
    </row>
    <row r="741" ht="12.75" customHeight="1">
      <c r="A741" s="238"/>
      <c r="B741" s="235"/>
      <c r="C741" s="235"/>
      <c r="D741" s="236"/>
      <c r="E741" s="235"/>
      <c r="F741" s="235"/>
      <c r="G741" s="237"/>
      <c r="H741" s="235"/>
      <c r="I741" s="235"/>
      <c r="J741" s="235"/>
      <c r="K741" s="66"/>
      <c r="L741" s="238"/>
      <c r="M741" s="238"/>
    </row>
    <row r="742" ht="12.75" customHeight="1">
      <c r="A742" s="238"/>
      <c r="B742" s="235"/>
      <c r="C742" s="235"/>
      <c r="D742" s="236"/>
      <c r="E742" s="235"/>
      <c r="F742" s="235"/>
      <c r="G742" s="237"/>
      <c r="H742" s="235"/>
      <c r="I742" s="235"/>
      <c r="J742" s="235"/>
      <c r="K742" s="66"/>
      <c r="L742" s="238"/>
      <c r="M742" s="238"/>
    </row>
    <row r="743" ht="12.75" customHeight="1">
      <c r="A743" s="238"/>
      <c r="B743" s="235"/>
      <c r="C743" s="235"/>
      <c r="D743" s="236"/>
      <c r="E743" s="235"/>
      <c r="F743" s="235"/>
      <c r="G743" s="237"/>
      <c r="H743" s="235"/>
      <c r="I743" s="235"/>
      <c r="J743" s="235"/>
      <c r="K743" s="66"/>
      <c r="L743" s="238"/>
      <c r="M743" s="238"/>
    </row>
    <row r="744" ht="12.75" customHeight="1">
      <c r="A744" s="238"/>
      <c r="B744" s="235"/>
      <c r="C744" s="235"/>
      <c r="D744" s="236"/>
      <c r="E744" s="235"/>
      <c r="F744" s="235"/>
      <c r="G744" s="237"/>
      <c r="H744" s="235"/>
      <c r="I744" s="235"/>
      <c r="J744" s="235"/>
      <c r="K744" s="66"/>
      <c r="L744" s="238"/>
      <c r="M744" s="238"/>
    </row>
    <row r="745" ht="12.75" customHeight="1">
      <c r="A745" s="238"/>
      <c r="B745" s="235"/>
      <c r="C745" s="235"/>
      <c r="D745" s="236"/>
      <c r="E745" s="235"/>
      <c r="F745" s="235"/>
      <c r="G745" s="237"/>
      <c r="H745" s="235"/>
      <c r="I745" s="235"/>
      <c r="J745" s="235"/>
      <c r="K745" s="66"/>
      <c r="L745" s="238"/>
      <c r="M745" s="238"/>
    </row>
    <row r="746" ht="12.75" customHeight="1">
      <c r="A746" s="238"/>
      <c r="B746" s="235"/>
      <c r="C746" s="235"/>
      <c r="D746" s="236"/>
      <c r="E746" s="235"/>
      <c r="F746" s="235"/>
      <c r="G746" s="237"/>
      <c r="H746" s="235"/>
      <c r="I746" s="235"/>
      <c r="J746" s="235"/>
      <c r="K746" s="66"/>
      <c r="L746" s="238"/>
      <c r="M746" s="238"/>
    </row>
    <row r="747" ht="12.75" customHeight="1">
      <c r="A747" s="238"/>
      <c r="B747" s="235"/>
      <c r="C747" s="235"/>
      <c r="D747" s="236"/>
      <c r="E747" s="235"/>
      <c r="F747" s="235"/>
      <c r="G747" s="237"/>
      <c r="H747" s="235"/>
      <c r="I747" s="235"/>
      <c r="J747" s="235"/>
      <c r="K747" s="66"/>
      <c r="L747" s="238"/>
      <c r="M747" s="238"/>
    </row>
    <row r="748" ht="12.75" customHeight="1">
      <c r="A748" s="238"/>
      <c r="B748" s="235"/>
      <c r="C748" s="235"/>
      <c r="D748" s="236"/>
      <c r="E748" s="235"/>
      <c r="F748" s="235"/>
      <c r="G748" s="237"/>
      <c r="H748" s="235"/>
      <c r="I748" s="235"/>
      <c r="J748" s="235"/>
      <c r="K748" s="66"/>
      <c r="L748" s="238"/>
      <c r="M748" s="238"/>
    </row>
    <row r="749" ht="12.75" customHeight="1">
      <c r="A749" s="238"/>
      <c r="B749" s="235"/>
      <c r="C749" s="235"/>
      <c r="D749" s="236"/>
      <c r="E749" s="235"/>
      <c r="F749" s="235"/>
      <c r="G749" s="237"/>
      <c r="H749" s="235"/>
      <c r="I749" s="235"/>
      <c r="J749" s="235"/>
      <c r="K749" s="66"/>
      <c r="L749" s="238"/>
      <c r="M749" s="238"/>
    </row>
    <row r="750" ht="12.75" customHeight="1">
      <c r="A750" s="238"/>
      <c r="B750" s="235"/>
      <c r="C750" s="235"/>
      <c r="D750" s="236"/>
      <c r="E750" s="235"/>
      <c r="F750" s="235"/>
      <c r="G750" s="237"/>
      <c r="H750" s="235"/>
      <c r="I750" s="235"/>
      <c r="J750" s="235"/>
      <c r="K750" s="66"/>
      <c r="L750" s="238"/>
      <c r="M750" s="238"/>
    </row>
    <row r="751" ht="12.75" customHeight="1">
      <c r="A751" s="238"/>
      <c r="B751" s="235"/>
      <c r="C751" s="235"/>
      <c r="D751" s="236"/>
      <c r="E751" s="235"/>
      <c r="F751" s="235"/>
      <c r="G751" s="237"/>
      <c r="H751" s="235"/>
      <c r="I751" s="235"/>
      <c r="J751" s="235"/>
      <c r="K751" s="66"/>
      <c r="L751" s="238"/>
      <c r="M751" s="238"/>
    </row>
    <row r="752" ht="12.75" customHeight="1">
      <c r="A752" s="238"/>
      <c r="B752" s="235"/>
      <c r="C752" s="235"/>
      <c r="D752" s="236"/>
      <c r="E752" s="235"/>
      <c r="F752" s="235"/>
      <c r="G752" s="237"/>
      <c r="H752" s="235"/>
      <c r="I752" s="235"/>
      <c r="J752" s="235"/>
      <c r="K752" s="66"/>
      <c r="L752" s="238"/>
      <c r="M752" s="238"/>
    </row>
    <row r="753" ht="12.75" customHeight="1">
      <c r="A753" s="238"/>
      <c r="B753" s="235"/>
      <c r="C753" s="235"/>
      <c r="D753" s="236"/>
      <c r="E753" s="235"/>
      <c r="F753" s="235"/>
      <c r="G753" s="237"/>
      <c r="H753" s="235"/>
      <c r="I753" s="235"/>
      <c r="J753" s="235"/>
      <c r="K753" s="66"/>
      <c r="L753" s="238"/>
      <c r="M753" s="238"/>
    </row>
    <row r="754" ht="12.75" customHeight="1">
      <c r="A754" s="238"/>
      <c r="B754" s="235"/>
      <c r="C754" s="235"/>
      <c r="D754" s="236"/>
      <c r="E754" s="235"/>
      <c r="F754" s="235"/>
      <c r="G754" s="237"/>
      <c r="H754" s="235"/>
      <c r="I754" s="235"/>
      <c r="J754" s="235"/>
      <c r="K754" s="66"/>
      <c r="L754" s="238"/>
      <c r="M754" s="238"/>
    </row>
    <row r="755" ht="12.75" customHeight="1">
      <c r="A755" s="238"/>
      <c r="B755" s="235"/>
      <c r="C755" s="235"/>
      <c r="D755" s="236"/>
      <c r="E755" s="235"/>
      <c r="F755" s="235"/>
      <c r="G755" s="237"/>
      <c r="H755" s="235"/>
      <c r="I755" s="235"/>
      <c r="J755" s="235"/>
      <c r="K755" s="66"/>
      <c r="L755" s="238"/>
      <c r="M755" s="238"/>
    </row>
    <row r="756" ht="12.75" customHeight="1">
      <c r="A756" s="238"/>
      <c r="B756" s="235"/>
      <c r="C756" s="235"/>
      <c r="D756" s="236"/>
      <c r="E756" s="235"/>
      <c r="F756" s="235"/>
      <c r="G756" s="237"/>
      <c r="H756" s="235"/>
      <c r="I756" s="235"/>
      <c r="J756" s="235"/>
      <c r="K756" s="66"/>
      <c r="L756" s="238"/>
      <c r="M756" s="238"/>
    </row>
    <row r="757" ht="12.75" customHeight="1">
      <c r="A757" s="238"/>
      <c r="B757" s="235"/>
      <c r="C757" s="235"/>
      <c r="D757" s="236"/>
      <c r="E757" s="235"/>
      <c r="F757" s="235"/>
      <c r="G757" s="237"/>
      <c r="H757" s="235"/>
      <c r="I757" s="235"/>
      <c r="J757" s="235"/>
      <c r="K757" s="66"/>
      <c r="L757" s="238"/>
      <c r="M757" s="238"/>
    </row>
    <row r="758" ht="12.75" customHeight="1">
      <c r="A758" s="238"/>
      <c r="B758" s="235"/>
      <c r="C758" s="235"/>
      <c r="D758" s="236"/>
      <c r="E758" s="235"/>
      <c r="F758" s="235"/>
      <c r="G758" s="237"/>
      <c r="H758" s="235"/>
      <c r="I758" s="235"/>
      <c r="J758" s="235"/>
      <c r="K758" s="66"/>
      <c r="L758" s="238"/>
      <c r="M758" s="238"/>
    </row>
    <row r="759" ht="12.75" customHeight="1">
      <c r="A759" s="238"/>
      <c r="B759" s="235"/>
      <c r="C759" s="235"/>
      <c r="D759" s="236"/>
      <c r="E759" s="235"/>
      <c r="F759" s="235"/>
      <c r="G759" s="237"/>
      <c r="H759" s="235"/>
      <c r="I759" s="235"/>
      <c r="J759" s="235"/>
      <c r="K759" s="66"/>
      <c r="L759" s="238"/>
      <c r="M759" s="238"/>
    </row>
    <row r="760" ht="12.75" customHeight="1">
      <c r="A760" s="238"/>
      <c r="B760" s="235"/>
      <c r="C760" s="235"/>
      <c r="D760" s="236"/>
      <c r="E760" s="235"/>
      <c r="F760" s="235"/>
      <c r="G760" s="237"/>
      <c r="H760" s="235"/>
      <c r="I760" s="235"/>
      <c r="J760" s="235"/>
      <c r="K760" s="66"/>
      <c r="L760" s="238"/>
      <c r="M760" s="238"/>
    </row>
    <row r="761" ht="12.75" customHeight="1">
      <c r="A761" s="238"/>
      <c r="B761" s="235"/>
      <c r="C761" s="235"/>
      <c r="D761" s="236"/>
      <c r="E761" s="235"/>
      <c r="F761" s="235"/>
      <c r="G761" s="237"/>
      <c r="H761" s="235"/>
      <c r="I761" s="235"/>
      <c r="J761" s="235"/>
      <c r="K761" s="66"/>
      <c r="L761" s="238"/>
      <c r="M761" s="238"/>
    </row>
    <row r="762" ht="12.75" customHeight="1">
      <c r="A762" s="238"/>
      <c r="B762" s="235"/>
      <c r="C762" s="235"/>
      <c r="D762" s="236"/>
      <c r="E762" s="235"/>
      <c r="F762" s="235"/>
      <c r="G762" s="237"/>
      <c r="H762" s="235"/>
      <c r="I762" s="235"/>
      <c r="J762" s="235"/>
      <c r="K762" s="66"/>
      <c r="L762" s="238"/>
      <c r="M762" s="238"/>
    </row>
    <row r="763" ht="12.75" customHeight="1">
      <c r="A763" s="238"/>
      <c r="B763" s="235"/>
      <c r="C763" s="235"/>
      <c r="D763" s="236"/>
      <c r="E763" s="235"/>
      <c r="F763" s="235"/>
      <c r="G763" s="237"/>
      <c r="H763" s="235"/>
      <c r="I763" s="235"/>
      <c r="J763" s="235"/>
      <c r="K763" s="66"/>
      <c r="L763" s="238"/>
      <c r="M763" s="238"/>
    </row>
    <row r="764" ht="12.75" customHeight="1">
      <c r="A764" s="238"/>
      <c r="B764" s="235"/>
      <c r="C764" s="235"/>
      <c r="D764" s="236"/>
      <c r="E764" s="235"/>
      <c r="F764" s="235"/>
      <c r="G764" s="237"/>
      <c r="H764" s="235"/>
      <c r="I764" s="235"/>
      <c r="J764" s="235"/>
      <c r="K764" s="66"/>
      <c r="L764" s="238"/>
      <c r="M764" s="238"/>
    </row>
    <row r="765" ht="12.75" customHeight="1">
      <c r="A765" s="238"/>
      <c r="B765" s="235"/>
      <c r="C765" s="235"/>
      <c r="D765" s="236"/>
      <c r="E765" s="235"/>
      <c r="F765" s="235"/>
      <c r="G765" s="237"/>
      <c r="H765" s="235"/>
      <c r="I765" s="235"/>
      <c r="J765" s="235"/>
      <c r="K765" s="66"/>
      <c r="L765" s="238"/>
      <c r="M765" s="238"/>
    </row>
    <row r="766" ht="12.75" customHeight="1">
      <c r="A766" s="238"/>
      <c r="B766" s="235"/>
      <c r="C766" s="235"/>
      <c r="D766" s="236"/>
      <c r="E766" s="235"/>
      <c r="F766" s="235"/>
      <c r="G766" s="237"/>
      <c r="H766" s="235"/>
      <c r="I766" s="235"/>
      <c r="J766" s="235"/>
      <c r="K766" s="66"/>
      <c r="L766" s="238"/>
      <c r="M766" s="238"/>
    </row>
    <row r="767" ht="12.75" customHeight="1">
      <c r="A767" s="238"/>
      <c r="B767" s="235"/>
      <c r="C767" s="235"/>
      <c r="D767" s="236"/>
      <c r="E767" s="235"/>
      <c r="F767" s="235"/>
      <c r="G767" s="237"/>
      <c r="H767" s="235"/>
      <c r="I767" s="235"/>
      <c r="J767" s="235"/>
      <c r="K767" s="66"/>
      <c r="L767" s="238"/>
      <c r="M767" s="238"/>
    </row>
    <row r="768" ht="12.75" customHeight="1">
      <c r="A768" s="238"/>
      <c r="B768" s="235"/>
      <c r="C768" s="235"/>
      <c r="D768" s="236"/>
      <c r="E768" s="235"/>
      <c r="F768" s="235"/>
      <c r="G768" s="237"/>
      <c r="H768" s="235"/>
      <c r="I768" s="235"/>
      <c r="J768" s="235"/>
      <c r="K768" s="66"/>
      <c r="L768" s="238"/>
      <c r="M768" s="238"/>
    </row>
    <row r="769" ht="12.75" customHeight="1">
      <c r="A769" s="238"/>
      <c r="B769" s="235"/>
      <c r="C769" s="235"/>
      <c r="D769" s="236"/>
      <c r="E769" s="235"/>
      <c r="F769" s="235"/>
      <c r="G769" s="237"/>
      <c r="H769" s="235"/>
      <c r="I769" s="235"/>
      <c r="J769" s="235"/>
      <c r="K769" s="66"/>
      <c r="L769" s="238"/>
      <c r="M769" s="238"/>
    </row>
    <row r="770" ht="12.75" customHeight="1">
      <c r="A770" s="238"/>
      <c r="B770" s="235"/>
      <c r="C770" s="235"/>
      <c r="D770" s="236"/>
      <c r="E770" s="235"/>
      <c r="F770" s="235"/>
      <c r="G770" s="237"/>
      <c r="H770" s="235"/>
      <c r="I770" s="235"/>
      <c r="J770" s="235"/>
      <c r="K770" s="66"/>
      <c r="L770" s="238"/>
      <c r="M770" s="238"/>
    </row>
    <row r="771" ht="12.75" customHeight="1">
      <c r="A771" s="238"/>
      <c r="B771" s="235"/>
      <c r="C771" s="235"/>
      <c r="D771" s="236"/>
      <c r="E771" s="235"/>
      <c r="F771" s="235"/>
      <c r="G771" s="237"/>
      <c r="H771" s="235"/>
      <c r="I771" s="235"/>
      <c r="J771" s="235"/>
      <c r="K771" s="66"/>
      <c r="L771" s="238"/>
      <c r="M771" s="238"/>
    </row>
    <row r="772" ht="12.75" customHeight="1">
      <c r="A772" s="238"/>
      <c r="B772" s="235"/>
      <c r="C772" s="235"/>
      <c r="D772" s="236"/>
      <c r="E772" s="235"/>
      <c r="F772" s="235"/>
      <c r="G772" s="237"/>
      <c r="H772" s="235"/>
      <c r="I772" s="235"/>
      <c r="J772" s="235"/>
      <c r="K772" s="66"/>
      <c r="L772" s="238"/>
      <c r="M772" s="238"/>
    </row>
    <row r="773" ht="12.75" customHeight="1">
      <c r="A773" s="238"/>
      <c r="B773" s="235"/>
      <c r="C773" s="235"/>
      <c r="D773" s="236"/>
      <c r="E773" s="235"/>
      <c r="F773" s="235"/>
      <c r="G773" s="237"/>
      <c r="H773" s="235"/>
      <c r="I773" s="235"/>
      <c r="J773" s="235"/>
      <c r="K773" s="66"/>
      <c r="L773" s="238"/>
      <c r="M773" s="238"/>
    </row>
    <row r="774" ht="12.75" customHeight="1">
      <c r="A774" s="238"/>
      <c r="B774" s="235"/>
      <c r="C774" s="235"/>
      <c r="D774" s="236"/>
      <c r="E774" s="235"/>
      <c r="F774" s="235"/>
      <c r="G774" s="237"/>
      <c r="H774" s="235"/>
      <c r="I774" s="235"/>
      <c r="J774" s="235"/>
      <c r="K774" s="66"/>
      <c r="L774" s="238"/>
      <c r="M774" s="238"/>
    </row>
    <row r="775" ht="12.75" customHeight="1">
      <c r="A775" s="238"/>
      <c r="B775" s="235"/>
      <c r="C775" s="235"/>
      <c r="D775" s="236"/>
      <c r="E775" s="235"/>
      <c r="F775" s="235"/>
      <c r="G775" s="237"/>
      <c r="H775" s="235"/>
      <c r="I775" s="235"/>
      <c r="J775" s="235"/>
      <c r="K775" s="66"/>
      <c r="L775" s="238"/>
      <c r="M775" s="238"/>
    </row>
    <row r="776" ht="12.75" customHeight="1">
      <c r="A776" s="238"/>
      <c r="B776" s="235"/>
      <c r="C776" s="235"/>
      <c r="D776" s="236"/>
      <c r="E776" s="235"/>
      <c r="F776" s="235"/>
      <c r="G776" s="237"/>
      <c r="H776" s="235"/>
      <c r="I776" s="235"/>
      <c r="J776" s="235"/>
      <c r="K776" s="66"/>
      <c r="L776" s="238"/>
      <c r="M776" s="238"/>
    </row>
    <row r="777" ht="12.75" customHeight="1">
      <c r="A777" s="238"/>
      <c r="B777" s="235"/>
      <c r="C777" s="235"/>
      <c r="D777" s="236"/>
      <c r="E777" s="235"/>
      <c r="F777" s="235"/>
      <c r="G777" s="237"/>
      <c r="H777" s="235"/>
      <c r="I777" s="235"/>
      <c r="J777" s="235"/>
      <c r="K777" s="66"/>
      <c r="L777" s="238"/>
      <c r="M777" s="238"/>
    </row>
    <row r="778" ht="12.75" customHeight="1">
      <c r="A778" s="238"/>
      <c r="B778" s="235"/>
      <c r="C778" s="235"/>
      <c r="D778" s="236"/>
      <c r="E778" s="235"/>
      <c r="F778" s="235"/>
      <c r="G778" s="237"/>
      <c r="H778" s="235"/>
      <c r="I778" s="235"/>
      <c r="J778" s="235"/>
      <c r="K778" s="66"/>
      <c r="L778" s="238"/>
      <c r="M778" s="238"/>
    </row>
    <row r="779" ht="12.75" customHeight="1">
      <c r="A779" s="238"/>
      <c r="B779" s="235"/>
      <c r="C779" s="235"/>
      <c r="D779" s="236"/>
      <c r="E779" s="235"/>
      <c r="F779" s="235"/>
      <c r="G779" s="237"/>
      <c r="H779" s="235"/>
      <c r="I779" s="235"/>
      <c r="J779" s="235"/>
      <c r="K779" s="66"/>
      <c r="L779" s="238"/>
      <c r="M779" s="238"/>
    </row>
    <row r="780" ht="12.75" customHeight="1">
      <c r="A780" s="238"/>
      <c r="B780" s="235"/>
      <c r="C780" s="235"/>
      <c r="D780" s="236"/>
      <c r="E780" s="235"/>
      <c r="F780" s="235"/>
      <c r="G780" s="237"/>
      <c r="H780" s="235"/>
      <c r="I780" s="235"/>
      <c r="J780" s="235"/>
      <c r="K780" s="66"/>
      <c r="L780" s="238"/>
      <c r="M780" s="238"/>
    </row>
    <row r="781" ht="12.75" customHeight="1">
      <c r="A781" s="238"/>
      <c r="B781" s="235"/>
      <c r="C781" s="235"/>
      <c r="D781" s="236"/>
      <c r="E781" s="235"/>
      <c r="F781" s="235"/>
      <c r="G781" s="237"/>
      <c r="H781" s="235"/>
      <c r="I781" s="235"/>
      <c r="J781" s="235"/>
      <c r="K781" s="66"/>
      <c r="L781" s="238"/>
      <c r="M781" s="238"/>
    </row>
    <row r="782" ht="12.75" customHeight="1">
      <c r="A782" s="238"/>
      <c r="B782" s="235"/>
      <c r="C782" s="235"/>
      <c r="D782" s="236"/>
      <c r="E782" s="235"/>
      <c r="F782" s="235"/>
      <c r="G782" s="237"/>
      <c r="H782" s="235"/>
      <c r="I782" s="235"/>
      <c r="J782" s="235"/>
      <c r="K782" s="66"/>
      <c r="L782" s="238"/>
      <c r="M782" s="238"/>
    </row>
    <row r="783" ht="12.75" customHeight="1">
      <c r="A783" s="238"/>
      <c r="B783" s="235"/>
      <c r="C783" s="235"/>
      <c r="D783" s="236"/>
      <c r="E783" s="235"/>
      <c r="F783" s="235"/>
      <c r="G783" s="237"/>
      <c r="H783" s="235"/>
      <c r="I783" s="235"/>
      <c r="J783" s="235"/>
      <c r="K783" s="66"/>
      <c r="L783" s="238"/>
      <c r="M783" s="238"/>
    </row>
    <row r="784" ht="12.75" customHeight="1">
      <c r="A784" s="238"/>
      <c r="B784" s="235"/>
      <c r="C784" s="235"/>
      <c r="D784" s="236"/>
      <c r="E784" s="235"/>
      <c r="F784" s="235"/>
      <c r="G784" s="237"/>
      <c r="H784" s="235"/>
      <c r="I784" s="235"/>
      <c r="J784" s="235"/>
      <c r="K784" s="66"/>
      <c r="L784" s="238"/>
      <c r="M784" s="238"/>
    </row>
    <row r="785" ht="12.75" customHeight="1">
      <c r="A785" s="238"/>
      <c r="B785" s="235"/>
      <c r="C785" s="235"/>
      <c r="D785" s="236"/>
      <c r="E785" s="235"/>
      <c r="F785" s="235"/>
      <c r="G785" s="237"/>
      <c r="H785" s="235"/>
      <c r="I785" s="235"/>
      <c r="J785" s="235"/>
      <c r="K785" s="66"/>
      <c r="L785" s="238"/>
      <c r="M785" s="238"/>
    </row>
    <row r="786" ht="12.75" customHeight="1">
      <c r="A786" s="238"/>
      <c r="B786" s="235"/>
      <c r="C786" s="235"/>
      <c r="D786" s="236"/>
      <c r="E786" s="235"/>
      <c r="F786" s="235"/>
      <c r="G786" s="237"/>
      <c r="H786" s="235"/>
      <c r="I786" s="235"/>
      <c r="J786" s="235"/>
      <c r="K786" s="66"/>
      <c r="L786" s="238"/>
      <c r="M786" s="238"/>
    </row>
    <row r="787" ht="12.75" customHeight="1">
      <c r="A787" s="238"/>
      <c r="B787" s="235"/>
      <c r="C787" s="235"/>
      <c r="D787" s="236"/>
      <c r="E787" s="235"/>
      <c r="F787" s="235"/>
      <c r="G787" s="237"/>
      <c r="H787" s="235"/>
      <c r="I787" s="235"/>
      <c r="J787" s="235"/>
      <c r="K787" s="66"/>
      <c r="L787" s="238"/>
      <c r="M787" s="238"/>
    </row>
    <row r="788" ht="12.75" customHeight="1">
      <c r="A788" s="238"/>
      <c r="B788" s="235"/>
      <c r="C788" s="235"/>
      <c r="D788" s="236"/>
      <c r="E788" s="235"/>
      <c r="F788" s="235"/>
      <c r="G788" s="237"/>
      <c r="H788" s="235"/>
      <c r="I788" s="235"/>
      <c r="J788" s="235"/>
      <c r="K788" s="66"/>
      <c r="L788" s="238"/>
      <c r="M788" s="238"/>
    </row>
    <row r="789" ht="12.75" customHeight="1">
      <c r="A789" s="238"/>
      <c r="B789" s="235"/>
      <c r="C789" s="235"/>
      <c r="D789" s="236"/>
      <c r="E789" s="235"/>
      <c r="F789" s="235"/>
      <c r="G789" s="237"/>
      <c r="H789" s="235"/>
      <c r="I789" s="235"/>
      <c r="J789" s="235"/>
      <c r="K789" s="66"/>
      <c r="L789" s="238"/>
      <c r="M789" s="238"/>
    </row>
    <row r="790" ht="12.75" customHeight="1">
      <c r="A790" s="238"/>
      <c r="B790" s="235"/>
      <c r="C790" s="235"/>
      <c r="D790" s="236"/>
      <c r="E790" s="235"/>
      <c r="F790" s="235"/>
      <c r="G790" s="237"/>
      <c r="H790" s="235"/>
      <c r="I790" s="235"/>
      <c r="J790" s="235"/>
      <c r="K790" s="66"/>
      <c r="L790" s="238"/>
      <c r="M790" s="238"/>
    </row>
    <row r="791" ht="12.75" customHeight="1">
      <c r="A791" s="238"/>
      <c r="B791" s="235"/>
      <c r="C791" s="235"/>
      <c r="D791" s="236"/>
      <c r="E791" s="235"/>
      <c r="F791" s="235"/>
      <c r="G791" s="237"/>
      <c r="H791" s="235"/>
      <c r="I791" s="235"/>
      <c r="J791" s="235"/>
      <c r="K791" s="66"/>
      <c r="L791" s="238"/>
      <c r="M791" s="238"/>
    </row>
    <row r="792" ht="12.75" customHeight="1">
      <c r="A792" s="238"/>
      <c r="B792" s="235"/>
      <c r="C792" s="235"/>
      <c r="D792" s="236"/>
      <c r="E792" s="235"/>
      <c r="F792" s="235"/>
      <c r="G792" s="237"/>
      <c r="H792" s="235"/>
      <c r="I792" s="235"/>
      <c r="J792" s="235"/>
      <c r="K792" s="66"/>
      <c r="L792" s="238"/>
      <c r="M792" s="238"/>
    </row>
    <row r="793" ht="12.75" customHeight="1">
      <c r="A793" s="238"/>
      <c r="B793" s="235"/>
      <c r="C793" s="235"/>
      <c r="D793" s="236"/>
      <c r="E793" s="235"/>
      <c r="F793" s="235"/>
      <c r="G793" s="237"/>
      <c r="H793" s="235"/>
      <c r="I793" s="235"/>
      <c r="J793" s="235"/>
      <c r="K793" s="66"/>
      <c r="L793" s="238"/>
      <c r="M793" s="238"/>
    </row>
    <row r="794" ht="12.75" customHeight="1">
      <c r="A794" s="238"/>
      <c r="B794" s="235"/>
      <c r="C794" s="235"/>
      <c r="D794" s="236"/>
      <c r="E794" s="235"/>
      <c r="F794" s="235"/>
      <c r="G794" s="237"/>
      <c r="H794" s="235"/>
      <c r="I794" s="235"/>
      <c r="J794" s="235"/>
      <c r="K794" s="66"/>
      <c r="L794" s="238"/>
      <c r="M794" s="238"/>
    </row>
    <row r="795" ht="12.75" customHeight="1">
      <c r="A795" s="238"/>
      <c r="B795" s="235"/>
      <c r="C795" s="235"/>
      <c r="D795" s="236"/>
      <c r="E795" s="235"/>
      <c r="F795" s="235"/>
      <c r="G795" s="237"/>
      <c r="H795" s="235"/>
      <c r="I795" s="235"/>
      <c r="J795" s="235"/>
      <c r="K795" s="66"/>
      <c r="L795" s="238"/>
      <c r="M795" s="238"/>
    </row>
    <row r="796" ht="12.75" customHeight="1">
      <c r="A796" s="238"/>
      <c r="B796" s="235"/>
      <c r="C796" s="235"/>
      <c r="D796" s="236"/>
      <c r="E796" s="235"/>
      <c r="F796" s="235"/>
      <c r="G796" s="237"/>
      <c r="H796" s="235"/>
      <c r="I796" s="235"/>
      <c r="J796" s="235"/>
      <c r="K796" s="66"/>
      <c r="L796" s="238"/>
      <c r="M796" s="238"/>
    </row>
    <row r="797" ht="12.75" customHeight="1">
      <c r="A797" s="238"/>
      <c r="B797" s="235"/>
      <c r="C797" s="235"/>
      <c r="D797" s="236"/>
      <c r="E797" s="235"/>
      <c r="F797" s="235"/>
      <c r="G797" s="237"/>
      <c r="H797" s="235"/>
      <c r="I797" s="235"/>
      <c r="J797" s="235"/>
      <c r="K797" s="66"/>
      <c r="L797" s="238"/>
      <c r="M797" s="238"/>
    </row>
    <row r="798" ht="12.75" customHeight="1">
      <c r="A798" s="238"/>
      <c r="B798" s="235"/>
      <c r="C798" s="235"/>
      <c r="D798" s="236"/>
      <c r="E798" s="235"/>
      <c r="F798" s="235"/>
      <c r="G798" s="237"/>
      <c r="H798" s="235"/>
      <c r="I798" s="235"/>
      <c r="J798" s="235"/>
      <c r="K798" s="66"/>
      <c r="L798" s="238"/>
      <c r="M798" s="238"/>
    </row>
    <row r="799" ht="12.75" customHeight="1">
      <c r="A799" s="238"/>
      <c r="B799" s="235"/>
      <c r="C799" s="235"/>
      <c r="D799" s="236"/>
      <c r="E799" s="235"/>
      <c r="F799" s="235"/>
      <c r="G799" s="237"/>
      <c r="H799" s="235"/>
      <c r="I799" s="235"/>
      <c r="J799" s="235"/>
      <c r="K799" s="66"/>
      <c r="L799" s="238"/>
      <c r="M799" s="238"/>
    </row>
    <row r="800" ht="12.75" customHeight="1">
      <c r="A800" s="238"/>
      <c r="B800" s="235"/>
      <c r="C800" s="235"/>
      <c r="D800" s="236"/>
      <c r="E800" s="235"/>
      <c r="F800" s="235"/>
      <c r="G800" s="237"/>
      <c r="H800" s="235"/>
      <c r="I800" s="235"/>
      <c r="J800" s="235"/>
      <c r="K800" s="66"/>
      <c r="L800" s="238"/>
      <c r="M800" s="238"/>
    </row>
    <row r="801" ht="12.75" customHeight="1">
      <c r="A801" s="238"/>
      <c r="B801" s="235"/>
      <c r="C801" s="235"/>
      <c r="D801" s="236"/>
      <c r="E801" s="235"/>
      <c r="F801" s="235"/>
      <c r="G801" s="237"/>
      <c r="H801" s="235"/>
      <c r="I801" s="235"/>
      <c r="J801" s="235"/>
      <c r="K801" s="66"/>
      <c r="L801" s="238"/>
      <c r="M801" s="238"/>
    </row>
    <row r="802" ht="12.75" customHeight="1">
      <c r="A802" s="238"/>
      <c r="B802" s="235"/>
      <c r="C802" s="235"/>
      <c r="D802" s="236"/>
      <c r="E802" s="235"/>
      <c r="F802" s="235"/>
      <c r="G802" s="237"/>
      <c r="H802" s="235"/>
      <c r="I802" s="235"/>
      <c r="J802" s="235"/>
      <c r="K802" s="66"/>
      <c r="L802" s="238"/>
      <c r="M802" s="238"/>
    </row>
    <row r="803" ht="12.75" customHeight="1">
      <c r="A803" s="238"/>
      <c r="B803" s="235"/>
      <c r="C803" s="235"/>
      <c r="D803" s="236"/>
      <c r="E803" s="235"/>
      <c r="F803" s="235"/>
      <c r="G803" s="237"/>
      <c r="H803" s="235"/>
      <c r="I803" s="235"/>
      <c r="J803" s="235"/>
      <c r="K803" s="66"/>
      <c r="L803" s="238"/>
      <c r="M803" s="238"/>
    </row>
    <row r="804" ht="12.75" customHeight="1">
      <c r="A804" s="238"/>
      <c r="B804" s="235"/>
      <c r="C804" s="235"/>
      <c r="D804" s="236"/>
      <c r="E804" s="235"/>
      <c r="F804" s="235"/>
      <c r="G804" s="237"/>
      <c r="H804" s="235"/>
      <c r="I804" s="235"/>
      <c r="J804" s="235"/>
      <c r="K804" s="66"/>
      <c r="L804" s="238"/>
      <c r="M804" s="238"/>
    </row>
    <row r="805" ht="12.75" customHeight="1">
      <c r="A805" s="238"/>
      <c r="B805" s="235"/>
      <c r="C805" s="235"/>
      <c r="D805" s="236"/>
      <c r="E805" s="235"/>
      <c r="F805" s="235"/>
      <c r="G805" s="237"/>
      <c r="H805" s="235"/>
      <c r="I805" s="235"/>
      <c r="J805" s="235"/>
      <c r="K805" s="66"/>
      <c r="L805" s="238"/>
      <c r="M805" s="238"/>
    </row>
    <row r="806" ht="12.75" customHeight="1">
      <c r="A806" s="238"/>
      <c r="B806" s="235"/>
      <c r="C806" s="235"/>
      <c r="D806" s="236"/>
      <c r="E806" s="235"/>
      <c r="F806" s="235"/>
      <c r="G806" s="237"/>
      <c r="H806" s="235"/>
      <c r="I806" s="235"/>
      <c r="J806" s="235"/>
      <c r="K806" s="66"/>
      <c r="L806" s="238"/>
      <c r="M806" s="238"/>
    </row>
    <row r="807" ht="12.75" customHeight="1">
      <c r="A807" s="238"/>
      <c r="B807" s="235"/>
      <c r="C807" s="235"/>
      <c r="D807" s="236"/>
      <c r="E807" s="235"/>
      <c r="F807" s="235"/>
      <c r="G807" s="237"/>
      <c r="H807" s="235"/>
      <c r="I807" s="235"/>
      <c r="J807" s="235"/>
      <c r="K807" s="66"/>
      <c r="L807" s="238"/>
      <c r="M807" s="238"/>
    </row>
    <row r="808" ht="12.75" customHeight="1">
      <c r="A808" s="238"/>
      <c r="B808" s="235"/>
      <c r="C808" s="235"/>
      <c r="D808" s="236"/>
      <c r="E808" s="235"/>
      <c r="F808" s="235"/>
      <c r="G808" s="237"/>
      <c r="H808" s="235"/>
      <c r="I808" s="235"/>
      <c r="J808" s="235"/>
      <c r="K808" s="66"/>
      <c r="L808" s="238"/>
      <c r="M808" s="238"/>
    </row>
    <row r="809" ht="12.75" customHeight="1">
      <c r="A809" s="238"/>
      <c r="B809" s="235"/>
      <c r="C809" s="235"/>
      <c r="D809" s="236"/>
      <c r="E809" s="235"/>
      <c r="F809" s="235"/>
      <c r="G809" s="237"/>
      <c r="H809" s="235"/>
      <c r="I809" s="235"/>
      <c r="J809" s="235"/>
      <c r="K809" s="66"/>
      <c r="L809" s="238"/>
      <c r="M809" s="238"/>
    </row>
    <row r="810" ht="12.75" customHeight="1">
      <c r="A810" s="238"/>
      <c r="B810" s="235"/>
      <c r="C810" s="235"/>
      <c r="D810" s="236"/>
      <c r="E810" s="235"/>
      <c r="F810" s="235"/>
      <c r="G810" s="237"/>
      <c r="H810" s="235"/>
      <c r="I810" s="235"/>
      <c r="J810" s="235"/>
      <c r="K810" s="66"/>
      <c r="L810" s="238"/>
      <c r="M810" s="238"/>
    </row>
    <row r="811" ht="12.75" customHeight="1">
      <c r="A811" s="238"/>
      <c r="B811" s="235"/>
      <c r="C811" s="235"/>
      <c r="D811" s="236"/>
      <c r="E811" s="235"/>
      <c r="F811" s="235"/>
      <c r="G811" s="237"/>
      <c r="H811" s="235"/>
      <c r="I811" s="235"/>
      <c r="J811" s="235"/>
      <c r="K811" s="66"/>
      <c r="L811" s="238"/>
      <c r="M811" s="238"/>
    </row>
    <row r="812" ht="12.75" customHeight="1">
      <c r="A812" s="238"/>
      <c r="B812" s="235"/>
      <c r="C812" s="235"/>
      <c r="D812" s="236"/>
      <c r="E812" s="235"/>
      <c r="F812" s="235"/>
      <c r="G812" s="237"/>
      <c r="H812" s="235"/>
      <c r="I812" s="235"/>
      <c r="J812" s="235"/>
      <c r="K812" s="66"/>
      <c r="L812" s="238"/>
      <c r="M812" s="238"/>
    </row>
    <row r="813" ht="12.75" customHeight="1">
      <c r="A813" s="238"/>
      <c r="B813" s="235"/>
      <c r="C813" s="235"/>
      <c r="D813" s="236"/>
      <c r="E813" s="235"/>
      <c r="F813" s="235"/>
      <c r="G813" s="237"/>
      <c r="H813" s="235"/>
      <c r="I813" s="235"/>
      <c r="J813" s="235"/>
      <c r="K813" s="66"/>
      <c r="L813" s="238"/>
      <c r="M813" s="238"/>
    </row>
    <row r="814" ht="12.75" customHeight="1">
      <c r="A814" s="238"/>
      <c r="B814" s="235"/>
      <c r="C814" s="235"/>
      <c r="D814" s="236"/>
      <c r="E814" s="235"/>
      <c r="F814" s="235"/>
      <c r="G814" s="237"/>
      <c r="H814" s="235"/>
      <c r="I814" s="235"/>
      <c r="J814" s="235"/>
      <c r="K814" s="66"/>
      <c r="L814" s="238"/>
      <c r="M814" s="238"/>
    </row>
    <row r="815" ht="12.75" customHeight="1">
      <c r="A815" s="238"/>
      <c r="B815" s="235"/>
      <c r="C815" s="235"/>
      <c r="D815" s="236"/>
      <c r="E815" s="235"/>
      <c r="F815" s="235"/>
      <c r="G815" s="237"/>
      <c r="H815" s="235"/>
      <c r="I815" s="235"/>
      <c r="J815" s="235"/>
      <c r="K815" s="66"/>
      <c r="L815" s="238"/>
      <c r="M815" s="238"/>
    </row>
    <row r="816" ht="12.75" customHeight="1">
      <c r="A816" s="238"/>
      <c r="B816" s="235"/>
      <c r="C816" s="235"/>
      <c r="D816" s="236"/>
      <c r="E816" s="235"/>
      <c r="F816" s="235"/>
      <c r="G816" s="237"/>
      <c r="H816" s="235"/>
      <c r="I816" s="235"/>
      <c r="J816" s="235"/>
      <c r="K816" s="66"/>
      <c r="L816" s="238"/>
      <c r="M816" s="238"/>
    </row>
    <row r="817" ht="12.75" customHeight="1">
      <c r="A817" s="238"/>
      <c r="B817" s="235"/>
      <c r="C817" s="235"/>
      <c r="D817" s="236"/>
      <c r="E817" s="235"/>
      <c r="F817" s="235"/>
      <c r="G817" s="237"/>
      <c r="H817" s="235"/>
      <c r="I817" s="235"/>
      <c r="J817" s="235"/>
      <c r="K817" s="66"/>
      <c r="L817" s="238"/>
      <c r="M817" s="238"/>
    </row>
    <row r="818" ht="12.75" customHeight="1">
      <c r="A818" s="238"/>
      <c r="B818" s="235"/>
      <c r="C818" s="235"/>
      <c r="D818" s="236"/>
      <c r="E818" s="235"/>
      <c r="F818" s="235"/>
      <c r="G818" s="237"/>
      <c r="H818" s="235"/>
      <c r="I818" s="235"/>
      <c r="J818" s="235"/>
      <c r="K818" s="66"/>
      <c r="L818" s="238"/>
      <c r="M818" s="238"/>
    </row>
    <row r="819" ht="12.75" customHeight="1">
      <c r="A819" s="238"/>
      <c r="B819" s="235"/>
      <c r="C819" s="235"/>
      <c r="D819" s="236"/>
      <c r="E819" s="235"/>
      <c r="F819" s="235"/>
      <c r="G819" s="237"/>
      <c r="H819" s="235"/>
      <c r="I819" s="235"/>
      <c r="J819" s="235"/>
      <c r="K819" s="66"/>
      <c r="L819" s="238"/>
      <c r="M819" s="238"/>
    </row>
    <row r="820" ht="12.75" customHeight="1">
      <c r="A820" s="238"/>
      <c r="B820" s="235"/>
      <c r="C820" s="235"/>
      <c r="D820" s="236"/>
      <c r="E820" s="235"/>
      <c r="F820" s="235"/>
      <c r="G820" s="237"/>
      <c r="H820" s="235"/>
      <c r="I820" s="235"/>
      <c r="J820" s="235"/>
      <c r="K820" s="66"/>
      <c r="L820" s="238"/>
      <c r="M820" s="238"/>
    </row>
    <row r="821" ht="12.75" customHeight="1">
      <c r="A821" s="238"/>
      <c r="B821" s="235"/>
      <c r="C821" s="235"/>
      <c r="D821" s="236"/>
      <c r="E821" s="235"/>
      <c r="F821" s="235"/>
      <c r="G821" s="237"/>
      <c r="H821" s="235"/>
      <c r="I821" s="235"/>
      <c r="J821" s="235"/>
      <c r="K821" s="66"/>
      <c r="L821" s="238"/>
      <c r="M821" s="238"/>
    </row>
    <row r="822" ht="12.75" customHeight="1">
      <c r="A822" s="238"/>
      <c r="B822" s="235"/>
      <c r="C822" s="235"/>
      <c r="D822" s="236"/>
      <c r="E822" s="235"/>
      <c r="F822" s="235"/>
      <c r="G822" s="237"/>
      <c r="H822" s="235"/>
      <c r="I822" s="235"/>
      <c r="J822" s="235"/>
      <c r="K822" s="66"/>
      <c r="L822" s="238"/>
      <c r="M822" s="238"/>
    </row>
    <row r="823" ht="12.75" customHeight="1">
      <c r="A823" s="238"/>
      <c r="B823" s="235"/>
      <c r="C823" s="235"/>
      <c r="D823" s="236"/>
      <c r="E823" s="235"/>
      <c r="F823" s="235"/>
      <c r="G823" s="237"/>
      <c r="H823" s="235"/>
      <c r="I823" s="235"/>
      <c r="J823" s="235"/>
      <c r="K823" s="66"/>
      <c r="L823" s="238"/>
      <c r="M823" s="238"/>
    </row>
    <row r="824" ht="12.75" customHeight="1">
      <c r="A824" s="238"/>
      <c r="B824" s="235"/>
      <c r="C824" s="235"/>
      <c r="D824" s="236"/>
      <c r="E824" s="235"/>
      <c r="F824" s="235"/>
      <c r="G824" s="237"/>
      <c r="H824" s="235"/>
      <c r="I824" s="235"/>
      <c r="J824" s="235"/>
      <c r="K824" s="66"/>
      <c r="L824" s="238"/>
      <c r="M824" s="238"/>
    </row>
    <row r="825" ht="12.75" customHeight="1">
      <c r="A825" s="238"/>
      <c r="B825" s="235"/>
      <c r="C825" s="235"/>
      <c r="D825" s="236"/>
      <c r="E825" s="235"/>
      <c r="F825" s="235"/>
      <c r="G825" s="237"/>
      <c r="H825" s="235"/>
      <c r="I825" s="235"/>
      <c r="J825" s="235"/>
      <c r="K825" s="66"/>
      <c r="L825" s="238"/>
      <c r="M825" s="238"/>
    </row>
    <row r="826" ht="12.75" customHeight="1">
      <c r="A826" s="238"/>
      <c r="B826" s="235"/>
      <c r="C826" s="235"/>
      <c r="D826" s="236"/>
      <c r="E826" s="235"/>
      <c r="F826" s="235"/>
      <c r="G826" s="237"/>
      <c r="H826" s="235"/>
      <c r="I826" s="235"/>
      <c r="J826" s="235"/>
      <c r="K826" s="66"/>
      <c r="L826" s="238"/>
      <c r="M826" s="238"/>
    </row>
    <row r="827" ht="12.75" customHeight="1">
      <c r="A827" s="238"/>
      <c r="B827" s="235"/>
      <c r="C827" s="235"/>
      <c r="D827" s="236"/>
      <c r="E827" s="235"/>
      <c r="F827" s="235"/>
      <c r="G827" s="237"/>
      <c r="H827" s="235"/>
      <c r="I827" s="235"/>
      <c r="J827" s="235"/>
      <c r="K827" s="66"/>
      <c r="L827" s="238"/>
      <c r="M827" s="238"/>
    </row>
    <row r="828" ht="12.75" customHeight="1">
      <c r="A828" s="238"/>
      <c r="B828" s="235"/>
      <c r="C828" s="235"/>
      <c r="D828" s="236"/>
      <c r="E828" s="235"/>
      <c r="F828" s="235"/>
      <c r="G828" s="237"/>
      <c r="H828" s="235"/>
      <c r="I828" s="235"/>
      <c r="J828" s="235"/>
      <c r="K828" s="66"/>
      <c r="L828" s="238"/>
      <c r="M828" s="238"/>
    </row>
    <row r="829" ht="12.75" customHeight="1">
      <c r="A829" s="238"/>
      <c r="B829" s="235"/>
      <c r="C829" s="235"/>
      <c r="D829" s="236"/>
      <c r="E829" s="235"/>
      <c r="F829" s="235"/>
      <c r="G829" s="237"/>
      <c r="H829" s="235"/>
      <c r="I829" s="235"/>
      <c r="J829" s="235"/>
      <c r="K829" s="66"/>
      <c r="L829" s="238"/>
      <c r="M829" s="238"/>
    </row>
    <row r="830" ht="12.75" customHeight="1">
      <c r="A830" s="238"/>
      <c r="B830" s="235"/>
      <c r="C830" s="235"/>
      <c r="D830" s="236"/>
      <c r="E830" s="235"/>
      <c r="F830" s="235"/>
      <c r="G830" s="237"/>
      <c r="H830" s="235"/>
      <c r="I830" s="235"/>
      <c r="J830" s="235"/>
      <c r="K830" s="66"/>
      <c r="L830" s="238"/>
      <c r="M830" s="238"/>
    </row>
    <row r="831" ht="12.75" customHeight="1">
      <c r="A831" s="238"/>
      <c r="B831" s="235"/>
      <c r="C831" s="235"/>
      <c r="D831" s="236"/>
      <c r="E831" s="235"/>
      <c r="F831" s="235"/>
      <c r="G831" s="237"/>
      <c r="H831" s="235"/>
      <c r="I831" s="235"/>
      <c r="J831" s="235"/>
      <c r="K831" s="66"/>
      <c r="L831" s="238"/>
      <c r="M831" s="238"/>
    </row>
    <row r="832" ht="12.75" customHeight="1">
      <c r="A832" s="238"/>
      <c r="B832" s="235"/>
      <c r="C832" s="235"/>
      <c r="D832" s="236"/>
      <c r="E832" s="235"/>
      <c r="F832" s="235"/>
      <c r="G832" s="237"/>
      <c r="H832" s="235"/>
      <c r="I832" s="235"/>
      <c r="J832" s="235"/>
      <c r="K832" s="66"/>
      <c r="L832" s="238"/>
      <c r="M832" s="238"/>
    </row>
    <row r="833" ht="12.75" customHeight="1">
      <c r="A833" s="238"/>
      <c r="B833" s="235"/>
      <c r="C833" s="235"/>
      <c r="D833" s="236"/>
      <c r="E833" s="235"/>
      <c r="F833" s="235"/>
      <c r="G833" s="237"/>
      <c r="H833" s="235"/>
      <c r="I833" s="235"/>
      <c r="J833" s="235"/>
      <c r="K833" s="66"/>
      <c r="L833" s="238"/>
      <c r="M833" s="238"/>
    </row>
    <row r="834" ht="12.75" customHeight="1">
      <c r="A834" s="238"/>
      <c r="B834" s="235"/>
      <c r="C834" s="235"/>
      <c r="D834" s="236"/>
      <c r="E834" s="235"/>
      <c r="F834" s="235"/>
      <c r="G834" s="237"/>
      <c r="H834" s="235"/>
      <c r="I834" s="235"/>
      <c r="J834" s="235"/>
      <c r="K834" s="66"/>
      <c r="L834" s="238"/>
      <c r="M834" s="238"/>
    </row>
    <row r="835" ht="12.75" customHeight="1">
      <c r="A835" s="238"/>
      <c r="B835" s="235"/>
      <c r="C835" s="235"/>
      <c r="D835" s="236"/>
      <c r="E835" s="235"/>
      <c r="F835" s="235"/>
      <c r="G835" s="237"/>
      <c r="H835" s="235"/>
      <c r="I835" s="235"/>
      <c r="J835" s="235"/>
      <c r="K835" s="66"/>
      <c r="L835" s="238"/>
      <c r="M835" s="238"/>
    </row>
    <row r="836" ht="12.75" customHeight="1">
      <c r="A836" s="238"/>
      <c r="B836" s="235"/>
      <c r="C836" s="235"/>
      <c r="D836" s="236"/>
      <c r="E836" s="235"/>
      <c r="F836" s="235"/>
      <c r="G836" s="237"/>
      <c r="H836" s="235"/>
      <c r="I836" s="235"/>
      <c r="J836" s="235"/>
      <c r="K836" s="66"/>
      <c r="L836" s="238"/>
      <c r="M836" s="238"/>
    </row>
    <row r="837" ht="12.75" customHeight="1">
      <c r="A837" s="238"/>
      <c r="B837" s="235"/>
      <c r="C837" s="235"/>
      <c r="D837" s="236"/>
      <c r="E837" s="235"/>
      <c r="F837" s="235"/>
      <c r="G837" s="237"/>
      <c r="H837" s="235"/>
      <c r="I837" s="235"/>
      <c r="J837" s="235"/>
      <c r="K837" s="66"/>
      <c r="L837" s="238"/>
      <c r="M837" s="238"/>
    </row>
    <row r="838" ht="12.75" customHeight="1">
      <c r="A838" s="238"/>
      <c r="B838" s="235"/>
      <c r="C838" s="235"/>
      <c r="D838" s="236"/>
      <c r="E838" s="235"/>
      <c r="F838" s="235"/>
      <c r="G838" s="237"/>
      <c r="H838" s="235"/>
      <c r="I838" s="235"/>
      <c r="J838" s="235"/>
      <c r="K838" s="66"/>
      <c r="L838" s="238"/>
      <c r="M838" s="238"/>
    </row>
    <row r="839" ht="12.75" customHeight="1">
      <c r="A839" s="238"/>
      <c r="B839" s="235"/>
      <c r="C839" s="235"/>
      <c r="D839" s="236"/>
      <c r="E839" s="235"/>
      <c r="F839" s="235"/>
      <c r="G839" s="237"/>
      <c r="H839" s="235"/>
      <c r="I839" s="235"/>
      <c r="J839" s="235"/>
      <c r="K839" s="66"/>
      <c r="L839" s="238"/>
      <c r="M839" s="238"/>
    </row>
    <row r="840" ht="12.75" customHeight="1">
      <c r="A840" s="238"/>
      <c r="B840" s="235"/>
      <c r="C840" s="235"/>
      <c r="D840" s="236"/>
      <c r="E840" s="235"/>
      <c r="F840" s="235"/>
      <c r="G840" s="237"/>
      <c r="H840" s="235"/>
      <c r="I840" s="235"/>
      <c r="J840" s="235"/>
      <c r="K840" s="66"/>
      <c r="L840" s="238"/>
      <c r="M840" s="238"/>
    </row>
    <row r="841" ht="12.75" customHeight="1">
      <c r="A841" s="238"/>
      <c r="B841" s="235"/>
      <c r="C841" s="235"/>
      <c r="D841" s="236"/>
      <c r="E841" s="235"/>
      <c r="F841" s="235"/>
      <c r="G841" s="237"/>
      <c r="H841" s="235"/>
      <c r="I841" s="235"/>
      <c r="J841" s="235"/>
      <c r="K841" s="66"/>
      <c r="L841" s="238"/>
      <c r="M841" s="238"/>
    </row>
    <row r="842" ht="12.75" customHeight="1">
      <c r="A842" s="238"/>
      <c r="B842" s="235"/>
      <c r="C842" s="235"/>
      <c r="D842" s="236"/>
      <c r="E842" s="235"/>
      <c r="F842" s="235"/>
      <c r="G842" s="237"/>
      <c r="H842" s="235"/>
      <c r="I842" s="235"/>
      <c r="J842" s="235"/>
      <c r="K842" s="66"/>
      <c r="L842" s="238"/>
      <c r="M842" s="238"/>
    </row>
    <row r="843" ht="12.75" customHeight="1">
      <c r="A843" s="238"/>
      <c r="B843" s="235"/>
      <c r="C843" s="235"/>
      <c r="D843" s="236"/>
      <c r="E843" s="235"/>
      <c r="F843" s="235"/>
      <c r="G843" s="237"/>
      <c r="H843" s="235"/>
      <c r="I843" s="235"/>
      <c r="J843" s="235"/>
      <c r="K843" s="66"/>
      <c r="L843" s="238"/>
      <c r="M843" s="238"/>
    </row>
    <row r="844" ht="12.75" customHeight="1">
      <c r="A844" s="238"/>
      <c r="B844" s="235"/>
      <c r="C844" s="235"/>
      <c r="D844" s="236"/>
      <c r="E844" s="235"/>
      <c r="F844" s="235"/>
      <c r="G844" s="237"/>
      <c r="H844" s="235"/>
      <c r="I844" s="235"/>
      <c r="J844" s="235"/>
      <c r="K844" s="66"/>
      <c r="L844" s="238"/>
      <c r="M844" s="238"/>
    </row>
    <row r="845" ht="12.75" customHeight="1">
      <c r="A845" s="238"/>
      <c r="B845" s="235"/>
      <c r="C845" s="235"/>
      <c r="D845" s="236"/>
      <c r="E845" s="235"/>
      <c r="F845" s="235"/>
      <c r="G845" s="237"/>
      <c r="H845" s="235"/>
      <c r="I845" s="235"/>
      <c r="J845" s="235"/>
      <c r="K845" s="66"/>
      <c r="L845" s="238"/>
      <c r="M845" s="238"/>
    </row>
    <row r="846" ht="12.75" customHeight="1">
      <c r="A846" s="238"/>
      <c r="B846" s="235"/>
      <c r="C846" s="235"/>
      <c r="D846" s="236"/>
      <c r="E846" s="235"/>
      <c r="F846" s="235"/>
      <c r="G846" s="237"/>
      <c r="H846" s="235"/>
      <c r="I846" s="235"/>
      <c r="J846" s="235"/>
      <c r="K846" s="66"/>
      <c r="L846" s="238"/>
      <c r="M846" s="238"/>
    </row>
    <row r="847" ht="12.75" customHeight="1">
      <c r="A847" s="238"/>
      <c r="B847" s="235"/>
      <c r="C847" s="235"/>
      <c r="D847" s="236"/>
      <c r="E847" s="235"/>
      <c r="F847" s="235"/>
      <c r="G847" s="237"/>
      <c r="H847" s="235"/>
      <c r="I847" s="235"/>
      <c r="J847" s="235"/>
      <c r="K847" s="66"/>
      <c r="L847" s="238"/>
      <c r="M847" s="238"/>
    </row>
    <row r="848" ht="12.75" customHeight="1">
      <c r="A848" s="238"/>
      <c r="B848" s="235"/>
      <c r="C848" s="235"/>
      <c r="D848" s="236"/>
      <c r="E848" s="235"/>
      <c r="F848" s="235"/>
      <c r="G848" s="237"/>
      <c r="H848" s="235"/>
      <c r="I848" s="235"/>
      <c r="J848" s="235"/>
      <c r="K848" s="66"/>
      <c r="L848" s="238"/>
      <c r="M848" s="238"/>
    </row>
    <row r="849" ht="12.75" customHeight="1">
      <c r="A849" s="238"/>
      <c r="B849" s="235"/>
      <c r="C849" s="235"/>
      <c r="D849" s="236"/>
      <c r="E849" s="235"/>
      <c r="F849" s="235"/>
      <c r="G849" s="237"/>
      <c r="H849" s="235"/>
      <c r="I849" s="235"/>
      <c r="J849" s="235"/>
      <c r="K849" s="66"/>
      <c r="L849" s="238"/>
      <c r="M849" s="238"/>
    </row>
    <row r="850" ht="12.75" customHeight="1">
      <c r="A850" s="238"/>
      <c r="B850" s="235"/>
      <c r="C850" s="235"/>
      <c r="D850" s="236"/>
      <c r="E850" s="235"/>
      <c r="F850" s="235"/>
      <c r="G850" s="237"/>
      <c r="H850" s="235"/>
      <c r="I850" s="235"/>
      <c r="J850" s="235"/>
      <c r="K850" s="66"/>
      <c r="L850" s="238"/>
      <c r="M850" s="238"/>
    </row>
    <row r="851" ht="12.75" customHeight="1">
      <c r="A851" s="238"/>
      <c r="B851" s="235"/>
      <c r="C851" s="235"/>
      <c r="D851" s="236"/>
      <c r="E851" s="235"/>
      <c r="F851" s="235"/>
      <c r="G851" s="237"/>
      <c r="H851" s="235"/>
      <c r="I851" s="235"/>
      <c r="J851" s="235"/>
      <c r="K851" s="66"/>
      <c r="L851" s="238"/>
      <c r="M851" s="238"/>
    </row>
    <row r="852" ht="12.75" customHeight="1">
      <c r="A852" s="238"/>
      <c r="B852" s="235"/>
      <c r="C852" s="235"/>
      <c r="D852" s="236"/>
      <c r="E852" s="235"/>
      <c r="F852" s="235"/>
      <c r="G852" s="237"/>
      <c r="H852" s="235"/>
      <c r="I852" s="235"/>
      <c r="J852" s="235"/>
      <c r="K852" s="66"/>
      <c r="L852" s="238"/>
      <c r="M852" s="238"/>
    </row>
    <row r="853" ht="12.75" customHeight="1">
      <c r="A853" s="238"/>
      <c r="B853" s="235"/>
      <c r="C853" s="235"/>
      <c r="D853" s="236"/>
      <c r="E853" s="235"/>
      <c r="F853" s="235"/>
      <c r="G853" s="237"/>
      <c r="H853" s="235"/>
      <c r="I853" s="235"/>
      <c r="J853" s="235"/>
      <c r="K853" s="66"/>
      <c r="L853" s="238"/>
      <c r="M853" s="238"/>
    </row>
    <row r="854" ht="12.75" customHeight="1">
      <c r="A854" s="238"/>
      <c r="B854" s="235"/>
      <c r="C854" s="235"/>
      <c r="D854" s="236"/>
      <c r="E854" s="235"/>
      <c r="F854" s="235"/>
      <c r="G854" s="237"/>
      <c r="H854" s="235"/>
      <c r="I854" s="235"/>
      <c r="J854" s="235"/>
      <c r="K854" s="66"/>
      <c r="L854" s="238"/>
      <c r="M854" s="238"/>
    </row>
    <row r="855" ht="12.75" customHeight="1">
      <c r="A855" s="238"/>
      <c r="B855" s="235"/>
      <c r="C855" s="235"/>
      <c r="D855" s="236"/>
      <c r="E855" s="235"/>
      <c r="F855" s="235"/>
      <c r="G855" s="237"/>
      <c r="H855" s="235"/>
      <c r="I855" s="235"/>
      <c r="J855" s="235"/>
      <c r="K855" s="66"/>
      <c r="L855" s="238"/>
      <c r="M855" s="238"/>
    </row>
    <row r="856" ht="12.75" customHeight="1">
      <c r="A856" s="238"/>
      <c r="B856" s="235"/>
      <c r="C856" s="235"/>
      <c r="D856" s="236"/>
      <c r="E856" s="235"/>
      <c r="F856" s="235"/>
      <c r="G856" s="237"/>
      <c r="H856" s="235"/>
      <c r="I856" s="235"/>
      <c r="J856" s="235"/>
      <c r="K856" s="66"/>
      <c r="L856" s="238"/>
      <c r="M856" s="238"/>
    </row>
    <row r="857" ht="12.75" customHeight="1">
      <c r="A857" s="238"/>
      <c r="B857" s="235"/>
      <c r="C857" s="235"/>
      <c r="D857" s="236"/>
      <c r="E857" s="235"/>
      <c r="F857" s="235"/>
      <c r="G857" s="237"/>
      <c r="H857" s="235"/>
      <c r="I857" s="235"/>
      <c r="J857" s="235"/>
      <c r="K857" s="66"/>
      <c r="L857" s="238"/>
      <c r="M857" s="238"/>
    </row>
    <row r="858" ht="12.75" customHeight="1">
      <c r="A858" s="238"/>
      <c r="B858" s="235"/>
      <c r="C858" s="235"/>
      <c r="D858" s="236"/>
      <c r="E858" s="235"/>
      <c r="F858" s="235"/>
      <c r="G858" s="237"/>
      <c r="H858" s="235"/>
      <c r="I858" s="235"/>
      <c r="J858" s="235"/>
      <c r="K858" s="66"/>
      <c r="L858" s="238"/>
      <c r="M858" s="238"/>
    </row>
    <row r="859" ht="12.75" customHeight="1">
      <c r="A859" s="238"/>
      <c r="B859" s="235"/>
      <c r="C859" s="235"/>
      <c r="D859" s="236"/>
      <c r="E859" s="235"/>
      <c r="F859" s="235"/>
      <c r="G859" s="237"/>
      <c r="H859" s="235"/>
      <c r="I859" s="235"/>
      <c r="J859" s="235"/>
      <c r="K859" s="66"/>
      <c r="L859" s="238"/>
      <c r="M859" s="238"/>
    </row>
    <row r="860" ht="12.75" customHeight="1">
      <c r="A860" s="238"/>
      <c r="B860" s="235"/>
      <c r="C860" s="235"/>
      <c r="D860" s="236"/>
      <c r="E860" s="235"/>
      <c r="F860" s="235"/>
      <c r="G860" s="237"/>
      <c r="H860" s="235"/>
      <c r="I860" s="235"/>
      <c r="J860" s="235"/>
      <c r="K860" s="66"/>
      <c r="L860" s="238"/>
      <c r="M860" s="238"/>
    </row>
    <row r="861" ht="12.75" customHeight="1">
      <c r="A861" s="238"/>
      <c r="B861" s="235"/>
      <c r="C861" s="235"/>
      <c r="D861" s="236"/>
      <c r="E861" s="235"/>
      <c r="F861" s="235"/>
      <c r="G861" s="237"/>
      <c r="H861" s="235"/>
      <c r="I861" s="235"/>
      <c r="J861" s="235"/>
      <c r="K861" s="66"/>
      <c r="L861" s="238"/>
      <c r="M861" s="238"/>
    </row>
    <row r="862" ht="12.75" customHeight="1">
      <c r="A862" s="238"/>
      <c r="B862" s="235"/>
      <c r="C862" s="235"/>
      <c r="D862" s="236"/>
      <c r="E862" s="235"/>
      <c r="F862" s="235"/>
      <c r="G862" s="237"/>
      <c r="H862" s="235"/>
      <c r="I862" s="235"/>
      <c r="J862" s="235"/>
      <c r="K862" s="66"/>
      <c r="L862" s="238"/>
      <c r="M862" s="238"/>
    </row>
    <row r="863" ht="12.75" customHeight="1">
      <c r="A863" s="238"/>
      <c r="B863" s="235"/>
      <c r="C863" s="235"/>
      <c r="D863" s="236"/>
      <c r="E863" s="235"/>
      <c r="F863" s="235"/>
      <c r="G863" s="237"/>
      <c r="H863" s="235"/>
      <c r="I863" s="235"/>
      <c r="J863" s="235"/>
      <c r="K863" s="66"/>
      <c r="L863" s="238"/>
      <c r="M863" s="238"/>
    </row>
    <row r="864" ht="12.75" customHeight="1">
      <c r="A864" s="238"/>
      <c r="B864" s="235"/>
      <c r="C864" s="235"/>
      <c r="D864" s="236"/>
      <c r="E864" s="235"/>
      <c r="F864" s="235"/>
      <c r="G864" s="237"/>
      <c r="H864" s="235"/>
      <c r="I864" s="235"/>
      <c r="J864" s="235"/>
      <c r="K864" s="66"/>
      <c r="L864" s="238"/>
      <c r="M864" s="238"/>
    </row>
    <row r="865" ht="12.75" customHeight="1">
      <c r="A865" s="238"/>
      <c r="B865" s="235"/>
      <c r="C865" s="235"/>
      <c r="D865" s="236"/>
      <c r="E865" s="235"/>
      <c r="F865" s="235"/>
      <c r="G865" s="237"/>
      <c r="H865" s="235"/>
      <c r="I865" s="235"/>
      <c r="J865" s="235"/>
      <c r="K865" s="66"/>
      <c r="L865" s="238"/>
      <c r="M865" s="238"/>
    </row>
    <row r="866" ht="12.75" customHeight="1">
      <c r="A866" s="238"/>
      <c r="B866" s="235"/>
      <c r="C866" s="235"/>
      <c r="D866" s="236"/>
      <c r="E866" s="235"/>
      <c r="F866" s="235"/>
      <c r="G866" s="237"/>
      <c r="H866" s="235"/>
      <c r="I866" s="235"/>
      <c r="J866" s="235"/>
      <c r="K866" s="66"/>
      <c r="L866" s="238"/>
      <c r="M866" s="238"/>
    </row>
    <row r="867" ht="12.75" customHeight="1">
      <c r="A867" s="238"/>
      <c r="B867" s="235"/>
      <c r="C867" s="235"/>
      <c r="D867" s="236"/>
      <c r="E867" s="235"/>
      <c r="F867" s="235"/>
      <c r="G867" s="237"/>
      <c r="H867" s="235"/>
      <c r="I867" s="235"/>
      <c r="J867" s="235"/>
      <c r="K867" s="66"/>
      <c r="L867" s="238"/>
      <c r="M867" s="238"/>
    </row>
    <row r="868" ht="12.75" customHeight="1">
      <c r="A868" s="238"/>
      <c r="B868" s="235"/>
      <c r="C868" s="235"/>
      <c r="D868" s="236"/>
      <c r="E868" s="235"/>
      <c r="F868" s="235"/>
      <c r="G868" s="237"/>
      <c r="H868" s="235"/>
      <c r="I868" s="235"/>
      <c r="J868" s="235"/>
      <c r="K868" s="66"/>
      <c r="L868" s="238"/>
      <c r="M868" s="238"/>
    </row>
    <row r="869" ht="12.75" customHeight="1">
      <c r="A869" s="238"/>
      <c r="B869" s="235"/>
      <c r="C869" s="235"/>
      <c r="D869" s="236"/>
      <c r="E869" s="235"/>
      <c r="F869" s="235"/>
      <c r="G869" s="237"/>
      <c r="H869" s="235"/>
      <c r="I869" s="235"/>
      <c r="J869" s="235"/>
      <c r="K869" s="66"/>
      <c r="L869" s="238"/>
      <c r="M869" s="238"/>
    </row>
    <row r="870" ht="12.75" customHeight="1">
      <c r="A870" s="238"/>
      <c r="B870" s="235"/>
      <c r="C870" s="235"/>
      <c r="D870" s="236"/>
      <c r="E870" s="235"/>
      <c r="F870" s="235"/>
      <c r="G870" s="237"/>
      <c r="H870" s="235"/>
      <c r="I870" s="235"/>
      <c r="J870" s="235"/>
      <c r="K870" s="66"/>
      <c r="L870" s="238"/>
      <c r="M870" s="238"/>
    </row>
    <row r="871" ht="12.75" customHeight="1">
      <c r="A871" s="238"/>
      <c r="B871" s="235"/>
      <c r="C871" s="235"/>
      <c r="D871" s="236"/>
      <c r="E871" s="235"/>
      <c r="F871" s="235"/>
      <c r="G871" s="237"/>
      <c r="H871" s="235"/>
      <c r="I871" s="235"/>
      <c r="J871" s="235"/>
      <c r="K871" s="66"/>
      <c r="L871" s="238"/>
      <c r="M871" s="238"/>
    </row>
    <row r="872" ht="12.75" customHeight="1">
      <c r="A872" s="238"/>
      <c r="B872" s="235"/>
      <c r="C872" s="235"/>
      <c r="D872" s="236"/>
      <c r="E872" s="235"/>
      <c r="F872" s="235"/>
      <c r="G872" s="237"/>
      <c r="H872" s="235"/>
      <c r="I872" s="235"/>
      <c r="J872" s="235"/>
      <c r="K872" s="66"/>
      <c r="L872" s="238"/>
      <c r="M872" s="238"/>
    </row>
    <row r="873" ht="12.75" customHeight="1">
      <c r="A873" s="238"/>
      <c r="B873" s="235"/>
      <c r="C873" s="235"/>
      <c r="D873" s="236"/>
      <c r="E873" s="235"/>
      <c r="F873" s="235"/>
      <c r="G873" s="237"/>
      <c r="H873" s="235"/>
      <c r="I873" s="235"/>
      <c r="J873" s="235"/>
      <c r="K873" s="66"/>
      <c r="L873" s="238"/>
      <c r="M873" s="238"/>
    </row>
    <row r="874" ht="12.75" customHeight="1">
      <c r="A874" s="238"/>
      <c r="B874" s="235"/>
      <c r="C874" s="235"/>
      <c r="D874" s="236"/>
      <c r="E874" s="235"/>
      <c r="F874" s="235"/>
      <c r="G874" s="237"/>
      <c r="H874" s="235"/>
      <c r="I874" s="235"/>
      <c r="J874" s="235"/>
      <c r="K874" s="66"/>
      <c r="L874" s="238"/>
      <c r="M874" s="238"/>
    </row>
    <row r="875" ht="12.75" customHeight="1">
      <c r="A875" s="238"/>
      <c r="B875" s="235"/>
      <c r="C875" s="235"/>
      <c r="D875" s="236"/>
      <c r="E875" s="235"/>
      <c r="F875" s="235"/>
      <c r="G875" s="237"/>
      <c r="H875" s="235"/>
      <c r="I875" s="235"/>
      <c r="J875" s="235"/>
      <c r="K875" s="66"/>
      <c r="L875" s="238"/>
      <c r="M875" s="238"/>
    </row>
    <row r="876" ht="12.75" customHeight="1">
      <c r="A876" s="238"/>
      <c r="B876" s="235"/>
      <c r="C876" s="235"/>
      <c r="D876" s="236"/>
      <c r="E876" s="235"/>
      <c r="F876" s="235"/>
      <c r="G876" s="237"/>
      <c r="H876" s="235"/>
      <c r="I876" s="235"/>
      <c r="J876" s="235"/>
      <c r="K876" s="66"/>
      <c r="L876" s="238"/>
      <c r="M876" s="238"/>
    </row>
    <row r="877" ht="12.75" customHeight="1">
      <c r="A877" s="238"/>
      <c r="B877" s="235"/>
      <c r="C877" s="235"/>
      <c r="D877" s="236"/>
      <c r="E877" s="235"/>
      <c r="F877" s="235"/>
      <c r="G877" s="237"/>
      <c r="H877" s="235"/>
      <c r="I877" s="235"/>
      <c r="J877" s="235"/>
      <c r="K877" s="66"/>
      <c r="L877" s="238"/>
      <c r="M877" s="238"/>
    </row>
    <row r="878" ht="12.75" customHeight="1">
      <c r="A878" s="238"/>
      <c r="B878" s="235"/>
      <c r="C878" s="235"/>
      <c r="D878" s="236"/>
      <c r="E878" s="235"/>
      <c r="F878" s="235"/>
      <c r="G878" s="237"/>
      <c r="H878" s="235"/>
      <c r="I878" s="235"/>
      <c r="J878" s="235"/>
      <c r="K878" s="66"/>
      <c r="L878" s="238"/>
      <c r="M878" s="238"/>
    </row>
    <row r="879" ht="12.75" customHeight="1">
      <c r="A879" s="238"/>
      <c r="B879" s="235"/>
      <c r="C879" s="235"/>
      <c r="D879" s="236"/>
      <c r="E879" s="235"/>
      <c r="F879" s="235"/>
      <c r="G879" s="237"/>
      <c r="H879" s="235"/>
      <c r="I879" s="235"/>
      <c r="J879" s="235"/>
      <c r="K879" s="66"/>
      <c r="L879" s="238"/>
      <c r="M879" s="238"/>
    </row>
    <row r="880" ht="12.75" customHeight="1">
      <c r="A880" s="238"/>
      <c r="B880" s="235"/>
      <c r="C880" s="235"/>
      <c r="D880" s="236"/>
      <c r="E880" s="235"/>
      <c r="F880" s="235"/>
      <c r="G880" s="237"/>
      <c r="H880" s="235"/>
      <c r="I880" s="235"/>
      <c r="J880" s="235"/>
      <c r="K880" s="66"/>
      <c r="L880" s="238"/>
      <c r="M880" s="238"/>
    </row>
    <row r="881" ht="12.75" customHeight="1">
      <c r="A881" s="238"/>
      <c r="B881" s="235"/>
      <c r="C881" s="235"/>
      <c r="D881" s="236"/>
      <c r="E881" s="235"/>
      <c r="F881" s="235"/>
      <c r="G881" s="237"/>
      <c r="H881" s="235"/>
      <c r="I881" s="235"/>
      <c r="J881" s="235"/>
      <c r="K881" s="66"/>
      <c r="L881" s="238"/>
      <c r="M881" s="238"/>
    </row>
    <row r="882" ht="12.75" customHeight="1">
      <c r="A882" s="238"/>
      <c r="B882" s="235"/>
      <c r="C882" s="235"/>
      <c r="D882" s="236"/>
      <c r="E882" s="235"/>
      <c r="F882" s="235"/>
      <c r="G882" s="237"/>
      <c r="H882" s="235"/>
      <c r="I882" s="235"/>
      <c r="J882" s="235"/>
      <c r="K882" s="66"/>
      <c r="L882" s="238"/>
      <c r="M882" s="238"/>
    </row>
    <row r="883" ht="12.75" customHeight="1">
      <c r="A883" s="238"/>
      <c r="B883" s="235"/>
      <c r="C883" s="235"/>
      <c r="D883" s="236"/>
      <c r="E883" s="235"/>
      <c r="F883" s="235"/>
      <c r="G883" s="237"/>
      <c r="H883" s="235"/>
      <c r="I883" s="235"/>
      <c r="J883" s="235"/>
      <c r="K883" s="66"/>
      <c r="L883" s="238"/>
      <c r="M883" s="238"/>
    </row>
    <row r="884" ht="12.75" customHeight="1">
      <c r="A884" s="238"/>
      <c r="B884" s="235"/>
      <c r="C884" s="235"/>
      <c r="D884" s="236"/>
      <c r="E884" s="235"/>
      <c r="F884" s="235"/>
      <c r="G884" s="237"/>
      <c r="H884" s="235"/>
      <c r="I884" s="235"/>
      <c r="J884" s="235"/>
      <c r="K884" s="66"/>
      <c r="L884" s="238"/>
      <c r="M884" s="238"/>
    </row>
    <row r="885" ht="12.75" customHeight="1">
      <c r="A885" s="238"/>
      <c r="B885" s="235"/>
      <c r="C885" s="235"/>
      <c r="D885" s="236"/>
      <c r="E885" s="235"/>
      <c r="F885" s="235"/>
      <c r="G885" s="237"/>
      <c r="H885" s="235"/>
      <c r="I885" s="235"/>
      <c r="J885" s="235"/>
      <c r="K885" s="66"/>
      <c r="L885" s="238"/>
      <c r="M885" s="238"/>
    </row>
    <row r="886" ht="12.75" customHeight="1">
      <c r="A886" s="238"/>
      <c r="B886" s="235"/>
      <c r="C886" s="235"/>
      <c r="D886" s="236"/>
      <c r="E886" s="235"/>
      <c r="F886" s="235"/>
      <c r="G886" s="237"/>
      <c r="H886" s="235"/>
      <c r="I886" s="235"/>
      <c r="J886" s="235"/>
      <c r="K886" s="66"/>
      <c r="L886" s="238"/>
      <c r="M886" s="238"/>
    </row>
    <row r="887" ht="12.75" customHeight="1">
      <c r="A887" s="238"/>
      <c r="B887" s="235"/>
      <c r="C887" s="235"/>
      <c r="D887" s="236"/>
      <c r="E887" s="235"/>
      <c r="F887" s="235"/>
      <c r="G887" s="237"/>
      <c r="H887" s="235"/>
      <c r="I887" s="235"/>
      <c r="J887" s="235"/>
      <c r="K887" s="66"/>
      <c r="L887" s="238"/>
      <c r="M887" s="238"/>
    </row>
    <row r="888" ht="12.75" customHeight="1">
      <c r="A888" s="238"/>
      <c r="B888" s="235"/>
      <c r="C888" s="235"/>
      <c r="D888" s="236"/>
      <c r="E888" s="235"/>
      <c r="F888" s="235"/>
      <c r="G888" s="237"/>
      <c r="H888" s="235"/>
      <c r="I888" s="235"/>
      <c r="J888" s="235"/>
      <c r="K888" s="66"/>
      <c r="L888" s="238"/>
      <c r="M888" s="238"/>
    </row>
    <row r="889" ht="12.75" customHeight="1">
      <c r="A889" s="238"/>
      <c r="B889" s="235"/>
      <c r="C889" s="235"/>
      <c r="D889" s="236"/>
      <c r="E889" s="235"/>
      <c r="F889" s="235"/>
      <c r="G889" s="237"/>
      <c r="H889" s="235"/>
      <c r="I889" s="235"/>
      <c r="J889" s="235"/>
      <c r="K889" s="66"/>
      <c r="L889" s="238"/>
      <c r="M889" s="238"/>
    </row>
    <row r="890" ht="12.75" customHeight="1">
      <c r="A890" s="238"/>
      <c r="B890" s="235"/>
      <c r="C890" s="235"/>
      <c r="D890" s="236"/>
      <c r="E890" s="235"/>
      <c r="F890" s="235"/>
      <c r="G890" s="237"/>
      <c r="H890" s="235"/>
      <c r="I890" s="235"/>
      <c r="J890" s="235"/>
      <c r="K890" s="66"/>
      <c r="L890" s="238"/>
      <c r="M890" s="238"/>
    </row>
    <row r="891" ht="12.75" customHeight="1">
      <c r="A891" s="238"/>
      <c r="B891" s="235"/>
      <c r="C891" s="235"/>
      <c r="D891" s="236"/>
      <c r="E891" s="235"/>
      <c r="F891" s="235"/>
      <c r="G891" s="237"/>
      <c r="H891" s="235"/>
      <c r="I891" s="235"/>
      <c r="J891" s="235"/>
      <c r="K891" s="66"/>
      <c r="L891" s="238"/>
      <c r="M891" s="238"/>
    </row>
    <row r="892" ht="12.75" customHeight="1">
      <c r="A892" s="238"/>
      <c r="B892" s="235"/>
      <c r="C892" s="235"/>
      <c r="D892" s="236"/>
      <c r="E892" s="235"/>
      <c r="F892" s="235"/>
      <c r="G892" s="237"/>
      <c r="H892" s="235"/>
      <c r="I892" s="235"/>
      <c r="J892" s="235"/>
      <c r="K892" s="66"/>
      <c r="L892" s="238"/>
      <c r="M892" s="238"/>
    </row>
    <row r="893" ht="12.75" customHeight="1">
      <c r="A893" s="238"/>
      <c r="B893" s="235"/>
      <c r="C893" s="235"/>
      <c r="D893" s="236"/>
      <c r="E893" s="235"/>
      <c r="F893" s="235"/>
      <c r="G893" s="237"/>
      <c r="H893" s="235"/>
      <c r="I893" s="235"/>
      <c r="J893" s="235"/>
      <c r="K893" s="66"/>
      <c r="L893" s="238"/>
      <c r="M893" s="238"/>
    </row>
    <row r="894" ht="12.75" customHeight="1">
      <c r="A894" s="238"/>
      <c r="B894" s="235"/>
      <c r="C894" s="235"/>
      <c r="D894" s="236"/>
      <c r="E894" s="235"/>
      <c r="F894" s="235"/>
      <c r="G894" s="237"/>
      <c r="H894" s="235"/>
      <c r="I894" s="235"/>
      <c r="J894" s="235"/>
      <c r="K894" s="66"/>
      <c r="L894" s="238"/>
      <c r="M894" s="238"/>
    </row>
    <row r="895" ht="12.75" customHeight="1">
      <c r="A895" s="238"/>
      <c r="B895" s="235"/>
      <c r="C895" s="235"/>
      <c r="D895" s="236"/>
      <c r="E895" s="235"/>
      <c r="F895" s="235"/>
      <c r="G895" s="237"/>
      <c r="H895" s="235"/>
      <c r="I895" s="235"/>
      <c r="J895" s="235"/>
      <c r="K895" s="66"/>
      <c r="L895" s="238"/>
      <c r="M895" s="238"/>
    </row>
    <row r="896" ht="12.75" customHeight="1">
      <c r="A896" s="238"/>
      <c r="B896" s="235"/>
      <c r="C896" s="235"/>
      <c r="D896" s="236"/>
      <c r="E896" s="235"/>
      <c r="F896" s="235"/>
      <c r="G896" s="237"/>
      <c r="H896" s="235"/>
      <c r="I896" s="235"/>
      <c r="J896" s="235"/>
      <c r="K896" s="66"/>
      <c r="L896" s="238"/>
      <c r="M896" s="238"/>
    </row>
    <row r="897" ht="12.75" customHeight="1">
      <c r="A897" s="238"/>
      <c r="B897" s="235"/>
      <c r="C897" s="235"/>
      <c r="D897" s="236"/>
      <c r="E897" s="235"/>
      <c r="F897" s="235"/>
      <c r="G897" s="237"/>
      <c r="H897" s="235"/>
      <c r="I897" s="235"/>
      <c r="J897" s="235"/>
      <c r="K897" s="66"/>
      <c r="L897" s="238"/>
      <c r="M897" s="238"/>
    </row>
    <row r="898" ht="12.75" customHeight="1">
      <c r="A898" s="238"/>
      <c r="B898" s="235"/>
      <c r="C898" s="235"/>
      <c r="D898" s="236"/>
      <c r="E898" s="235"/>
      <c r="F898" s="235"/>
      <c r="G898" s="237"/>
      <c r="H898" s="235"/>
      <c r="I898" s="235"/>
      <c r="J898" s="235"/>
      <c r="K898" s="66"/>
      <c r="L898" s="238"/>
      <c r="M898" s="238"/>
    </row>
    <row r="899" ht="12.75" customHeight="1">
      <c r="A899" s="238"/>
      <c r="B899" s="235"/>
      <c r="C899" s="235"/>
      <c r="D899" s="236"/>
      <c r="E899" s="235"/>
      <c r="F899" s="235"/>
      <c r="G899" s="237"/>
      <c r="H899" s="235"/>
      <c r="I899" s="235"/>
      <c r="J899" s="235"/>
      <c r="K899" s="66"/>
      <c r="L899" s="238"/>
      <c r="M899" s="238"/>
    </row>
    <row r="900" ht="12.75" customHeight="1">
      <c r="A900" s="238"/>
      <c r="B900" s="235"/>
      <c r="C900" s="235"/>
      <c r="D900" s="236"/>
      <c r="E900" s="235"/>
      <c r="F900" s="235"/>
      <c r="G900" s="237"/>
      <c r="H900" s="235"/>
      <c r="I900" s="235"/>
      <c r="J900" s="235"/>
      <c r="K900" s="66"/>
      <c r="L900" s="238"/>
      <c r="M900" s="238"/>
    </row>
    <row r="901" ht="12.75" customHeight="1">
      <c r="A901" s="238"/>
      <c r="B901" s="235"/>
      <c r="C901" s="235"/>
      <c r="D901" s="236"/>
      <c r="E901" s="235"/>
      <c r="F901" s="235"/>
      <c r="G901" s="237"/>
      <c r="H901" s="235"/>
      <c r="I901" s="235"/>
      <c r="J901" s="235"/>
      <c r="K901" s="66"/>
      <c r="L901" s="238"/>
      <c r="M901" s="238"/>
    </row>
    <row r="902" ht="12.75" customHeight="1">
      <c r="A902" s="238"/>
      <c r="B902" s="235"/>
      <c r="C902" s="235"/>
      <c r="D902" s="236"/>
      <c r="E902" s="235"/>
      <c r="F902" s="235"/>
      <c r="G902" s="237"/>
      <c r="H902" s="235"/>
      <c r="I902" s="235"/>
      <c r="J902" s="235"/>
      <c r="K902" s="66"/>
      <c r="L902" s="238"/>
      <c r="M902" s="238"/>
    </row>
    <row r="903" ht="12.75" customHeight="1">
      <c r="A903" s="238"/>
      <c r="B903" s="235"/>
      <c r="C903" s="235"/>
      <c r="D903" s="236"/>
      <c r="E903" s="235"/>
      <c r="F903" s="235"/>
      <c r="G903" s="237"/>
      <c r="H903" s="235"/>
      <c r="I903" s="235"/>
      <c r="J903" s="235"/>
      <c r="K903" s="66"/>
      <c r="L903" s="238"/>
      <c r="M903" s="238"/>
    </row>
    <row r="904" ht="12.75" customHeight="1">
      <c r="A904" s="238"/>
      <c r="B904" s="235"/>
      <c r="C904" s="235"/>
      <c r="D904" s="236"/>
      <c r="E904" s="235"/>
      <c r="F904" s="235"/>
      <c r="G904" s="237"/>
      <c r="H904" s="235"/>
      <c r="I904" s="235"/>
      <c r="J904" s="235"/>
      <c r="K904" s="66"/>
      <c r="L904" s="238"/>
      <c r="M904" s="238"/>
    </row>
    <row r="905" ht="12.75" customHeight="1">
      <c r="A905" s="238"/>
      <c r="B905" s="235"/>
      <c r="C905" s="235"/>
      <c r="D905" s="236"/>
      <c r="E905" s="235"/>
      <c r="F905" s="235"/>
      <c r="G905" s="237"/>
      <c r="H905" s="235"/>
      <c r="I905" s="235"/>
      <c r="J905" s="235"/>
      <c r="K905" s="66"/>
      <c r="L905" s="238"/>
      <c r="M905" s="238"/>
    </row>
    <row r="906" ht="12.75" customHeight="1">
      <c r="A906" s="238"/>
      <c r="B906" s="235"/>
      <c r="C906" s="235"/>
      <c r="D906" s="236"/>
      <c r="E906" s="235"/>
      <c r="F906" s="235"/>
      <c r="G906" s="237"/>
      <c r="H906" s="235"/>
      <c r="I906" s="235"/>
      <c r="J906" s="235"/>
      <c r="K906" s="66"/>
      <c r="L906" s="238"/>
      <c r="M906" s="238"/>
    </row>
    <row r="907" ht="12.75" customHeight="1">
      <c r="A907" s="238"/>
      <c r="B907" s="235"/>
      <c r="C907" s="235"/>
      <c r="D907" s="236"/>
      <c r="E907" s="235"/>
      <c r="F907" s="235"/>
      <c r="G907" s="237"/>
      <c r="H907" s="235"/>
      <c r="I907" s="235"/>
      <c r="J907" s="235"/>
      <c r="K907" s="66"/>
      <c r="L907" s="238"/>
      <c r="M907" s="238"/>
    </row>
    <row r="908" ht="12.75" customHeight="1">
      <c r="A908" s="238"/>
      <c r="B908" s="235"/>
      <c r="C908" s="235"/>
      <c r="D908" s="236"/>
      <c r="E908" s="235"/>
      <c r="F908" s="235"/>
      <c r="G908" s="237"/>
      <c r="H908" s="235"/>
      <c r="I908" s="235"/>
      <c r="J908" s="235"/>
      <c r="K908" s="66"/>
      <c r="L908" s="238"/>
      <c r="M908" s="238"/>
    </row>
    <row r="909" ht="12.75" customHeight="1">
      <c r="A909" s="238"/>
      <c r="B909" s="235"/>
      <c r="C909" s="235"/>
      <c r="D909" s="236"/>
      <c r="E909" s="235"/>
      <c r="F909" s="235"/>
      <c r="G909" s="237"/>
      <c r="H909" s="235"/>
      <c r="I909" s="235"/>
      <c r="J909" s="235"/>
      <c r="K909" s="66"/>
      <c r="L909" s="238"/>
      <c r="M909" s="238"/>
    </row>
    <row r="910" ht="12.75" customHeight="1">
      <c r="A910" s="238"/>
      <c r="B910" s="235"/>
      <c r="C910" s="235"/>
      <c r="D910" s="236"/>
      <c r="E910" s="235"/>
      <c r="F910" s="235"/>
      <c r="G910" s="237"/>
      <c r="H910" s="235"/>
      <c r="I910" s="235"/>
      <c r="J910" s="235"/>
      <c r="K910" s="66"/>
      <c r="L910" s="238"/>
      <c r="M910" s="238"/>
    </row>
    <row r="911" ht="12.75" customHeight="1">
      <c r="A911" s="238"/>
      <c r="B911" s="235"/>
      <c r="C911" s="235"/>
      <c r="D911" s="236"/>
      <c r="E911" s="235"/>
      <c r="F911" s="235"/>
      <c r="G911" s="237"/>
      <c r="H911" s="235"/>
      <c r="I911" s="235"/>
      <c r="J911" s="235"/>
      <c r="K911" s="66"/>
      <c r="L911" s="238"/>
      <c r="M911" s="238"/>
    </row>
    <row r="912" ht="12.75" customHeight="1">
      <c r="A912" s="238"/>
      <c r="B912" s="235"/>
      <c r="C912" s="235"/>
      <c r="D912" s="236"/>
      <c r="E912" s="235"/>
      <c r="F912" s="235"/>
      <c r="G912" s="237"/>
      <c r="H912" s="235"/>
      <c r="I912" s="235"/>
      <c r="J912" s="235"/>
      <c r="K912" s="66"/>
      <c r="L912" s="238"/>
      <c r="M912" s="238"/>
    </row>
    <row r="913" ht="12.75" customHeight="1">
      <c r="A913" s="238"/>
      <c r="B913" s="235"/>
      <c r="C913" s="235"/>
      <c r="D913" s="236"/>
      <c r="E913" s="235"/>
      <c r="F913" s="235"/>
      <c r="G913" s="237"/>
      <c r="H913" s="235"/>
      <c r="I913" s="235"/>
      <c r="J913" s="235"/>
      <c r="K913" s="66"/>
      <c r="L913" s="238"/>
      <c r="M913" s="238"/>
    </row>
    <row r="914" ht="12.75" customHeight="1">
      <c r="A914" s="238"/>
      <c r="B914" s="235"/>
      <c r="C914" s="235"/>
      <c r="D914" s="236"/>
      <c r="E914" s="235"/>
      <c r="F914" s="235"/>
      <c r="G914" s="237"/>
      <c r="H914" s="235"/>
      <c r="I914" s="235"/>
      <c r="J914" s="235"/>
      <c r="K914" s="66"/>
      <c r="L914" s="238"/>
      <c r="M914" s="238"/>
    </row>
    <row r="915" ht="12.75" customHeight="1">
      <c r="A915" s="238"/>
      <c r="B915" s="235"/>
      <c r="C915" s="235"/>
      <c r="D915" s="236"/>
      <c r="E915" s="235"/>
      <c r="F915" s="235"/>
      <c r="G915" s="237"/>
      <c r="H915" s="235"/>
      <c r="I915" s="235"/>
      <c r="J915" s="235"/>
      <c r="K915" s="66"/>
      <c r="L915" s="238"/>
      <c r="M915" s="238"/>
    </row>
    <row r="916" ht="12.75" customHeight="1">
      <c r="A916" s="238"/>
      <c r="B916" s="235"/>
      <c r="C916" s="235"/>
      <c r="D916" s="236"/>
      <c r="E916" s="235"/>
      <c r="F916" s="235"/>
      <c r="G916" s="237"/>
      <c r="H916" s="235"/>
      <c r="I916" s="235"/>
      <c r="J916" s="235"/>
      <c r="K916" s="66"/>
      <c r="L916" s="238"/>
      <c r="M916" s="238"/>
    </row>
    <row r="917" ht="12.75" customHeight="1">
      <c r="A917" s="238"/>
      <c r="B917" s="235"/>
      <c r="C917" s="235"/>
      <c r="D917" s="236"/>
      <c r="E917" s="235"/>
      <c r="F917" s="235"/>
      <c r="G917" s="237"/>
      <c r="H917" s="235"/>
      <c r="I917" s="235"/>
      <c r="J917" s="235"/>
      <c r="K917" s="66"/>
      <c r="L917" s="238"/>
      <c r="M917" s="238"/>
    </row>
    <row r="918" ht="12.75" customHeight="1">
      <c r="A918" s="238"/>
      <c r="B918" s="235"/>
      <c r="C918" s="235"/>
      <c r="D918" s="236"/>
      <c r="E918" s="235"/>
      <c r="F918" s="235"/>
      <c r="G918" s="237"/>
      <c r="H918" s="235"/>
      <c r="I918" s="235"/>
      <c r="J918" s="235"/>
      <c r="K918" s="66"/>
      <c r="L918" s="238"/>
      <c r="M918" s="238"/>
    </row>
    <row r="919" ht="12.75" customHeight="1">
      <c r="A919" s="238"/>
      <c r="B919" s="235"/>
      <c r="C919" s="235"/>
      <c r="D919" s="236"/>
      <c r="E919" s="235"/>
      <c r="F919" s="235"/>
      <c r="G919" s="237"/>
      <c r="H919" s="235"/>
      <c r="I919" s="235"/>
      <c r="J919" s="235"/>
      <c r="K919" s="66"/>
      <c r="L919" s="238"/>
      <c r="M919" s="238"/>
    </row>
    <row r="920" ht="12.75" customHeight="1">
      <c r="A920" s="238"/>
      <c r="B920" s="235"/>
      <c r="C920" s="235"/>
      <c r="D920" s="236"/>
      <c r="E920" s="235"/>
      <c r="F920" s="235"/>
      <c r="G920" s="237"/>
      <c r="H920" s="235"/>
      <c r="I920" s="235"/>
      <c r="J920" s="235"/>
      <c r="K920" s="66"/>
      <c r="L920" s="238"/>
      <c r="M920" s="238"/>
    </row>
    <row r="921" ht="12.75" customHeight="1">
      <c r="A921" s="238"/>
      <c r="B921" s="235"/>
      <c r="C921" s="235"/>
      <c r="D921" s="236"/>
      <c r="E921" s="235"/>
      <c r="F921" s="235"/>
      <c r="G921" s="237"/>
      <c r="H921" s="235"/>
      <c r="I921" s="235"/>
      <c r="J921" s="235"/>
      <c r="K921" s="66"/>
      <c r="L921" s="238"/>
      <c r="M921" s="238"/>
    </row>
    <row r="922" ht="12.75" customHeight="1">
      <c r="A922" s="238"/>
      <c r="B922" s="235"/>
      <c r="C922" s="235"/>
      <c r="D922" s="236"/>
      <c r="E922" s="235"/>
      <c r="F922" s="235"/>
      <c r="G922" s="237"/>
      <c r="H922" s="235"/>
      <c r="I922" s="235"/>
      <c r="J922" s="235"/>
      <c r="K922" s="66"/>
      <c r="L922" s="238"/>
      <c r="M922" s="238"/>
    </row>
    <row r="923" ht="12.75" customHeight="1">
      <c r="A923" s="238"/>
      <c r="B923" s="235"/>
      <c r="C923" s="235"/>
      <c r="D923" s="236"/>
      <c r="E923" s="235"/>
      <c r="F923" s="235"/>
      <c r="G923" s="237"/>
      <c r="H923" s="235"/>
      <c r="I923" s="235"/>
      <c r="J923" s="235"/>
      <c r="K923" s="66"/>
      <c r="L923" s="238"/>
      <c r="M923" s="238"/>
    </row>
    <row r="924" ht="12.75" customHeight="1">
      <c r="A924" s="238"/>
      <c r="B924" s="235"/>
      <c r="C924" s="235"/>
      <c r="D924" s="236"/>
      <c r="E924" s="235"/>
      <c r="F924" s="235"/>
      <c r="G924" s="237"/>
      <c r="H924" s="235"/>
      <c r="I924" s="235"/>
      <c r="J924" s="235"/>
      <c r="K924" s="66"/>
      <c r="L924" s="238"/>
      <c r="M924" s="238"/>
    </row>
    <row r="925" ht="12.75" customHeight="1">
      <c r="A925" s="238"/>
      <c r="B925" s="235"/>
      <c r="C925" s="235"/>
      <c r="D925" s="236"/>
      <c r="E925" s="235"/>
      <c r="F925" s="235"/>
      <c r="G925" s="237"/>
      <c r="H925" s="235"/>
      <c r="I925" s="235"/>
      <c r="J925" s="235"/>
      <c r="K925" s="66"/>
      <c r="L925" s="238"/>
      <c r="M925" s="238"/>
    </row>
    <row r="926" ht="12.75" customHeight="1">
      <c r="A926" s="238"/>
      <c r="B926" s="235"/>
      <c r="C926" s="235"/>
      <c r="D926" s="236"/>
      <c r="E926" s="235"/>
      <c r="F926" s="235"/>
      <c r="G926" s="237"/>
      <c r="H926" s="235"/>
      <c r="I926" s="235"/>
      <c r="J926" s="235"/>
      <c r="K926" s="66"/>
      <c r="L926" s="238"/>
      <c r="M926" s="238"/>
    </row>
    <row r="927" ht="12.75" customHeight="1">
      <c r="A927" s="238"/>
      <c r="B927" s="235"/>
      <c r="C927" s="235"/>
      <c r="D927" s="236"/>
      <c r="E927" s="235"/>
      <c r="F927" s="235"/>
      <c r="G927" s="237"/>
      <c r="H927" s="235"/>
      <c r="I927" s="235"/>
      <c r="J927" s="235"/>
      <c r="K927" s="66"/>
      <c r="L927" s="238"/>
      <c r="M927" s="238"/>
    </row>
    <row r="928" ht="12.75" customHeight="1">
      <c r="A928" s="238"/>
      <c r="B928" s="235"/>
      <c r="C928" s="235"/>
      <c r="D928" s="236"/>
      <c r="E928" s="235"/>
      <c r="F928" s="235"/>
      <c r="G928" s="237"/>
      <c r="H928" s="235"/>
      <c r="I928" s="235"/>
      <c r="J928" s="235"/>
      <c r="K928" s="66"/>
      <c r="L928" s="238"/>
      <c r="M928" s="238"/>
    </row>
    <row r="929" ht="12.75" customHeight="1">
      <c r="A929" s="238"/>
      <c r="B929" s="235"/>
      <c r="C929" s="235"/>
      <c r="D929" s="236"/>
      <c r="E929" s="235"/>
      <c r="F929" s="235"/>
      <c r="G929" s="237"/>
      <c r="H929" s="235"/>
      <c r="I929" s="235"/>
      <c r="J929" s="235"/>
      <c r="K929" s="66"/>
      <c r="L929" s="238"/>
      <c r="M929" s="238"/>
    </row>
    <row r="930" ht="12.75" customHeight="1">
      <c r="A930" s="238"/>
      <c r="B930" s="235"/>
      <c r="C930" s="235"/>
      <c r="D930" s="236"/>
      <c r="E930" s="235"/>
      <c r="F930" s="235"/>
      <c r="G930" s="237"/>
      <c r="H930" s="235"/>
      <c r="I930" s="235"/>
      <c r="J930" s="235"/>
      <c r="K930" s="66"/>
      <c r="L930" s="238"/>
      <c r="M930" s="238"/>
    </row>
    <row r="931" ht="12.75" customHeight="1">
      <c r="A931" s="238"/>
      <c r="B931" s="235"/>
      <c r="C931" s="235"/>
      <c r="D931" s="236"/>
      <c r="E931" s="235"/>
      <c r="F931" s="235"/>
      <c r="G931" s="237"/>
      <c r="H931" s="235"/>
      <c r="I931" s="235"/>
      <c r="J931" s="235"/>
      <c r="K931" s="66"/>
      <c r="L931" s="238"/>
      <c r="M931" s="238"/>
    </row>
    <row r="932" ht="12.75" customHeight="1">
      <c r="A932" s="238"/>
      <c r="B932" s="235"/>
      <c r="C932" s="235"/>
      <c r="D932" s="236"/>
      <c r="E932" s="235"/>
      <c r="F932" s="235"/>
      <c r="G932" s="237"/>
      <c r="H932" s="235"/>
      <c r="I932" s="235"/>
      <c r="J932" s="235"/>
      <c r="K932" s="66"/>
      <c r="L932" s="238"/>
      <c r="M932" s="238"/>
    </row>
    <row r="933" ht="12.75" customHeight="1">
      <c r="A933" s="238"/>
      <c r="B933" s="235"/>
      <c r="C933" s="235"/>
      <c r="D933" s="236"/>
      <c r="E933" s="235"/>
      <c r="F933" s="235"/>
      <c r="G933" s="237"/>
      <c r="H933" s="235"/>
      <c r="I933" s="235"/>
      <c r="J933" s="235"/>
      <c r="K933" s="66"/>
      <c r="L933" s="238"/>
      <c r="M933" s="238"/>
    </row>
    <row r="934" ht="12.75" customHeight="1">
      <c r="A934" s="238"/>
      <c r="B934" s="235"/>
      <c r="C934" s="235"/>
      <c r="D934" s="236"/>
      <c r="E934" s="235"/>
      <c r="F934" s="235"/>
      <c r="G934" s="237"/>
      <c r="H934" s="235"/>
      <c r="I934" s="235"/>
      <c r="J934" s="235"/>
      <c r="K934" s="66"/>
      <c r="L934" s="238"/>
      <c r="M934" s="238"/>
    </row>
    <row r="935" ht="12.75" customHeight="1">
      <c r="A935" s="238"/>
      <c r="B935" s="235"/>
      <c r="C935" s="235"/>
      <c r="D935" s="236"/>
      <c r="E935" s="235"/>
      <c r="F935" s="235"/>
      <c r="G935" s="237"/>
      <c r="H935" s="235"/>
      <c r="I935" s="235"/>
      <c r="J935" s="235"/>
      <c r="K935" s="66"/>
      <c r="L935" s="238"/>
      <c r="M935" s="238"/>
    </row>
    <row r="936" ht="12.75" customHeight="1">
      <c r="A936" s="238"/>
      <c r="B936" s="235"/>
      <c r="C936" s="235"/>
      <c r="D936" s="236"/>
      <c r="E936" s="235"/>
      <c r="F936" s="235"/>
      <c r="G936" s="237"/>
      <c r="H936" s="235"/>
      <c r="I936" s="235"/>
      <c r="J936" s="235"/>
      <c r="K936" s="66"/>
      <c r="L936" s="238"/>
      <c r="M936" s="238"/>
    </row>
    <row r="937" ht="12.75" customHeight="1">
      <c r="A937" s="238"/>
      <c r="B937" s="235"/>
      <c r="C937" s="235"/>
      <c r="D937" s="236"/>
      <c r="E937" s="235"/>
      <c r="F937" s="235"/>
      <c r="G937" s="237"/>
      <c r="H937" s="235"/>
      <c r="I937" s="235"/>
      <c r="J937" s="235"/>
      <c r="K937" s="66"/>
      <c r="L937" s="238"/>
      <c r="M937" s="238"/>
    </row>
    <row r="938" ht="12.75" customHeight="1">
      <c r="A938" s="238"/>
      <c r="B938" s="235"/>
      <c r="C938" s="235"/>
      <c r="D938" s="236"/>
      <c r="E938" s="235"/>
      <c r="F938" s="235"/>
      <c r="G938" s="237"/>
      <c r="H938" s="235"/>
      <c r="I938" s="235"/>
      <c r="J938" s="235"/>
      <c r="K938" s="66"/>
      <c r="L938" s="238"/>
      <c r="M938" s="238"/>
    </row>
    <row r="939" ht="12.75" customHeight="1">
      <c r="A939" s="238"/>
      <c r="B939" s="235"/>
      <c r="C939" s="235"/>
      <c r="D939" s="236"/>
      <c r="E939" s="235"/>
      <c r="F939" s="235"/>
      <c r="G939" s="237"/>
      <c r="H939" s="235"/>
      <c r="I939" s="235"/>
      <c r="J939" s="235"/>
      <c r="K939" s="66"/>
      <c r="L939" s="238"/>
      <c r="M939" s="238"/>
    </row>
    <row r="940" ht="12.75" customHeight="1">
      <c r="A940" s="238"/>
      <c r="B940" s="235"/>
      <c r="C940" s="235"/>
      <c r="D940" s="236"/>
      <c r="E940" s="235"/>
      <c r="F940" s="235"/>
      <c r="G940" s="237"/>
      <c r="H940" s="235"/>
      <c r="I940" s="235"/>
      <c r="J940" s="235"/>
      <c r="K940" s="66"/>
      <c r="L940" s="238"/>
      <c r="M940" s="238"/>
    </row>
    <row r="941" ht="12.75" customHeight="1">
      <c r="A941" s="238"/>
      <c r="B941" s="235"/>
      <c r="C941" s="235"/>
      <c r="D941" s="236"/>
      <c r="E941" s="235"/>
      <c r="F941" s="235"/>
      <c r="G941" s="237"/>
      <c r="H941" s="235"/>
      <c r="I941" s="235"/>
      <c r="J941" s="235"/>
      <c r="K941" s="66"/>
      <c r="L941" s="238"/>
      <c r="M941" s="238"/>
    </row>
    <row r="942" ht="12.75" customHeight="1">
      <c r="A942" s="238"/>
      <c r="B942" s="235"/>
      <c r="C942" s="235"/>
      <c r="D942" s="236"/>
      <c r="E942" s="235"/>
      <c r="F942" s="235"/>
      <c r="G942" s="237"/>
      <c r="H942" s="235"/>
      <c r="I942" s="235"/>
      <c r="J942" s="235"/>
      <c r="K942" s="66"/>
      <c r="L942" s="238"/>
      <c r="M942" s="238"/>
    </row>
    <row r="943" ht="12.75" customHeight="1">
      <c r="A943" s="238"/>
      <c r="B943" s="235"/>
      <c r="C943" s="235"/>
      <c r="D943" s="236"/>
      <c r="E943" s="235"/>
      <c r="F943" s="235"/>
      <c r="G943" s="237"/>
      <c r="H943" s="235"/>
      <c r="I943" s="235"/>
      <c r="J943" s="235"/>
      <c r="K943" s="66"/>
      <c r="L943" s="238"/>
      <c r="M943" s="238"/>
    </row>
    <row r="944" ht="12.75" customHeight="1">
      <c r="A944" s="238"/>
      <c r="B944" s="235"/>
      <c r="C944" s="235"/>
      <c r="D944" s="236"/>
      <c r="E944" s="235"/>
      <c r="F944" s="235"/>
      <c r="G944" s="237"/>
      <c r="H944" s="235"/>
      <c r="I944" s="235"/>
      <c r="J944" s="235"/>
      <c r="K944" s="66"/>
      <c r="L944" s="238"/>
      <c r="M944" s="238"/>
    </row>
    <row r="945" ht="12.75" customHeight="1">
      <c r="A945" s="238"/>
      <c r="B945" s="235"/>
      <c r="C945" s="235"/>
      <c r="D945" s="236"/>
      <c r="E945" s="235"/>
      <c r="F945" s="235"/>
      <c r="G945" s="237"/>
      <c r="H945" s="235"/>
      <c r="I945" s="235"/>
      <c r="J945" s="235"/>
      <c r="K945" s="66"/>
      <c r="L945" s="238"/>
      <c r="M945" s="238"/>
    </row>
    <row r="946" ht="12.75" customHeight="1">
      <c r="A946" s="238"/>
      <c r="B946" s="235"/>
      <c r="C946" s="235"/>
      <c r="D946" s="236"/>
      <c r="E946" s="235"/>
      <c r="F946" s="235"/>
      <c r="G946" s="237"/>
      <c r="H946" s="235"/>
      <c r="I946" s="235"/>
      <c r="J946" s="235"/>
      <c r="K946" s="66"/>
      <c r="L946" s="238"/>
      <c r="M946" s="238"/>
    </row>
    <row r="947" ht="12.75" customHeight="1">
      <c r="A947" s="238"/>
      <c r="B947" s="235"/>
      <c r="C947" s="235"/>
      <c r="D947" s="236"/>
      <c r="E947" s="235"/>
      <c r="F947" s="235"/>
      <c r="G947" s="237"/>
      <c r="H947" s="235"/>
      <c r="I947" s="235"/>
      <c r="J947" s="235"/>
      <c r="K947" s="66"/>
      <c r="L947" s="238"/>
      <c r="M947" s="238"/>
    </row>
    <row r="948" ht="12.75" customHeight="1">
      <c r="A948" s="238"/>
      <c r="B948" s="235"/>
      <c r="C948" s="235"/>
      <c r="D948" s="236"/>
      <c r="E948" s="235"/>
      <c r="F948" s="235"/>
      <c r="G948" s="237"/>
      <c r="H948" s="235"/>
      <c r="I948" s="235"/>
      <c r="J948" s="235"/>
      <c r="K948" s="66"/>
      <c r="L948" s="238"/>
      <c r="M948" s="238"/>
    </row>
    <row r="949" ht="12.75" customHeight="1">
      <c r="A949" s="238"/>
      <c r="B949" s="235"/>
      <c r="C949" s="235"/>
      <c r="D949" s="236"/>
      <c r="E949" s="235"/>
      <c r="F949" s="235"/>
      <c r="G949" s="237"/>
      <c r="H949" s="235"/>
      <c r="I949" s="235"/>
      <c r="J949" s="235"/>
      <c r="K949" s="66"/>
      <c r="L949" s="238"/>
      <c r="M949" s="238"/>
    </row>
    <row r="950" ht="12.75" customHeight="1">
      <c r="A950" s="238"/>
      <c r="B950" s="235"/>
      <c r="C950" s="235"/>
      <c r="D950" s="236"/>
      <c r="E950" s="235"/>
      <c r="F950" s="235"/>
      <c r="G950" s="237"/>
      <c r="H950" s="235"/>
      <c r="I950" s="235"/>
      <c r="J950" s="235"/>
      <c r="K950" s="66"/>
      <c r="L950" s="238"/>
      <c r="M950" s="238"/>
    </row>
    <row r="951" ht="12.75" customHeight="1">
      <c r="A951" s="238"/>
      <c r="B951" s="235"/>
      <c r="C951" s="235"/>
      <c r="D951" s="236"/>
      <c r="E951" s="235"/>
      <c r="F951" s="235"/>
      <c r="G951" s="237"/>
      <c r="H951" s="235"/>
      <c r="I951" s="235"/>
      <c r="J951" s="235"/>
      <c r="K951" s="66"/>
      <c r="L951" s="238"/>
      <c r="M951" s="238"/>
    </row>
    <row r="952" ht="12.75" customHeight="1">
      <c r="A952" s="238"/>
      <c r="B952" s="235"/>
      <c r="C952" s="235"/>
      <c r="D952" s="236"/>
      <c r="E952" s="235"/>
      <c r="F952" s="235"/>
      <c r="G952" s="237"/>
      <c r="H952" s="235"/>
      <c r="I952" s="235"/>
      <c r="J952" s="235"/>
      <c r="K952" s="66"/>
      <c r="L952" s="238"/>
      <c r="M952" s="238"/>
    </row>
    <row r="953" ht="12.75" customHeight="1">
      <c r="A953" s="238"/>
      <c r="B953" s="235"/>
      <c r="C953" s="235"/>
      <c r="D953" s="236"/>
      <c r="E953" s="235"/>
      <c r="F953" s="235"/>
      <c r="G953" s="237"/>
      <c r="H953" s="235"/>
      <c r="I953" s="235"/>
      <c r="J953" s="235"/>
      <c r="K953" s="66"/>
      <c r="L953" s="238"/>
      <c r="M953" s="238"/>
    </row>
    <row r="954" ht="12.75" customHeight="1">
      <c r="A954" s="238"/>
      <c r="B954" s="235"/>
      <c r="C954" s="235"/>
      <c r="D954" s="236"/>
      <c r="E954" s="235"/>
      <c r="F954" s="235"/>
      <c r="G954" s="237"/>
      <c r="H954" s="235"/>
      <c r="I954" s="235"/>
      <c r="J954" s="235"/>
      <c r="K954" s="66"/>
      <c r="L954" s="238"/>
      <c r="M954" s="238"/>
    </row>
    <row r="955" ht="12.75" customHeight="1">
      <c r="A955" s="238"/>
      <c r="B955" s="235"/>
      <c r="C955" s="235"/>
      <c r="D955" s="236"/>
      <c r="E955" s="235"/>
      <c r="F955" s="235"/>
      <c r="G955" s="237"/>
      <c r="H955" s="235"/>
      <c r="I955" s="235"/>
      <c r="J955" s="235"/>
      <c r="K955" s="66"/>
      <c r="L955" s="238"/>
      <c r="M955" s="238"/>
    </row>
    <row r="956" ht="12.75" customHeight="1">
      <c r="A956" s="238"/>
      <c r="B956" s="235"/>
      <c r="C956" s="235"/>
      <c r="D956" s="236"/>
      <c r="E956" s="235"/>
      <c r="F956" s="235"/>
      <c r="G956" s="237"/>
      <c r="H956" s="235"/>
      <c r="I956" s="235"/>
      <c r="J956" s="235"/>
      <c r="K956" s="66"/>
      <c r="L956" s="238"/>
      <c r="M956" s="238"/>
    </row>
    <row r="957" ht="12.75" customHeight="1">
      <c r="A957" s="238"/>
      <c r="B957" s="235"/>
      <c r="C957" s="235"/>
      <c r="D957" s="236"/>
      <c r="E957" s="235"/>
      <c r="F957" s="235"/>
      <c r="G957" s="237"/>
      <c r="H957" s="235"/>
      <c r="I957" s="235"/>
      <c r="J957" s="235"/>
      <c r="K957" s="66"/>
      <c r="L957" s="238"/>
      <c r="M957" s="238"/>
    </row>
    <row r="958" ht="12.75" customHeight="1">
      <c r="A958" s="238"/>
      <c r="B958" s="235"/>
      <c r="C958" s="235"/>
      <c r="D958" s="236"/>
      <c r="E958" s="235"/>
      <c r="F958" s="235"/>
      <c r="G958" s="237"/>
      <c r="H958" s="235"/>
      <c r="I958" s="235"/>
      <c r="J958" s="235"/>
      <c r="K958" s="66"/>
      <c r="L958" s="238"/>
      <c r="M958" s="238"/>
    </row>
    <row r="959" ht="12.75" customHeight="1">
      <c r="A959" s="238"/>
      <c r="B959" s="235"/>
      <c r="C959" s="235"/>
      <c r="D959" s="236"/>
      <c r="E959" s="235"/>
      <c r="F959" s="235"/>
      <c r="G959" s="237"/>
      <c r="H959" s="235"/>
      <c r="I959" s="235"/>
      <c r="J959" s="235"/>
      <c r="K959" s="66"/>
      <c r="L959" s="238"/>
      <c r="M959" s="238"/>
    </row>
    <row r="960" ht="12.75" customHeight="1">
      <c r="A960" s="238"/>
      <c r="B960" s="235"/>
      <c r="C960" s="235"/>
      <c r="D960" s="236"/>
      <c r="E960" s="235"/>
      <c r="F960" s="235"/>
      <c r="G960" s="237"/>
      <c r="H960" s="235"/>
      <c r="I960" s="235"/>
      <c r="J960" s="235"/>
      <c r="K960" s="66"/>
      <c r="L960" s="238"/>
      <c r="M960" s="238"/>
    </row>
    <row r="961" ht="12.75" customHeight="1">
      <c r="A961" s="238"/>
      <c r="B961" s="235"/>
      <c r="C961" s="235"/>
      <c r="D961" s="236"/>
      <c r="E961" s="235"/>
      <c r="F961" s="235"/>
      <c r="G961" s="237"/>
      <c r="H961" s="235"/>
      <c r="I961" s="235"/>
      <c r="J961" s="235"/>
      <c r="K961" s="66"/>
      <c r="L961" s="238"/>
      <c r="M961" s="238"/>
    </row>
    <row r="962" ht="12.75" customHeight="1">
      <c r="A962" s="238"/>
      <c r="B962" s="235"/>
      <c r="C962" s="235"/>
      <c r="D962" s="236"/>
      <c r="E962" s="235"/>
      <c r="F962" s="235"/>
      <c r="G962" s="237"/>
      <c r="H962" s="235"/>
      <c r="I962" s="235"/>
      <c r="J962" s="235"/>
      <c r="K962" s="66"/>
      <c r="L962" s="238"/>
      <c r="M962" s="238"/>
    </row>
    <row r="963" ht="12.75" customHeight="1">
      <c r="A963" s="238"/>
      <c r="B963" s="235"/>
      <c r="C963" s="235"/>
      <c r="D963" s="236"/>
      <c r="E963" s="235"/>
      <c r="F963" s="235"/>
      <c r="G963" s="237"/>
      <c r="H963" s="235"/>
      <c r="I963" s="235"/>
      <c r="J963" s="235"/>
      <c r="K963" s="66"/>
      <c r="L963" s="238"/>
      <c r="M963" s="238"/>
    </row>
    <row r="964" ht="12.75" customHeight="1">
      <c r="A964" s="238"/>
      <c r="B964" s="235"/>
      <c r="C964" s="235"/>
      <c r="D964" s="236"/>
      <c r="E964" s="235"/>
      <c r="F964" s="235"/>
      <c r="G964" s="237"/>
      <c r="H964" s="235"/>
      <c r="I964" s="235"/>
      <c r="J964" s="235"/>
      <c r="K964" s="66"/>
      <c r="L964" s="238"/>
      <c r="M964" s="238"/>
    </row>
    <row r="965" ht="12.75" customHeight="1">
      <c r="A965" s="238"/>
      <c r="B965" s="235"/>
      <c r="C965" s="235"/>
      <c r="D965" s="236"/>
      <c r="E965" s="235"/>
      <c r="F965" s="235"/>
      <c r="G965" s="237"/>
      <c r="H965" s="235"/>
      <c r="I965" s="235"/>
      <c r="J965" s="235"/>
      <c r="K965" s="66"/>
      <c r="L965" s="238"/>
      <c r="M965" s="238"/>
    </row>
    <row r="966" ht="12.75" customHeight="1">
      <c r="A966" s="238"/>
      <c r="B966" s="235"/>
      <c r="C966" s="235"/>
      <c r="D966" s="236"/>
      <c r="E966" s="235"/>
      <c r="F966" s="235"/>
      <c r="G966" s="237"/>
      <c r="H966" s="235"/>
      <c r="I966" s="235"/>
      <c r="J966" s="235"/>
      <c r="K966" s="66"/>
      <c r="L966" s="238"/>
      <c r="M966" s="238"/>
    </row>
    <row r="967" ht="12.75" customHeight="1">
      <c r="A967" s="238"/>
      <c r="B967" s="235"/>
      <c r="C967" s="235"/>
      <c r="D967" s="236"/>
      <c r="E967" s="235"/>
      <c r="F967" s="235"/>
      <c r="G967" s="237"/>
      <c r="H967" s="235"/>
      <c r="I967" s="235"/>
      <c r="J967" s="235"/>
      <c r="K967" s="66"/>
      <c r="L967" s="238"/>
      <c r="M967" s="238"/>
    </row>
    <row r="968" ht="12.75" customHeight="1">
      <c r="A968" s="238"/>
      <c r="B968" s="235"/>
      <c r="C968" s="235"/>
      <c r="D968" s="236"/>
      <c r="E968" s="235"/>
      <c r="F968" s="235"/>
      <c r="G968" s="237"/>
      <c r="H968" s="235"/>
      <c r="I968" s="235"/>
      <c r="J968" s="235"/>
      <c r="K968" s="66"/>
      <c r="L968" s="238"/>
      <c r="M968" s="238"/>
    </row>
    <row r="969" ht="12.75" customHeight="1">
      <c r="A969" s="238"/>
      <c r="B969" s="235"/>
      <c r="C969" s="235"/>
      <c r="D969" s="236"/>
      <c r="E969" s="235"/>
      <c r="F969" s="235"/>
      <c r="G969" s="237"/>
      <c r="H969" s="235"/>
      <c r="I969" s="235"/>
      <c r="J969" s="235"/>
      <c r="K969" s="66"/>
      <c r="L969" s="238"/>
      <c r="M969" s="238"/>
    </row>
    <row r="970" ht="12.75" customHeight="1">
      <c r="A970" s="238"/>
      <c r="B970" s="235"/>
      <c r="C970" s="235"/>
      <c r="D970" s="236"/>
      <c r="E970" s="235"/>
      <c r="F970" s="235"/>
      <c r="G970" s="237"/>
      <c r="H970" s="235"/>
      <c r="I970" s="235"/>
      <c r="J970" s="235"/>
      <c r="K970" s="66"/>
      <c r="L970" s="238"/>
      <c r="M970" s="238"/>
    </row>
    <row r="971" ht="12.75" customHeight="1">
      <c r="A971" s="238"/>
      <c r="B971" s="235"/>
      <c r="C971" s="235"/>
      <c r="D971" s="236"/>
      <c r="E971" s="235"/>
      <c r="F971" s="235"/>
      <c r="G971" s="237"/>
      <c r="H971" s="235"/>
      <c r="I971" s="235"/>
      <c r="J971" s="235"/>
      <c r="K971" s="66"/>
      <c r="L971" s="238"/>
      <c r="M971" s="238"/>
    </row>
    <row r="972" ht="12.75" customHeight="1">
      <c r="A972" s="238"/>
      <c r="B972" s="235"/>
      <c r="C972" s="235"/>
      <c r="D972" s="236"/>
      <c r="E972" s="235"/>
      <c r="F972" s="235"/>
      <c r="G972" s="237"/>
      <c r="H972" s="235"/>
      <c r="I972" s="235"/>
      <c r="J972" s="235"/>
      <c r="K972" s="66"/>
      <c r="L972" s="238"/>
      <c r="M972" s="238"/>
    </row>
    <row r="973" ht="12.75" customHeight="1">
      <c r="A973" s="238"/>
      <c r="B973" s="235"/>
      <c r="C973" s="235"/>
      <c r="D973" s="236"/>
      <c r="E973" s="235"/>
      <c r="F973" s="235"/>
      <c r="G973" s="237"/>
      <c r="H973" s="235"/>
      <c r="I973" s="235"/>
      <c r="J973" s="235"/>
      <c r="K973" s="66"/>
      <c r="L973" s="238"/>
      <c r="M973" s="238"/>
    </row>
    <row r="974" ht="12.75" customHeight="1">
      <c r="A974" s="238"/>
      <c r="B974" s="235"/>
      <c r="C974" s="235"/>
      <c r="D974" s="236"/>
      <c r="E974" s="235"/>
      <c r="F974" s="235"/>
      <c r="G974" s="237"/>
      <c r="H974" s="235"/>
      <c r="I974" s="235"/>
      <c r="J974" s="235"/>
      <c r="K974" s="66"/>
      <c r="L974" s="238"/>
      <c r="M974" s="238"/>
    </row>
    <row r="975" ht="12.75" customHeight="1">
      <c r="A975" s="238"/>
      <c r="B975" s="235"/>
      <c r="C975" s="235"/>
      <c r="D975" s="236"/>
      <c r="E975" s="235"/>
      <c r="F975" s="235"/>
      <c r="G975" s="237"/>
      <c r="H975" s="235"/>
      <c r="I975" s="235"/>
      <c r="J975" s="235"/>
      <c r="K975" s="66"/>
      <c r="L975" s="238"/>
      <c r="M975" s="238"/>
    </row>
    <row r="976" ht="12.75" customHeight="1">
      <c r="A976" s="238"/>
      <c r="B976" s="235"/>
      <c r="C976" s="235"/>
      <c r="D976" s="236"/>
      <c r="E976" s="235"/>
      <c r="F976" s="235"/>
      <c r="G976" s="237"/>
      <c r="H976" s="235"/>
      <c r="I976" s="235"/>
      <c r="J976" s="235"/>
      <c r="K976" s="66"/>
      <c r="L976" s="238"/>
      <c r="M976" s="238"/>
    </row>
    <row r="977" ht="12.75" customHeight="1">
      <c r="A977" s="238"/>
      <c r="B977" s="235"/>
      <c r="C977" s="235"/>
      <c r="D977" s="236"/>
      <c r="E977" s="235"/>
      <c r="F977" s="235"/>
      <c r="G977" s="237"/>
      <c r="H977" s="235"/>
      <c r="I977" s="235"/>
      <c r="J977" s="235"/>
      <c r="K977" s="66"/>
      <c r="L977" s="238"/>
      <c r="M977" s="238"/>
    </row>
    <row r="978" ht="12.75" customHeight="1">
      <c r="A978" s="238"/>
      <c r="B978" s="235"/>
      <c r="C978" s="235"/>
      <c r="D978" s="236"/>
      <c r="E978" s="235"/>
      <c r="F978" s="235"/>
      <c r="G978" s="237"/>
      <c r="H978" s="235"/>
      <c r="I978" s="235"/>
      <c r="J978" s="235"/>
      <c r="K978" s="66"/>
      <c r="L978" s="238"/>
      <c r="M978" s="238"/>
    </row>
    <row r="979" ht="12.75" customHeight="1">
      <c r="A979" s="238"/>
      <c r="B979" s="235"/>
      <c r="C979" s="235"/>
      <c r="D979" s="236"/>
      <c r="E979" s="235"/>
      <c r="F979" s="235"/>
      <c r="G979" s="237"/>
      <c r="H979" s="235"/>
      <c r="I979" s="235"/>
      <c r="J979" s="235"/>
      <c r="K979" s="66"/>
      <c r="L979" s="238"/>
      <c r="M979" s="238"/>
    </row>
    <row r="980" ht="12.75" customHeight="1">
      <c r="A980" s="238"/>
      <c r="B980" s="235"/>
      <c r="C980" s="235"/>
      <c r="D980" s="236"/>
      <c r="E980" s="235"/>
      <c r="F980" s="235"/>
      <c r="G980" s="237"/>
      <c r="H980" s="235"/>
      <c r="I980" s="235"/>
      <c r="J980" s="235"/>
      <c r="K980" s="66"/>
      <c r="L980" s="238"/>
      <c r="M980" s="238"/>
    </row>
    <row r="981" ht="12.75" customHeight="1">
      <c r="A981" s="238"/>
      <c r="B981" s="235"/>
      <c r="C981" s="235"/>
      <c r="D981" s="236"/>
      <c r="E981" s="235"/>
      <c r="F981" s="235"/>
      <c r="G981" s="237"/>
      <c r="H981" s="235"/>
      <c r="I981" s="235"/>
      <c r="J981" s="235"/>
      <c r="K981" s="66"/>
      <c r="L981" s="238"/>
      <c r="M981" s="238"/>
    </row>
    <row r="982" ht="12.75" customHeight="1">
      <c r="A982" s="238"/>
      <c r="B982" s="235"/>
      <c r="C982" s="235"/>
      <c r="D982" s="236"/>
      <c r="E982" s="235"/>
      <c r="F982" s="235"/>
      <c r="G982" s="237"/>
      <c r="H982" s="235"/>
      <c r="I982" s="235"/>
      <c r="J982" s="235"/>
      <c r="K982" s="66"/>
      <c r="L982" s="238"/>
      <c r="M982" s="238"/>
    </row>
    <row r="983" ht="12.75" customHeight="1">
      <c r="A983" s="238"/>
      <c r="B983" s="235"/>
      <c r="C983" s="235"/>
      <c r="D983" s="236"/>
      <c r="E983" s="235"/>
      <c r="F983" s="235"/>
      <c r="G983" s="237"/>
      <c r="H983" s="235"/>
      <c r="I983" s="235"/>
      <c r="J983" s="235"/>
      <c r="K983" s="66"/>
      <c r="L983" s="238"/>
      <c r="M983" s="238"/>
    </row>
    <row r="984" ht="12.75" customHeight="1">
      <c r="A984" s="238"/>
      <c r="B984" s="235"/>
      <c r="C984" s="235"/>
      <c r="D984" s="236"/>
      <c r="E984" s="235"/>
      <c r="F984" s="235"/>
      <c r="G984" s="237"/>
      <c r="H984" s="235"/>
      <c r="I984" s="235"/>
      <c r="J984" s="235"/>
      <c r="K984" s="66"/>
      <c r="L984" s="238"/>
      <c r="M984" s="238"/>
    </row>
    <row r="985" ht="12.75" customHeight="1">
      <c r="A985" s="238"/>
      <c r="B985" s="235"/>
      <c r="C985" s="235"/>
      <c r="D985" s="236"/>
      <c r="E985" s="235"/>
      <c r="F985" s="235"/>
      <c r="G985" s="237"/>
      <c r="H985" s="235"/>
      <c r="I985" s="235"/>
      <c r="J985" s="235"/>
      <c r="K985" s="66"/>
      <c r="L985" s="238"/>
      <c r="M985" s="238"/>
    </row>
    <row r="986" ht="12.75" customHeight="1">
      <c r="A986" s="238"/>
      <c r="B986" s="235"/>
      <c r="C986" s="235"/>
      <c r="D986" s="236"/>
      <c r="E986" s="235"/>
      <c r="F986" s="235"/>
      <c r="G986" s="237"/>
      <c r="H986" s="235"/>
      <c r="I986" s="235"/>
      <c r="J986" s="235"/>
      <c r="K986" s="66"/>
      <c r="L986" s="238"/>
      <c r="M986" s="238"/>
    </row>
    <row r="987" ht="12.75" customHeight="1">
      <c r="A987" s="238"/>
      <c r="B987" s="235"/>
      <c r="C987" s="235"/>
      <c r="D987" s="236"/>
      <c r="E987" s="235"/>
      <c r="F987" s="235"/>
      <c r="G987" s="237"/>
      <c r="H987" s="235"/>
      <c r="I987" s="235"/>
      <c r="J987" s="235"/>
      <c r="K987" s="66"/>
      <c r="L987" s="238"/>
      <c r="M987" s="238"/>
    </row>
    <row r="988" ht="12.75" customHeight="1">
      <c r="A988" s="238"/>
      <c r="B988" s="235"/>
      <c r="C988" s="235"/>
      <c r="D988" s="236"/>
      <c r="E988" s="235"/>
      <c r="F988" s="235"/>
      <c r="G988" s="237"/>
      <c r="H988" s="235"/>
      <c r="I988" s="235"/>
      <c r="J988" s="235"/>
      <c r="K988" s="66"/>
      <c r="L988" s="238"/>
      <c r="M988" s="238"/>
    </row>
    <row r="989" ht="12.75" customHeight="1">
      <c r="A989" s="238"/>
      <c r="B989" s="235"/>
      <c r="C989" s="235"/>
      <c r="D989" s="236"/>
      <c r="E989" s="235"/>
      <c r="F989" s="235"/>
      <c r="G989" s="237"/>
      <c r="H989" s="235"/>
      <c r="I989" s="235"/>
      <c r="J989" s="235"/>
      <c r="K989" s="66"/>
      <c r="L989" s="238"/>
      <c r="M989" s="238"/>
    </row>
    <row r="990" ht="12.75" customHeight="1">
      <c r="A990" s="238"/>
      <c r="B990" s="235"/>
      <c r="C990" s="235"/>
      <c r="D990" s="236"/>
      <c r="E990" s="235"/>
      <c r="F990" s="235"/>
      <c r="G990" s="237"/>
      <c r="H990" s="235"/>
      <c r="I990" s="235"/>
      <c r="J990" s="235"/>
      <c r="K990" s="66"/>
      <c r="L990" s="238"/>
      <c r="M990" s="238"/>
    </row>
    <row r="991" ht="12.75" customHeight="1">
      <c r="A991" s="238"/>
      <c r="B991" s="235"/>
      <c r="C991" s="235"/>
      <c r="D991" s="236"/>
      <c r="E991" s="235"/>
      <c r="F991" s="235"/>
      <c r="G991" s="237"/>
      <c r="H991" s="235"/>
      <c r="I991" s="235"/>
      <c r="J991" s="235"/>
      <c r="K991" s="66"/>
      <c r="L991" s="238"/>
      <c r="M991" s="238"/>
    </row>
    <row r="992" ht="12.75" customHeight="1">
      <c r="A992" s="238"/>
      <c r="B992" s="235"/>
      <c r="C992" s="235"/>
      <c r="D992" s="236"/>
      <c r="E992" s="235"/>
      <c r="F992" s="235"/>
      <c r="G992" s="237"/>
      <c r="H992" s="235"/>
      <c r="I992" s="235"/>
      <c r="J992" s="235"/>
      <c r="K992" s="66"/>
      <c r="L992" s="238"/>
      <c r="M992" s="238"/>
    </row>
    <row r="993" ht="12.75" customHeight="1">
      <c r="A993" s="238"/>
      <c r="B993" s="235"/>
      <c r="C993" s="235"/>
      <c r="D993" s="236"/>
      <c r="E993" s="235"/>
      <c r="F993" s="235"/>
      <c r="G993" s="237"/>
      <c r="H993" s="235"/>
      <c r="I993" s="235"/>
      <c r="J993" s="235"/>
      <c r="K993" s="66"/>
      <c r="L993" s="238"/>
      <c r="M993" s="238"/>
    </row>
    <row r="994" ht="12.75" customHeight="1">
      <c r="A994" s="238"/>
      <c r="B994" s="235"/>
      <c r="C994" s="235"/>
      <c r="D994" s="236"/>
      <c r="E994" s="235"/>
      <c r="F994" s="235"/>
      <c r="G994" s="237"/>
      <c r="H994" s="235"/>
      <c r="I994" s="235"/>
      <c r="J994" s="235"/>
      <c r="K994" s="66"/>
      <c r="L994" s="238"/>
      <c r="M994" s="238"/>
    </row>
    <row r="995" ht="12.75" customHeight="1">
      <c r="A995" s="238"/>
      <c r="B995" s="235"/>
      <c r="C995" s="235"/>
      <c r="D995" s="236"/>
      <c r="E995" s="235"/>
      <c r="F995" s="235"/>
      <c r="G995" s="237"/>
      <c r="H995" s="235"/>
      <c r="I995" s="235"/>
      <c r="J995" s="235"/>
      <c r="K995" s="66"/>
      <c r="L995" s="238"/>
      <c r="M995" s="238"/>
    </row>
    <row r="996" ht="12.75" customHeight="1">
      <c r="A996" s="238"/>
      <c r="B996" s="235"/>
      <c r="C996" s="235"/>
      <c r="D996" s="236"/>
      <c r="E996" s="235"/>
      <c r="F996" s="235"/>
      <c r="G996" s="237"/>
      <c r="H996" s="235"/>
      <c r="I996" s="235"/>
      <c r="J996" s="235"/>
      <c r="K996" s="66"/>
      <c r="L996" s="238"/>
      <c r="M996" s="238"/>
    </row>
    <row r="997" ht="12.75" customHeight="1">
      <c r="A997" s="238"/>
      <c r="B997" s="235"/>
      <c r="C997" s="235"/>
      <c r="D997" s="236"/>
      <c r="E997" s="235"/>
      <c r="F997" s="235"/>
      <c r="G997" s="237"/>
      <c r="H997" s="235"/>
      <c r="I997" s="235"/>
      <c r="J997" s="235"/>
      <c r="K997" s="66"/>
      <c r="L997" s="238"/>
      <c r="M997" s="238"/>
    </row>
    <row r="998" ht="12.75" customHeight="1">
      <c r="A998" s="238"/>
      <c r="B998" s="235"/>
      <c r="C998" s="235"/>
      <c r="D998" s="236"/>
      <c r="E998" s="235"/>
      <c r="F998" s="235"/>
      <c r="G998" s="237"/>
      <c r="H998" s="235"/>
      <c r="I998" s="235"/>
      <c r="J998" s="235"/>
      <c r="K998" s="66"/>
      <c r="L998" s="238"/>
      <c r="M998" s="238"/>
    </row>
    <row r="999" ht="12.75" customHeight="1">
      <c r="A999" s="238"/>
      <c r="B999" s="235"/>
      <c r="C999" s="235"/>
      <c r="D999" s="236"/>
      <c r="E999" s="235"/>
      <c r="F999" s="235"/>
      <c r="G999" s="237"/>
      <c r="H999" s="235"/>
      <c r="I999" s="235"/>
      <c r="J999" s="235"/>
      <c r="K999" s="66"/>
      <c r="L999" s="238"/>
      <c r="M999" s="238"/>
    </row>
    <row r="1000" ht="12.75" customHeight="1">
      <c r="A1000" s="238"/>
      <c r="B1000" s="235"/>
      <c r="C1000" s="235"/>
      <c r="D1000" s="236"/>
      <c r="E1000" s="235"/>
      <c r="F1000" s="235"/>
      <c r="G1000" s="237"/>
      <c r="H1000" s="235"/>
      <c r="I1000" s="235"/>
      <c r="J1000" s="235"/>
      <c r="K1000" s="66"/>
      <c r="L1000" s="238"/>
      <c r="M1000" s="238"/>
    </row>
    <row r="1001" ht="12.75" customHeight="1">
      <c r="A1001" s="238"/>
      <c r="B1001" s="235"/>
      <c r="C1001" s="235"/>
      <c r="D1001" s="236"/>
      <c r="E1001" s="235"/>
      <c r="F1001" s="235"/>
      <c r="G1001" s="237"/>
      <c r="H1001" s="235"/>
      <c r="I1001" s="235"/>
      <c r="J1001" s="235"/>
      <c r="K1001" s="66"/>
      <c r="L1001" s="238"/>
      <c r="M1001" s="238"/>
    </row>
    <row r="1002" ht="12.75" customHeight="1">
      <c r="A1002" s="238"/>
      <c r="B1002" s="235"/>
      <c r="C1002" s="235"/>
      <c r="D1002" s="236"/>
      <c r="E1002" s="235"/>
      <c r="F1002" s="235"/>
      <c r="G1002" s="237"/>
      <c r="H1002" s="235"/>
      <c r="I1002" s="235"/>
      <c r="J1002" s="235"/>
      <c r="K1002" s="66"/>
      <c r="L1002" s="238"/>
      <c r="M1002" s="238"/>
    </row>
    <row r="1003" ht="12.75" customHeight="1">
      <c r="A1003" s="238"/>
      <c r="B1003" s="235"/>
      <c r="C1003" s="235"/>
      <c r="D1003" s="236"/>
      <c r="E1003" s="235"/>
      <c r="F1003" s="235"/>
      <c r="G1003" s="237"/>
      <c r="H1003" s="235"/>
      <c r="I1003" s="235"/>
      <c r="J1003" s="235"/>
      <c r="K1003" s="66"/>
      <c r="L1003" s="238"/>
      <c r="M1003" s="238"/>
    </row>
    <row r="1004" ht="12.75" customHeight="1">
      <c r="A1004" s="238"/>
      <c r="B1004" s="235"/>
      <c r="C1004" s="235"/>
      <c r="D1004" s="236"/>
      <c r="E1004" s="235"/>
      <c r="F1004" s="235"/>
      <c r="G1004" s="237"/>
      <c r="H1004" s="235"/>
      <c r="I1004" s="235"/>
      <c r="J1004" s="235"/>
      <c r="K1004" s="66"/>
      <c r="L1004" s="238"/>
      <c r="M1004" s="238"/>
    </row>
    <row r="1005" ht="12.75" customHeight="1">
      <c r="A1005" s="238"/>
      <c r="B1005" s="235"/>
      <c r="C1005" s="235"/>
      <c r="D1005" s="236"/>
      <c r="E1005" s="235"/>
      <c r="F1005" s="235"/>
      <c r="G1005" s="237"/>
      <c r="H1005" s="235"/>
      <c r="I1005" s="235"/>
      <c r="J1005" s="235"/>
      <c r="K1005" s="66"/>
      <c r="L1005" s="238"/>
      <c r="M1005" s="238"/>
    </row>
    <row r="1006" ht="12.75" customHeight="1">
      <c r="A1006" s="238"/>
      <c r="B1006" s="235"/>
      <c r="C1006" s="235"/>
      <c r="D1006" s="236"/>
      <c r="E1006" s="235"/>
      <c r="F1006" s="235"/>
      <c r="G1006" s="237"/>
      <c r="H1006" s="235"/>
      <c r="I1006" s="235"/>
      <c r="J1006" s="235"/>
      <c r="K1006" s="66"/>
      <c r="L1006" s="238"/>
      <c r="M1006" s="238"/>
    </row>
    <row r="1007" ht="12.75" customHeight="1">
      <c r="A1007" s="238"/>
      <c r="B1007" s="235"/>
      <c r="C1007" s="235"/>
      <c r="D1007" s="236"/>
      <c r="E1007" s="235"/>
      <c r="F1007" s="235"/>
      <c r="G1007" s="237"/>
      <c r="H1007" s="235"/>
      <c r="I1007" s="235"/>
      <c r="J1007" s="235"/>
      <c r="K1007" s="66"/>
      <c r="L1007" s="238"/>
      <c r="M1007" s="238"/>
    </row>
    <row r="1008" ht="12.75" customHeight="1">
      <c r="A1008" s="238"/>
      <c r="B1008" s="235"/>
      <c r="C1008" s="235"/>
      <c r="D1008" s="236"/>
      <c r="E1008" s="235"/>
      <c r="F1008" s="235"/>
      <c r="G1008" s="237"/>
      <c r="H1008" s="235"/>
      <c r="I1008" s="235"/>
      <c r="J1008" s="235"/>
      <c r="K1008" s="66"/>
      <c r="L1008" s="238"/>
      <c r="M1008" s="238"/>
    </row>
    <row r="1009" ht="12.75" customHeight="1">
      <c r="A1009" s="238"/>
      <c r="B1009" s="235"/>
      <c r="C1009" s="235"/>
      <c r="D1009" s="236"/>
      <c r="E1009" s="235"/>
      <c r="F1009" s="235"/>
      <c r="G1009" s="237"/>
      <c r="H1009" s="235"/>
      <c r="I1009" s="235"/>
      <c r="J1009" s="235"/>
      <c r="K1009" s="66"/>
      <c r="L1009" s="238"/>
      <c r="M1009" s="238"/>
    </row>
    <row r="1010" ht="12.75" customHeight="1">
      <c r="A1010" s="238"/>
      <c r="B1010" s="235"/>
      <c r="C1010" s="235"/>
      <c r="D1010" s="236"/>
      <c r="E1010" s="235"/>
      <c r="F1010" s="235"/>
      <c r="G1010" s="237"/>
      <c r="H1010" s="235"/>
      <c r="I1010" s="235"/>
      <c r="J1010" s="235"/>
      <c r="K1010" s="66"/>
      <c r="L1010" s="238"/>
      <c r="M1010" s="238"/>
    </row>
    <row r="1011" ht="12.75" customHeight="1">
      <c r="A1011" s="238"/>
      <c r="B1011" s="235"/>
      <c r="C1011" s="235"/>
      <c r="D1011" s="236"/>
      <c r="E1011" s="235"/>
      <c r="F1011" s="235"/>
      <c r="G1011" s="237"/>
      <c r="H1011" s="235"/>
      <c r="I1011" s="235"/>
      <c r="J1011" s="235"/>
      <c r="K1011" s="66"/>
      <c r="L1011" s="238"/>
      <c r="M1011" s="238"/>
    </row>
    <row r="1012" ht="12.75" customHeight="1">
      <c r="A1012" s="238"/>
      <c r="B1012" s="235"/>
      <c r="C1012" s="235"/>
      <c r="D1012" s="236"/>
      <c r="E1012" s="235"/>
      <c r="F1012" s="235"/>
      <c r="G1012" s="237"/>
      <c r="H1012" s="235"/>
      <c r="I1012" s="235"/>
      <c r="J1012" s="235"/>
      <c r="K1012" s="66"/>
      <c r="L1012" s="238"/>
      <c r="M1012" s="238"/>
    </row>
    <row r="1013" ht="12.75" customHeight="1">
      <c r="A1013" s="238"/>
      <c r="B1013" s="235"/>
      <c r="C1013" s="235"/>
      <c r="D1013" s="236"/>
      <c r="E1013" s="235"/>
      <c r="F1013" s="235"/>
      <c r="G1013" s="237"/>
      <c r="H1013" s="235"/>
      <c r="I1013" s="235"/>
      <c r="J1013" s="235"/>
      <c r="K1013" s="66"/>
      <c r="L1013" s="238"/>
      <c r="M1013" s="238"/>
    </row>
    <row r="1014" ht="12.75" customHeight="1">
      <c r="A1014" s="238"/>
      <c r="B1014" s="235"/>
      <c r="C1014" s="235"/>
      <c r="D1014" s="236"/>
      <c r="E1014" s="235"/>
      <c r="F1014" s="235"/>
      <c r="G1014" s="237"/>
      <c r="H1014" s="235"/>
      <c r="I1014" s="235"/>
      <c r="J1014" s="235"/>
      <c r="K1014" s="66"/>
      <c r="L1014" s="238"/>
      <c r="M1014" s="238"/>
    </row>
    <row r="1015" ht="12.75" customHeight="1">
      <c r="A1015" s="238"/>
      <c r="B1015" s="235"/>
      <c r="C1015" s="235"/>
      <c r="D1015" s="236"/>
      <c r="E1015" s="235"/>
      <c r="F1015" s="235"/>
      <c r="G1015" s="237"/>
      <c r="H1015" s="235"/>
      <c r="I1015" s="235"/>
      <c r="J1015" s="235"/>
      <c r="K1015" s="66"/>
      <c r="L1015" s="238"/>
      <c r="M1015" s="238"/>
    </row>
    <row r="1016" ht="12.75" customHeight="1">
      <c r="A1016" s="238"/>
      <c r="B1016" s="235"/>
      <c r="C1016" s="235"/>
      <c r="D1016" s="236"/>
      <c r="E1016" s="235"/>
      <c r="F1016" s="235"/>
      <c r="G1016" s="237"/>
      <c r="H1016" s="235"/>
      <c r="I1016" s="235"/>
      <c r="J1016" s="235"/>
      <c r="K1016" s="66"/>
      <c r="L1016" s="238"/>
      <c r="M1016" s="238"/>
    </row>
    <row r="1017" ht="12.75" customHeight="1">
      <c r="A1017" s="238"/>
      <c r="B1017" s="235"/>
      <c r="C1017" s="235"/>
      <c r="D1017" s="236"/>
      <c r="E1017" s="235"/>
      <c r="F1017" s="235"/>
      <c r="G1017" s="237"/>
      <c r="H1017" s="235"/>
      <c r="I1017" s="235"/>
      <c r="J1017" s="235"/>
      <c r="K1017" s="66"/>
      <c r="L1017" s="238"/>
      <c r="M1017" s="238"/>
    </row>
    <row r="1018" ht="12.75" customHeight="1">
      <c r="A1018" s="238"/>
      <c r="B1018" s="235"/>
      <c r="C1018" s="235"/>
      <c r="D1018" s="236"/>
      <c r="E1018" s="235"/>
      <c r="F1018" s="235"/>
      <c r="G1018" s="237"/>
      <c r="H1018" s="235"/>
      <c r="I1018" s="235"/>
      <c r="J1018" s="235"/>
      <c r="K1018" s="66"/>
      <c r="L1018" s="238"/>
      <c r="M1018" s="238"/>
    </row>
    <row r="1019" ht="12.75" customHeight="1">
      <c r="A1019" s="238"/>
      <c r="B1019" s="235"/>
      <c r="C1019" s="235"/>
      <c r="D1019" s="236"/>
      <c r="E1019" s="235"/>
      <c r="F1019" s="235"/>
      <c r="G1019" s="237"/>
      <c r="H1019" s="235"/>
      <c r="I1019" s="235"/>
      <c r="J1019" s="235"/>
      <c r="K1019" s="66"/>
      <c r="L1019" s="238"/>
      <c r="M1019" s="238"/>
    </row>
    <row r="1020" ht="12.75" customHeight="1">
      <c r="A1020" s="238"/>
      <c r="B1020" s="235"/>
      <c r="C1020" s="235"/>
      <c r="D1020" s="236"/>
      <c r="E1020" s="235"/>
      <c r="F1020" s="235"/>
      <c r="G1020" s="237"/>
      <c r="H1020" s="235"/>
      <c r="I1020" s="235"/>
      <c r="J1020" s="235"/>
      <c r="K1020" s="66"/>
      <c r="L1020" s="238"/>
      <c r="M1020" s="238"/>
    </row>
    <row r="1021" ht="12.75" customHeight="1">
      <c r="A1021" s="238"/>
      <c r="B1021" s="235"/>
      <c r="C1021" s="235"/>
      <c r="D1021" s="236"/>
      <c r="E1021" s="235"/>
      <c r="F1021" s="235"/>
      <c r="G1021" s="237"/>
      <c r="H1021" s="235"/>
      <c r="I1021" s="235"/>
      <c r="J1021" s="235"/>
      <c r="K1021" s="66"/>
      <c r="L1021" s="238"/>
      <c r="M1021" s="238"/>
    </row>
    <row r="1022" ht="12.75" customHeight="1">
      <c r="A1022" s="238"/>
      <c r="B1022" s="235"/>
      <c r="C1022" s="235"/>
      <c r="D1022" s="236"/>
      <c r="E1022" s="235"/>
      <c r="F1022" s="235"/>
      <c r="G1022" s="237"/>
      <c r="H1022" s="235"/>
      <c r="I1022" s="235"/>
      <c r="J1022" s="235"/>
      <c r="K1022" s="66"/>
      <c r="L1022" s="238"/>
      <c r="M1022" s="238"/>
    </row>
    <row r="1023" ht="12.75" customHeight="1">
      <c r="A1023" s="238"/>
      <c r="B1023" s="235"/>
      <c r="C1023" s="235"/>
      <c r="D1023" s="236"/>
      <c r="E1023" s="235"/>
      <c r="F1023" s="235"/>
      <c r="G1023" s="237"/>
      <c r="H1023" s="235"/>
      <c r="I1023" s="235"/>
      <c r="J1023" s="235"/>
      <c r="K1023" s="66"/>
      <c r="L1023" s="238"/>
      <c r="M1023" s="238"/>
    </row>
    <row r="1024" ht="12.75" customHeight="1">
      <c r="A1024" s="238"/>
      <c r="B1024" s="235"/>
      <c r="C1024" s="235"/>
      <c r="D1024" s="236"/>
      <c r="E1024" s="235"/>
      <c r="F1024" s="235"/>
      <c r="G1024" s="237"/>
      <c r="H1024" s="235"/>
      <c r="I1024" s="235"/>
      <c r="J1024" s="235"/>
      <c r="K1024" s="66"/>
      <c r="L1024" s="238"/>
      <c r="M1024" s="238"/>
    </row>
    <row r="1025" ht="12.75" customHeight="1">
      <c r="A1025" s="238"/>
      <c r="B1025" s="235"/>
      <c r="C1025" s="235"/>
      <c r="D1025" s="236"/>
      <c r="E1025" s="235"/>
      <c r="F1025" s="235"/>
      <c r="G1025" s="237"/>
      <c r="H1025" s="235"/>
      <c r="I1025" s="235"/>
      <c r="J1025" s="235"/>
      <c r="K1025" s="66"/>
      <c r="L1025" s="238"/>
      <c r="M1025" s="238"/>
    </row>
    <row r="1026" ht="12.75" customHeight="1">
      <c r="A1026" s="238"/>
      <c r="B1026" s="235"/>
      <c r="C1026" s="235"/>
      <c r="D1026" s="236"/>
      <c r="E1026" s="235"/>
      <c r="F1026" s="235"/>
      <c r="G1026" s="237"/>
      <c r="H1026" s="235"/>
      <c r="I1026" s="235"/>
      <c r="J1026" s="235"/>
      <c r="K1026" s="66"/>
      <c r="L1026" s="238"/>
      <c r="M1026" s="238"/>
    </row>
    <row r="1027" ht="12.75" customHeight="1">
      <c r="A1027" s="238"/>
      <c r="B1027" s="235"/>
      <c r="C1027" s="235"/>
      <c r="D1027" s="236"/>
      <c r="E1027" s="235"/>
      <c r="F1027" s="235"/>
      <c r="G1027" s="237"/>
      <c r="H1027" s="235"/>
      <c r="I1027" s="235"/>
      <c r="J1027" s="235"/>
      <c r="K1027" s="66"/>
      <c r="L1027" s="238"/>
      <c r="M1027" s="238"/>
    </row>
    <row r="1028" ht="12.75" customHeight="1">
      <c r="A1028" s="238"/>
      <c r="B1028" s="235"/>
      <c r="C1028" s="235"/>
      <c r="D1028" s="236"/>
      <c r="E1028" s="235"/>
      <c r="F1028" s="235"/>
      <c r="G1028" s="237"/>
      <c r="H1028" s="235"/>
      <c r="I1028" s="235"/>
      <c r="J1028" s="235"/>
      <c r="K1028" s="66"/>
      <c r="L1028" s="238"/>
      <c r="M1028" s="238"/>
    </row>
    <row r="1029" ht="12.75" customHeight="1">
      <c r="A1029" s="238"/>
      <c r="B1029" s="235"/>
      <c r="C1029" s="235"/>
      <c r="D1029" s="236"/>
      <c r="E1029" s="235"/>
      <c r="F1029" s="235"/>
      <c r="G1029" s="237"/>
      <c r="H1029" s="235"/>
      <c r="I1029" s="235"/>
      <c r="J1029" s="235"/>
      <c r="K1029" s="66"/>
      <c r="L1029" s="238"/>
      <c r="M1029" s="238"/>
    </row>
    <row r="1030" ht="12.75" customHeight="1">
      <c r="A1030" s="238"/>
      <c r="B1030" s="235"/>
      <c r="C1030" s="235"/>
      <c r="D1030" s="236"/>
      <c r="E1030" s="235"/>
      <c r="F1030" s="235"/>
      <c r="G1030" s="237"/>
      <c r="H1030" s="235"/>
      <c r="I1030" s="235"/>
      <c r="J1030" s="235"/>
      <c r="K1030" s="66"/>
      <c r="L1030" s="238"/>
      <c r="M1030" s="238"/>
    </row>
    <row r="1031" ht="12.75" customHeight="1">
      <c r="A1031" s="238"/>
      <c r="B1031" s="235"/>
      <c r="C1031" s="235"/>
      <c r="D1031" s="236"/>
      <c r="E1031" s="235"/>
      <c r="F1031" s="235"/>
      <c r="G1031" s="237"/>
      <c r="H1031" s="235"/>
      <c r="I1031" s="235"/>
      <c r="J1031" s="235"/>
      <c r="K1031" s="66"/>
      <c r="L1031" s="238"/>
      <c r="M1031" s="238"/>
    </row>
    <row r="1032" ht="12.75" customHeight="1">
      <c r="A1032" s="238"/>
      <c r="B1032" s="235"/>
      <c r="C1032" s="235"/>
      <c r="D1032" s="236"/>
      <c r="E1032" s="235"/>
      <c r="F1032" s="235"/>
      <c r="G1032" s="237"/>
      <c r="H1032" s="235"/>
      <c r="I1032" s="235"/>
      <c r="J1032" s="235"/>
      <c r="K1032" s="66"/>
      <c r="L1032" s="238"/>
      <c r="M1032" s="238"/>
    </row>
    <row r="1033" ht="12.75" customHeight="1">
      <c r="A1033" s="238"/>
      <c r="B1033" s="235"/>
      <c r="C1033" s="235"/>
      <c r="D1033" s="236"/>
      <c r="E1033" s="235"/>
      <c r="F1033" s="235"/>
      <c r="G1033" s="237"/>
      <c r="H1033" s="235"/>
      <c r="I1033" s="235"/>
      <c r="J1033" s="235"/>
      <c r="K1033" s="66"/>
      <c r="L1033" s="238"/>
      <c r="M1033" s="238"/>
    </row>
    <row r="1034" ht="12.75" customHeight="1">
      <c r="A1034" s="238"/>
      <c r="B1034" s="235"/>
      <c r="C1034" s="235"/>
      <c r="D1034" s="236"/>
      <c r="E1034" s="235"/>
      <c r="F1034" s="235"/>
      <c r="G1034" s="237"/>
      <c r="H1034" s="235"/>
      <c r="I1034" s="235"/>
      <c r="J1034" s="235"/>
      <c r="K1034" s="66"/>
      <c r="L1034" s="238"/>
      <c r="M1034" s="238"/>
    </row>
    <row r="1035" ht="12.75" customHeight="1">
      <c r="A1035" s="238"/>
      <c r="B1035" s="235"/>
      <c r="C1035" s="235"/>
      <c r="D1035" s="236"/>
      <c r="E1035" s="235"/>
      <c r="F1035" s="235"/>
      <c r="G1035" s="237"/>
      <c r="H1035" s="235"/>
      <c r="I1035" s="235"/>
      <c r="J1035" s="235"/>
      <c r="K1035" s="66"/>
      <c r="L1035" s="238"/>
      <c r="M1035" s="238"/>
    </row>
    <row r="1036" ht="12.75" customHeight="1">
      <c r="A1036" s="238"/>
      <c r="B1036" s="235"/>
      <c r="C1036" s="235"/>
      <c r="D1036" s="236"/>
      <c r="E1036" s="235"/>
      <c r="F1036" s="235"/>
      <c r="G1036" s="237"/>
      <c r="H1036" s="235"/>
      <c r="I1036" s="235"/>
      <c r="J1036" s="235"/>
      <c r="K1036" s="66"/>
      <c r="L1036" s="238"/>
      <c r="M1036" s="238"/>
    </row>
    <row r="1037" ht="12.75" customHeight="1">
      <c r="A1037" s="238"/>
      <c r="B1037" s="235"/>
      <c r="C1037" s="235"/>
      <c r="D1037" s="236"/>
      <c r="E1037" s="235"/>
      <c r="F1037" s="235"/>
      <c r="G1037" s="237"/>
      <c r="H1037" s="235"/>
      <c r="I1037" s="235"/>
      <c r="J1037" s="235"/>
      <c r="K1037" s="66"/>
      <c r="L1037" s="238"/>
      <c r="M1037" s="238"/>
    </row>
    <row r="1038" ht="12.75" customHeight="1">
      <c r="A1038" s="238"/>
      <c r="B1038" s="235"/>
      <c r="C1038" s="235"/>
      <c r="D1038" s="236"/>
      <c r="E1038" s="235"/>
      <c r="F1038" s="235"/>
      <c r="G1038" s="237"/>
      <c r="H1038" s="235"/>
      <c r="I1038" s="235"/>
      <c r="J1038" s="235"/>
      <c r="K1038" s="66"/>
      <c r="L1038" s="238"/>
      <c r="M1038" s="238"/>
    </row>
    <row r="1039" ht="12.75" customHeight="1">
      <c r="A1039" s="238"/>
      <c r="B1039" s="235"/>
      <c r="C1039" s="235"/>
      <c r="D1039" s="236"/>
      <c r="E1039" s="235"/>
      <c r="F1039" s="235"/>
      <c r="G1039" s="237"/>
      <c r="H1039" s="235"/>
      <c r="I1039" s="235"/>
      <c r="J1039" s="235"/>
      <c r="K1039" s="66"/>
      <c r="L1039" s="238"/>
      <c r="M1039" s="238"/>
    </row>
    <row r="1040" ht="12.75" customHeight="1">
      <c r="A1040" s="238"/>
      <c r="B1040" s="235"/>
      <c r="C1040" s="235"/>
      <c r="D1040" s="236"/>
      <c r="E1040" s="235"/>
      <c r="F1040" s="235"/>
      <c r="G1040" s="237"/>
      <c r="H1040" s="235"/>
      <c r="I1040" s="235"/>
      <c r="J1040" s="235"/>
      <c r="K1040" s="66"/>
      <c r="L1040" s="238"/>
      <c r="M1040" s="238"/>
    </row>
    <row r="1041" ht="12.75" customHeight="1">
      <c r="A1041" s="238"/>
      <c r="B1041" s="235"/>
      <c r="C1041" s="235"/>
      <c r="D1041" s="236"/>
      <c r="E1041" s="235"/>
      <c r="F1041" s="235"/>
      <c r="G1041" s="237"/>
      <c r="H1041" s="235"/>
      <c r="I1041" s="235"/>
      <c r="J1041" s="235"/>
      <c r="K1041" s="66"/>
      <c r="L1041" s="238"/>
      <c r="M1041" s="238"/>
    </row>
    <row r="1042" ht="12.75" customHeight="1">
      <c r="A1042" s="238"/>
      <c r="B1042" s="235"/>
      <c r="C1042" s="235"/>
      <c r="D1042" s="236"/>
      <c r="E1042" s="235"/>
      <c r="F1042" s="235"/>
      <c r="G1042" s="237"/>
      <c r="H1042" s="235"/>
      <c r="I1042" s="235"/>
      <c r="J1042" s="235"/>
      <c r="K1042" s="66"/>
      <c r="L1042" s="238"/>
      <c r="M1042" s="238"/>
    </row>
    <row r="1043" ht="12.75" customHeight="1">
      <c r="A1043" s="238"/>
      <c r="B1043" s="235"/>
      <c r="C1043" s="235"/>
      <c r="D1043" s="236"/>
      <c r="E1043" s="235"/>
      <c r="F1043" s="235"/>
      <c r="G1043" s="237"/>
      <c r="H1043" s="235"/>
      <c r="I1043" s="235"/>
      <c r="J1043" s="235"/>
      <c r="K1043" s="66"/>
      <c r="L1043" s="238"/>
      <c r="M1043" s="238"/>
    </row>
    <row r="1044" ht="12.75" customHeight="1">
      <c r="A1044" s="238"/>
      <c r="B1044" s="235"/>
      <c r="C1044" s="235"/>
      <c r="D1044" s="236"/>
      <c r="E1044" s="235"/>
      <c r="F1044" s="235"/>
      <c r="G1044" s="237"/>
      <c r="H1044" s="235"/>
      <c r="I1044" s="235"/>
      <c r="J1044" s="235"/>
      <c r="K1044" s="66"/>
      <c r="L1044" s="238"/>
      <c r="M1044" s="238"/>
    </row>
    <row r="1045" ht="12.75" customHeight="1">
      <c r="A1045" s="238"/>
      <c r="B1045" s="235"/>
      <c r="C1045" s="235"/>
      <c r="D1045" s="236"/>
      <c r="E1045" s="235"/>
      <c r="F1045" s="235"/>
      <c r="G1045" s="237"/>
      <c r="H1045" s="235"/>
      <c r="I1045" s="235"/>
      <c r="J1045" s="235"/>
      <c r="K1045" s="66"/>
      <c r="L1045" s="238"/>
      <c r="M1045" s="238"/>
    </row>
    <row r="1046" ht="12.75" customHeight="1">
      <c r="A1046" s="238"/>
      <c r="B1046" s="235"/>
      <c r="C1046" s="235"/>
      <c r="D1046" s="236"/>
      <c r="E1046" s="235"/>
      <c r="F1046" s="235"/>
      <c r="G1046" s="237"/>
      <c r="H1046" s="235"/>
      <c r="I1046" s="235"/>
      <c r="J1046" s="235"/>
      <c r="K1046" s="66"/>
      <c r="L1046" s="238"/>
      <c r="M1046" s="238"/>
    </row>
    <row r="1047" ht="12.75" customHeight="1">
      <c r="A1047" s="238"/>
      <c r="B1047" s="235"/>
      <c r="C1047" s="235"/>
      <c r="D1047" s="236"/>
      <c r="E1047" s="235"/>
      <c r="F1047" s="235"/>
      <c r="G1047" s="237"/>
      <c r="H1047" s="235"/>
      <c r="I1047" s="235"/>
      <c r="J1047" s="235"/>
      <c r="K1047" s="66"/>
      <c r="L1047" s="238"/>
      <c r="M1047" s="238"/>
    </row>
    <row r="1048" ht="12.75" customHeight="1">
      <c r="A1048" s="238"/>
      <c r="B1048" s="235"/>
      <c r="C1048" s="235"/>
      <c r="D1048" s="236"/>
      <c r="E1048" s="235"/>
      <c r="F1048" s="235"/>
      <c r="G1048" s="237"/>
      <c r="H1048" s="235"/>
      <c r="I1048" s="235"/>
      <c r="J1048" s="235"/>
      <c r="K1048" s="66"/>
      <c r="L1048" s="238"/>
      <c r="M1048" s="238"/>
    </row>
    <row r="1049" ht="12.75" customHeight="1">
      <c r="A1049" s="238"/>
      <c r="B1049" s="235"/>
      <c r="C1049" s="235"/>
      <c r="D1049" s="236"/>
      <c r="E1049" s="235"/>
      <c r="F1049" s="235"/>
      <c r="G1049" s="237"/>
      <c r="H1049" s="235"/>
      <c r="I1049" s="235"/>
      <c r="J1049" s="235"/>
      <c r="K1049" s="66"/>
      <c r="L1049" s="238"/>
      <c r="M1049" s="238"/>
    </row>
    <row r="1050" ht="12.75" customHeight="1">
      <c r="A1050" s="238"/>
      <c r="B1050" s="235"/>
      <c r="C1050" s="235"/>
      <c r="D1050" s="236"/>
      <c r="E1050" s="235"/>
      <c r="F1050" s="235"/>
      <c r="G1050" s="237"/>
      <c r="H1050" s="235"/>
      <c r="I1050" s="235"/>
      <c r="J1050" s="235"/>
      <c r="K1050" s="66"/>
      <c r="L1050" s="238"/>
      <c r="M1050" s="238"/>
    </row>
    <row r="1051" ht="12.75" customHeight="1">
      <c r="A1051" s="238"/>
      <c r="B1051" s="235"/>
      <c r="C1051" s="235"/>
      <c r="D1051" s="236"/>
      <c r="E1051" s="235"/>
      <c r="F1051" s="235"/>
      <c r="G1051" s="237"/>
      <c r="H1051" s="235"/>
      <c r="I1051" s="235"/>
      <c r="J1051" s="235"/>
      <c r="K1051" s="66"/>
      <c r="L1051" s="238"/>
      <c r="M1051" s="238"/>
    </row>
    <row r="1052" ht="12.75" customHeight="1">
      <c r="A1052" s="238"/>
      <c r="B1052" s="235"/>
      <c r="C1052" s="235"/>
      <c r="D1052" s="236"/>
      <c r="E1052" s="235"/>
      <c r="F1052" s="235"/>
      <c r="G1052" s="237"/>
      <c r="H1052" s="235"/>
      <c r="I1052" s="235"/>
      <c r="J1052" s="235"/>
      <c r="K1052" s="66"/>
      <c r="L1052" s="238"/>
      <c r="M1052" s="238"/>
    </row>
    <row r="1053" ht="12.75" customHeight="1">
      <c r="A1053" s="238"/>
      <c r="B1053" s="235"/>
      <c r="C1053" s="235"/>
      <c r="D1053" s="236"/>
      <c r="E1053" s="235"/>
      <c r="F1053" s="235"/>
      <c r="G1053" s="237"/>
      <c r="H1053" s="235"/>
      <c r="I1053" s="235"/>
      <c r="J1053" s="235"/>
      <c r="K1053" s="66"/>
      <c r="L1053" s="238"/>
      <c r="M1053" s="238"/>
    </row>
    <row r="1054" ht="12.75" customHeight="1">
      <c r="A1054" s="238"/>
      <c r="B1054" s="235"/>
      <c r="C1054" s="235"/>
      <c r="D1054" s="236"/>
      <c r="E1054" s="235"/>
      <c r="F1054" s="235"/>
      <c r="G1054" s="237"/>
      <c r="H1054" s="235"/>
      <c r="I1054" s="235"/>
      <c r="J1054" s="235"/>
      <c r="K1054" s="66"/>
      <c r="L1054" s="238"/>
      <c r="M1054" s="238"/>
    </row>
    <row r="1055" ht="12.75" customHeight="1">
      <c r="A1055" s="238"/>
      <c r="B1055" s="235"/>
      <c r="C1055" s="235"/>
      <c r="D1055" s="236"/>
      <c r="E1055" s="235"/>
      <c r="F1055" s="235"/>
      <c r="G1055" s="237"/>
      <c r="H1055" s="235"/>
      <c r="I1055" s="235"/>
      <c r="J1055" s="235"/>
      <c r="K1055" s="66"/>
      <c r="L1055" s="238"/>
      <c r="M1055" s="238"/>
    </row>
    <row r="1056" ht="12.75" customHeight="1">
      <c r="A1056" s="238"/>
      <c r="B1056" s="235"/>
      <c r="C1056" s="235"/>
      <c r="D1056" s="236"/>
      <c r="E1056" s="235"/>
      <c r="F1056" s="235"/>
      <c r="G1056" s="237"/>
      <c r="H1056" s="235"/>
      <c r="I1056" s="235"/>
      <c r="J1056" s="235"/>
      <c r="K1056" s="66"/>
      <c r="L1056" s="238"/>
      <c r="M1056" s="238"/>
    </row>
    <row r="1057" ht="12.75" customHeight="1">
      <c r="A1057" s="238"/>
      <c r="B1057" s="235"/>
      <c r="C1057" s="235"/>
      <c r="D1057" s="236"/>
      <c r="E1057" s="235"/>
      <c r="F1057" s="235"/>
      <c r="G1057" s="237"/>
      <c r="H1057" s="235"/>
      <c r="I1057" s="235"/>
      <c r="J1057" s="235"/>
      <c r="K1057" s="66"/>
      <c r="L1057" s="238"/>
      <c r="M1057" s="238"/>
    </row>
    <row r="1058" ht="12.75" customHeight="1">
      <c r="A1058" s="238"/>
      <c r="B1058" s="235"/>
      <c r="C1058" s="235"/>
      <c r="D1058" s="236"/>
      <c r="E1058" s="235"/>
      <c r="F1058" s="235"/>
      <c r="G1058" s="237"/>
      <c r="H1058" s="235"/>
      <c r="I1058" s="235"/>
      <c r="J1058" s="235"/>
      <c r="K1058" s="66"/>
      <c r="L1058" s="238"/>
      <c r="M1058" s="238"/>
    </row>
    <row r="1059" ht="12.75" customHeight="1">
      <c r="A1059" s="238"/>
      <c r="B1059" s="235"/>
      <c r="C1059" s="235"/>
      <c r="D1059" s="236"/>
      <c r="E1059" s="235"/>
      <c r="F1059" s="235"/>
      <c r="G1059" s="237"/>
      <c r="H1059" s="235"/>
      <c r="I1059" s="235"/>
      <c r="J1059" s="235"/>
      <c r="K1059" s="66"/>
      <c r="L1059" s="238"/>
      <c r="M1059" s="238"/>
    </row>
    <row r="1060" ht="12.75" customHeight="1">
      <c r="A1060" s="238"/>
      <c r="B1060" s="235"/>
      <c r="C1060" s="235"/>
      <c r="D1060" s="236"/>
      <c r="E1060" s="235"/>
      <c r="F1060" s="235"/>
      <c r="G1060" s="237"/>
      <c r="H1060" s="235"/>
      <c r="I1060" s="235"/>
      <c r="J1060" s="235"/>
      <c r="K1060" s="66"/>
      <c r="L1060" s="238"/>
      <c r="M1060" s="238"/>
    </row>
    <row r="1061" ht="12.75" customHeight="1">
      <c r="A1061" s="238"/>
      <c r="B1061" s="235"/>
      <c r="C1061" s="235"/>
      <c r="D1061" s="236"/>
      <c r="E1061" s="235"/>
      <c r="F1061" s="235"/>
      <c r="G1061" s="237"/>
      <c r="H1061" s="235"/>
      <c r="I1061" s="235"/>
      <c r="J1061" s="235"/>
      <c r="K1061" s="66"/>
      <c r="L1061" s="238"/>
      <c r="M1061" s="238"/>
    </row>
    <row r="1062" ht="12.75" customHeight="1">
      <c r="A1062" s="238"/>
      <c r="B1062" s="235"/>
      <c r="C1062" s="235"/>
      <c r="D1062" s="236"/>
      <c r="E1062" s="235"/>
      <c r="F1062" s="235"/>
      <c r="G1062" s="237"/>
      <c r="H1062" s="235"/>
      <c r="I1062" s="235"/>
      <c r="J1062" s="235"/>
      <c r="K1062" s="66"/>
      <c r="L1062" s="238"/>
      <c r="M1062" s="238"/>
    </row>
    <row r="1063" ht="12.75" customHeight="1">
      <c r="A1063" s="238"/>
      <c r="B1063" s="235"/>
      <c r="C1063" s="235"/>
      <c r="D1063" s="236"/>
      <c r="E1063" s="235"/>
      <c r="F1063" s="235"/>
      <c r="G1063" s="237"/>
      <c r="H1063" s="235"/>
      <c r="I1063" s="235"/>
      <c r="J1063" s="235"/>
      <c r="K1063" s="66"/>
      <c r="L1063" s="238"/>
      <c r="M1063" s="238"/>
    </row>
    <row r="1064" ht="12.75" customHeight="1">
      <c r="A1064" s="238"/>
      <c r="B1064" s="235"/>
      <c r="C1064" s="235"/>
      <c r="D1064" s="236"/>
      <c r="E1064" s="235"/>
      <c r="F1064" s="235"/>
      <c r="G1064" s="237"/>
      <c r="H1064" s="235"/>
      <c r="I1064" s="235"/>
      <c r="J1064" s="235"/>
      <c r="K1064" s="66"/>
      <c r="L1064" s="238"/>
      <c r="M1064" s="238"/>
    </row>
    <row r="1065" ht="12.75" customHeight="1">
      <c r="A1065" s="238"/>
      <c r="B1065" s="235"/>
      <c r="C1065" s="235"/>
      <c r="D1065" s="236"/>
      <c r="E1065" s="235"/>
      <c r="F1065" s="235"/>
      <c r="G1065" s="237"/>
      <c r="H1065" s="235"/>
      <c r="I1065" s="235"/>
      <c r="J1065" s="235"/>
      <c r="K1065" s="66"/>
      <c r="L1065" s="238"/>
      <c r="M1065" s="238"/>
    </row>
    <row r="1066" ht="12.75" customHeight="1">
      <c r="A1066" s="238"/>
      <c r="B1066" s="235"/>
      <c r="C1066" s="235"/>
      <c r="D1066" s="236"/>
      <c r="E1066" s="235"/>
      <c r="F1066" s="235"/>
      <c r="G1066" s="237"/>
      <c r="H1066" s="235"/>
      <c r="I1066" s="235"/>
      <c r="J1066" s="235"/>
      <c r="K1066" s="66"/>
      <c r="L1066" s="238"/>
      <c r="M1066" s="238"/>
    </row>
    <row r="1067" ht="12.75" customHeight="1">
      <c r="A1067" s="238"/>
      <c r="B1067" s="235"/>
      <c r="C1067" s="235"/>
      <c r="D1067" s="236"/>
      <c r="E1067" s="235"/>
      <c r="F1067" s="235"/>
      <c r="G1067" s="237"/>
      <c r="H1067" s="235"/>
      <c r="I1067" s="235"/>
      <c r="J1067" s="235"/>
      <c r="K1067" s="66"/>
      <c r="L1067" s="238"/>
      <c r="M1067" s="238"/>
    </row>
    <row r="1068" ht="12.75" customHeight="1">
      <c r="A1068" s="238"/>
      <c r="B1068" s="235"/>
      <c r="C1068" s="235"/>
      <c r="D1068" s="236"/>
      <c r="E1068" s="235"/>
      <c r="F1068" s="235"/>
      <c r="G1068" s="237"/>
      <c r="H1068" s="235"/>
      <c r="I1068" s="235"/>
      <c r="J1068" s="235"/>
      <c r="K1068" s="66"/>
      <c r="L1068" s="238"/>
      <c r="M1068" s="238"/>
    </row>
    <row r="1069" ht="12.75" customHeight="1">
      <c r="A1069" s="238"/>
      <c r="B1069" s="235"/>
      <c r="C1069" s="235"/>
      <c r="D1069" s="236"/>
      <c r="E1069" s="235"/>
      <c r="F1069" s="235"/>
      <c r="G1069" s="237"/>
      <c r="H1069" s="235"/>
      <c r="I1069" s="235"/>
      <c r="J1069" s="235"/>
      <c r="K1069" s="66"/>
      <c r="L1069" s="238"/>
      <c r="M1069" s="238"/>
    </row>
    <row r="1070" ht="12.75" customHeight="1">
      <c r="A1070" s="238"/>
      <c r="B1070" s="235"/>
      <c r="C1070" s="235"/>
      <c r="D1070" s="236"/>
      <c r="E1070" s="235"/>
      <c r="F1070" s="235"/>
      <c r="G1070" s="237"/>
      <c r="H1070" s="235"/>
      <c r="I1070" s="235"/>
      <c r="J1070" s="235"/>
      <c r="K1070" s="66"/>
      <c r="L1070" s="238"/>
      <c r="M1070" s="238"/>
    </row>
    <row r="1071" ht="12.75" customHeight="1">
      <c r="A1071" s="238"/>
      <c r="B1071" s="235"/>
      <c r="C1071" s="235"/>
      <c r="D1071" s="236"/>
      <c r="E1071" s="235"/>
      <c r="F1071" s="235"/>
      <c r="G1071" s="237"/>
      <c r="H1071" s="235"/>
      <c r="I1071" s="235"/>
      <c r="J1071" s="235"/>
      <c r="K1071" s="66"/>
      <c r="L1071" s="238"/>
      <c r="M1071" s="238"/>
    </row>
    <row r="1072" ht="12.75" customHeight="1">
      <c r="A1072" s="238"/>
      <c r="B1072" s="235"/>
      <c r="C1072" s="235"/>
      <c r="D1072" s="236"/>
      <c r="E1072" s="235"/>
      <c r="F1072" s="235"/>
      <c r="G1072" s="237"/>
      <c r="H1072" s="235"/>
      <c r="I1072" s="235"/>
      <c r="J1072" s="235"/>
      <c r="K1072" s="66"/>
      <c r="L1072" s="238"/>
      <c r="M1072" s="238"/>
    </row>
    <row r="1073" ht="12.75" customHeight="1">
      <c r="A1073" s="238"/>
      <c r="B1073" s="235"/>
      <c r="C1073" s="235"/>
      <c r="D1073" s="236"/>
      <c r="E1073" s="235"/>
      <c r="F1073" s="235"/>
      <c r="G1073" s="237"/>
      <c r="H1073" s="235"/>
      <c r="I1073" s="235"/>
      <c r="J1073" s="235"/>
      <c r="K1073" s="66"/>
      <c r="L1073" s="238"/>
      <c r="M1073" s="238"/>
    </row>
    <row r="1074" ht="12.75" customHeight="1">
      <c r="A1074" s="238"/>
      <c r="B1074" s="235"/>
      <c r="C1074" s="235"/>
      <c r="D1074" s="236"/>
      <c r="E1074" s="235"/>
      <c r="F1074" s="235"/>
      <c r="G1074" s="237"/>
      <c r="H1074" s="235"/>
      <c r="I1074" s="235"/>
      <c r="J1074" s="235"/>
      <c r="K1074" s="66"/>
      <c r="L1074" s="238"/>
      <c r="M1074" s="238"/>
    </row>
    <row r="1075" ht="12.75" customHeight="1">
      <c r="A1075" s="238"/>
      <c r="B1075" s="235"/>
      <c r="C1075" s="235"/>
      <c r="D1075" s="236"/>
      <c r="E1075" s="235"/>
      <c r="F1075" s="235"/>
      <c r="G1075" s="237"/>
      <c r="H1075" s="235"/>
      <c r="I1075" s="235"/>
      <c r="J1075" s="235"/>
      <c r="K1075" s="66"/>
      <c r="L1075" s="238"/>
      <c r="M1075" s="238"/>
    </row>
    <row r="1076" ht="12.75" customHeight="1">
      <c r="A1076" s="238"/>
      <c r="B1076" s="235"/>
      <c r="C1076" s="235"/>
      <c r="D1076" s="236"/>
      <c r="E1076" s="235"/>
      <c r="F1076" s="235"/>
      <c r="G1076" s="237"/>
      <c r="H1076" s="235"/>
      <c r="I1076" s="235"/>
      <c r="J1076" s="235"/>
      <c r="K1076" s="66"/>
      <c r="L1076" s="238"/>
      <c r="M1076" s="238"/>
    </row>
    <row r="1077" ht="12.75" customHeight="1">
      <c r="A1077" s="238"/>
      <c r="B1077" s="235"/>
      <c r="C1077" s="235"/>
      <c r="D1077" s="236"/>
      <c r="E1077" s="235"/>
      <c r="F1077" s="235"/>
      <c r="G1077" s="237"/>
      <c r="H1077" s="235"/>
      <c r="I1077" s="235"/>
      <c r="J1077" s="235"/>
      <c r="K1077" s="66"/>
      <c r="L1077" s="238"/>
      <c r="M1077" s="238"/>
    </row>
    <row r="1078" ht="12.75" customHeight="1">
      <c r="A1078" s="238"/>
      <c r="B1078" s="235"/>
      <c r="C1078" s="235"/>
      <c r="D1078" s="236"/>
      <c r="E1078" s="235"/>
      <c r="F1078" s="235"/>
      <c r="G1078" s="237"/>
      <c r="H1078" s="235"/>
      <c r="I1078" s="235"/>
      <c r="J1078" s="235"/>
      <c r="K1078" s="66"/>
      <c r="L1078" s="238"/>
      <c r="M1078" s="238"/>
    </row>
    <row r="1079" ht="12.75" customHeight="1">
      <c r="A1079" s="238"/>
      <c r="B1079" s="235"/>
      <c r="C1079" s="235"/>
      <c r="D1079" s="236"/>
      <c r="E1079" s="235"/>
      <c r="F1079" s="235"/>
      <c r="G1079" s="237"/>
      <c r="H1079" s="235"/>
      <c r="I1079" s="235"/>
      <c r="J1079" s="235"/>
      <c r="K1079" s="66"/>
      <c r="L1079" s="238"/>
      <c r="M1079" s="238"/>
    </row>
    <row r="1080" ht="12.75" customHeight="1">
      <c r="A1080" s="238"/>
      <c r="B1080" s="235"/>
      <c r="C1080" s="235"/>
      <c r="D1080" s="236"/>
      <c r="E1080" s="235"/>
      <c r="F1080" s="235"/>
      <c r="G1080" s="237"/>
      <c r="H1080" s="235"/>
      <c r="I1080" s="235"/>
      <c r="J1080" s="235"/>
      <c r="K1080" s="66"/>
      <c r="L1080" s="238"/>
      <c r="M1080" s="238"/>
    </row>
    <row r="1081" ht="12.75" customHeight="1">
      <c r="A1081" s="238"/>
      <c r="B1081" s="235"/>
      <c r="C1081" s="235"/>
      <c r="D1081" s="236"/>
      <c r="E1081" s="235"/>
      <c r="F1081" s="235"/>
      <c r="G1081" s="237"/>
      <c r="H1081" s="235"/>
      <c r="I1081" s="235"/>
      <c r="J1081" s="235"/>
      <c r="K1081" s="66"/>
      <c r="L1081" s="238"/>
      <c r="M1081" s="238"/>
    </row>
    <row r="1082" ht="12.75" customHeight="1">
      <c r="A1082" s="238"/>
      <c r="B1082" s="235"/>
      <c r="C1082" s="235"/>
      <c r="D1082" s="236"/>
      <c r="E1082" s="235"/>
      <c r="F1082" s="235"/>
      <c r="G1082" s="237"/>
      <c r="H1082" s="235"/>
      <c r="I1082" s="235"/>
      <c r="J1082" s="235"/>
      <c r="K1082" s="66"/>
      <c r="L1082" s="238"/>
      <c r="M1082" s="238"/>
    </row>
    <row r="1083" ht="12.75" customHeight="1">
      <c r="A1083" s="238"/>
      <c r="B1083" s="235"/>
      <c r="C1083" s="235"/>
      <c r="D1083" s="236"/>
      <c r="E1083" s="235"/>
      <c r="F1083" s="235"/>
      <c r="G1083" s="237"/>
      <c r="H1083" s="235"/>
      <c r="I1083" s="235"/>
      <c r="J1083" s="235"/>
      <c r="K1083" s="66"/>
      <c r="L1083" s="238"/>
      <c r="M1083" s="238"/>
    </row>
    <row r="1084" ht="12.75" customHeight="1">
      <c r="A1084" s="238"/>
      <c r="B1084" s="235"/>
      <c r="C1084" s="235"/>
      <c r="D1084" s="236"/>
      <c r="E1084" s="235"/>
      <c r="F1084" s="235"/>
      <c r="G1084" s="237"/>
      <c r="H1084" s="235"/>
      <c r="I1084" s="235"/>
      <c r="J1084" s="235"/>
      <c r="K1084" s="66"/>
      <c r="L1084" s="238"/>
      <c r="M1084" s="238"/>
    </row>
    <row r="1085" ht="12.75" customHeight="1">
      <c r="A1085" s="238"/>
      <c r="B1085" s="235"/>
      <c r="C1085" s="235"/>
      <c r="D1085" s="236"/>
      <c r="E1085" s="235"/>
      <c r="F1085" s="235"/>
      <c r="G1085" s="237"/>
      <c r="H1085" s="235"/>
      <c r="I1085" s="235"/>
      <c r="J1085" s="235"/>
      <c r="K1085" s="66"/>
      <c r="L1085" s="238"/>
      <c r="M1085" s="238"/>
    </row>
    <row r="1086" ht="12.75" customHeight="1">
      <c r="A1086" s="238"/>
      <c r="B1086" s="235"/>
      <c r="C1086" s="235"/>
      <c r="D1086" s="236"/>
      <c r="E1086" s="235"/>
      <c r="F1086" s="235"/>
      <c r="G1086" s="237"/>
      <c r="H1086" s="235"/>
      <c r="I1086" s="235"/>
      <c r="J1086" s="235"/>
      <c r="K1086" s="66"/>
      <c r="L1086" s="238"/>
      <c r="M1086" s="238"/>
    </row>
    <row r="1087" ht="12.75" customHeight="1">
      <c r="A1087" s="238"/>
      <c r="B1087" s="235"/>
      <c r="C1087" s="235"/>
      <c r="D1087" s="236"/>
      <c r="E1087" s="235"/>
      <c r="F1087" s="235"/>
      <c r="G1087" s="237"/>
      <c r="H1087" s="235"/>
      <c r="I1087" s="235"/>
      <c r="J1087" s="235"/>
      <c r="K1087" s="66"/>
      <c r="L1087" s="238"/>
      <c r="M1087" s="238"/>
    </row>
    <row r="1088" ht="12.75" customHeight="1">
      <c r="A1088" s="238"/>
      <c r="B1088" s="235"/>
      <c r="C1088" s="235"/>
      <c r="D1088" s="236"/>
      <c r="E1088" s="235"/>
      <c r="F1088" s="235"/>
      <c r="G1088" s="237"/>
      <c r="H1088" s="235"/>
      <c r="I1088" s="235"/>
      <c r="J1088" s="235"/>
      <c r="K1088" s="66"/>
      <c r="L1088" s="238"/>
      <c r="M1088" s="238"/>
    </row>
    <row r="1089" ht="12.75" customHeight="1">
      <c r="A1089" s="238"/>
      <c r="B1089" s="235"/>
      <c r="C1089" s="235"/>
      <c r="D1089" s="236"/>
      <c r="E1089" s="235"/>
      <c r="F1089" s="235"/>
      <c r="G1089" s="237"/>
      <c r="H1089" s="235"/>
      <c r="I1089" s="235"/>
      <c r="J1089" s="235"/>
      <c r="K1089" s="66"/>
      <c r="L1089" s="238"/>
      <c r="M1089" s="238"/>
    </row>
    <row r="1090" ht="12.75" customHeight="1">
      <c r="A1090" s="238"/>
      <c r="B1090" s="235"/>
      <c r="C1090" s="235"/>
      <c r="D1090" s="236"/>
      <c r="E1090" s="235"/>
      <c r="F1090" s="235"/>
      <c r="G1090" s="237"/>
      <c r="H1090" s="235"/>
      <c r="I1090" s="235"/>
      <c r="J1090" s="235"/>
      <c r="K1090" s="66"/>
      <c r="L1090" s="238"/>
      <c r="M1090" s="238"/>
    </row>
    <row r="1091" ht="12.75" customHeight="1">
      <c r="A1091" s="238"/>
      <c r="B1091" s="235"/>
      <c r="C1091" s="235"/>
      <c r="D1091" s="236"/>
      <c r="E1091" s="235"/>
      <c r="F1091" s="235"/>
      <c r="G1091" s="237"/>
      <c r="H1091" s="235"/>
      <c r="I1091" s="235"/>
      <c r="J1091" s="235"/>
      <c r="K1091" s="66"/>
      <c r="L1091" s="238"/>
      <c r="M1091" s="238"/>
    </row>
    <row r="1092" ht="12.75" customHeight="1">
      <c r="A1092" s="238"/>
      <c r="B1092" s="235"/>
      <c r="C1092" s="235"/>
      <c r="D1092" s="236"/>
      <c r="E1092" s="235"/>
      <c r="F1092" s="235"/>
      <c r="G1092" s="237"/>
      <c r="H1092" s="235"/>
      <c r="I1092" s="235"/>
      <c r="J1092" s="235"/>
      <c r="K1092" s="66"/>
      <c r="L1092" s="238"/>
      <c r="M1092" s="238"/>
    </row>
    <row r="1093" ht="12.75" customHeight="1">
      <c r="A1093" s="238"/>
      <c r="B1093" s="235"/>
      <c r="C1093" s="235"/>
      <c r="D1093" s="236"/>
      <c r="E1093" s="235"/>
      <c r="F1093" s="235"/>
      <c r="G1093" s="237"/>
      <c r="H1093" s="235"/>
      <c r="I1093" s="235"/>
      <c r="J1093" s="235"/>
      <c r="K1093" s="66"/>
      <c r="L1093" s="238"/>
      <c r="M1093" s="238"/>
    </row>
    <row r="1094" ht="12.75" customHeight="1">
      <c r="A1094" s="238"/>
      <c r="B1094" s="235"/>
      <c r="C1094" s="235"/>
      <c r="D1094" s="236"/>
      <c r="E1094" s="235"/>
      <c r="F1094" s="235"/>
      <c r="G1094" s="237"/>
      <c r="H1094" s="235"/>
      <c r="I1094" s="235"/>
      <c r="J1094" s="235"/>
      <c r="K1094" s="66"/>
      <c r="L1094" s="238"/>
      <c r="M1094" s="238"/>
    </row>
    <row r="1095" ht="12.75" customHeight="1">
      <c r="A1095" s="238"/>
      <c r="B1095" s="235"/>
      <c r="C1095" s="235"/>
      <c r="D1095" s="236"/>
      <c r="E1095" s="235"/>
      <c r="F1095" s="235"/>
      <c r="G1095" s="237"/>
      <c r="H1095" s="235"/>
      <c r="I1095" s="235"/>
      <c r="J1095" s="235"/>
      <c r="K1095" s="66"/>
      <c r="L1095" s="238"/>
      <c r="M1095" s="238"/>
    </row>
    <row r="1096" ht="12.75" customHeight="1">
      <c r="A1096" s="238"/>
      <c r="B1096" s="235"/>
      <c r="C1096" s="235"/>
      <c r="D1096" s="236"/>
      <c r="E1096" s="235"/>
      <c r="F1096" s="235"/>
      <c r="G1096" s="237"/>
      <c r="H1096" s="235"/>
      <c r="I1096" s="235"/>
      <c r="J1096" s="235"/>
      <c r="K1096" s="66"/>
      <c r="L1096" s="238"/>
      <c r="M1096" s="238"/>
    </row>
    <row r="1097" ht="12.75" customHeight="1">
      <c r="A1097" s="238"/>
      <c r="B1097" s="235"/>
      <c r="C1097" s="235"/>
      <c r="D1097" s="236"/>
      <c r="E1097" s="235"/>
      <c r="F1097" s="235"/>
      <c r="G1097" s="237"/>
      <c r="H1097" s="235"/>
      <c r="I1097" s="235"/>
      <c r="J1097" s="235"/>
      <c r="K1097" s="66"/>
      <c r="L1097" s="238"/>
      <c r="M1097" s="238"/>
    </row>
    <row r="1098" ht="12.75" customHeight="1">
      <c r="A1098" s="238"/>
      <c r="B1098" s="235"/>
      <c r="C1098" s="235"/>
      <c r="D1098" s="236"/>
      <c r="E1098" s="235"/>
      <c r="F1098" s="235"/>
      <c r="G1098" s="237"/>
      <c r="H1098" s="235"/>
      <c r="I1098" s="235"/>
      <c r="J1098" s="235"/>
      <c r="K1098" s="66"/>
      <c r="L1098" s="238"/>
      <c r="M1098" s="238"/>
    </row>
    <row r="1099" ht="12.75" customHeight="1">
      <c r="A1099" s="238"/>
      <c r="B1099" s="235"/>
      <c r="C1099" s="235"/>
      <c r="D1099" s="236"/>
      <c r="E1099" s="235"/>
      <c r="F1099" s="235"/>
      <c r="G1099" s="237"/>
      <c r="H1099" s="235"/>
      <c r="I1099" s="235"/>
      <c r="J1099" s="235"/>
      <c r="K1099" s="66"/>
      <c r="L1099" s="238"/>
      <c r="M1099" s="238"/>
    </row>
    <row r="1100" ht="12.75" customHeight="1">
      <c r="A1100" s="238"/>
      <c r="B1100" s="235"/>
      <c r="C1100" s="235"/>
      <c r="D1100" s="236"/>
      <c r="E1100" s="235"/>
      <c r="F1100" s="235"/>
      <c r="G1100" s="237"/>
      <c r="H1100" s="235"/>
      <c r="I1100" s="235"/>
      <c r="J1100" s="235"/>
      <c r="K1100" s="66"/>
      <c r="L1100" s="238"/>
      <c r="M1100" s="238"/>
    </row>
    <row r="1101" ht="12.75" customHeight="1">
      <c r="A1101" s="238"/>
      <c r="B1101" s="235"/>
      <c r="C1101" s="235"/>
      <c r="D1101" s="236"/>
      <c r="E1101" s="235"/>
      <c r="F1101" s="235"/>
      <c r="G1101" s="237"/>
      <c r="H1101" s="235"/>
      <c r="I1101" s="235"/>
      <c r="J1101" s="235"/>
      <c r="K1101" s="66"/>
      <c r="L1101" s="238"/>
      <c r="M1101" s="238"/>
    </row>
    <row r="1102" ht="12.75" customHeight="1">
      <c r="A1102" s="238"/>
      <c r="B1102" s="235"/>
      <c r="C1102" s="235"/>
      <c r="D1102" s="236"/>
      <c r="E1102" s="235"/>
      <c r="F1102" s="235"/>
      <c r="G1102" s="237"/>
      <c r="H1102" s="235"/>
      <c r="I1102" s="235"/>
      <c r="J1102" s="235"/>
      <c r="K1102" s="66"/>
      <c r="L1102" s="238"/>
      <c r="M1102" s="238"/>
    </row>
    <row r="1103" ht="12.75" customHeight="1">
      <c r="A1103" s="238"/>
      <c r="B1103" s="235"/>
      <c r="C1103" s="235"/>
      <c r="D1103" s="236"/>
      <c r="E1103" s="235"/>
      <c r="F1103" s="235"/>
      <c r="G1103" s="237"/>
      <c r="H1103" s="235"/>
      <c r="I1103" s="235"/>
      <c r="J1103" s="235"/>
      <c r="K1103" s="66"/>
      <c r="L1103" s="238"/>
      <c r="M1103" s="238"/>
    </row>
    <row r="1104" ht="12.75" customHeight="1">
      <c r="A1104" s="238"/>
      <c r="B1104" s="235"/>
      <c r="C1104" s="235"/>
      <c r="D1104" s="236"/>
      <c r="E1104" s="235"/>
      <c r="F1104" s="235"/>
      <c r="G1104" s="237"/>
      <c r="H1104" s="235"/>
      <c r="I1104" s="235"/>
      <c r="J1104" s="235"/>
      <c r="K1104" s="66"/>
      <c r="L1104" s="238"/>
      <c r="M1104" s="238"/>
    </row>
    <row r="1105" ht="12.75" customHeight="1">
      <c r="A1105" s="238"/>
      <c r="B1105" s="235"/>
      <c r="C1105" s="235"/>
      <c r="D1105" s="236"/>
      <c r="E1105" s="235"/>
      <c r="F1105" s="235"/>
      <c r="G1105" s="237"/>
      <c r="H1105" s="235"/>
      <c r="I1105" s="235"/>
      <c r="J1105" s="235"/>
      <c r="K1105" s="66"/>
      <c r="L1105" s="238"/>
      <c r="M1105" s="238"/>
    </row>
    <row r="1106" ht="12.75" customHeight="1">
      <c r="A1106" s="238"/>
      <c r="B1106" s="235"/>
      <c r="C1106" s="235"/>
      <c r="D1106" s="236"/>
      <c r="E1106" s="235"/>
      <c r="F1106" s="235"/>
      <c r="G1106" s="237"/>
      <c r="H1106" s="235"/>
      <c r="I1106" s="235"/>
      <c r="J1106" s="235"/>
      <c r="K1106" s="66"/>
      <c r="L1106" s="238"/>
      <c r="M1106" s="238"/>
    </row>
    <row r="1107" ht="12.75" customHeight="1">
      <c r="A1107" s="238"/>
      <c r="B1107" s="235"/>
      <c r="C1107" s="235"/>
      <c r="D1107" s="236"/>
      <c r="E1107" s="235"/>
      <c r="F1107" s="235"/>
      <c r="G1107" s="237"/>
      <c r="H1107" s="235"/>
      <c r="I1107" s="235"/>
      <c r="J1107" s="235"/>
      <c r="K1107" s="66"/>
      <c r="L1107" s="238"/>
      <c r="M1107" s="238"/>
    </row>
    <row r="1108" ht="12.75" customHeight="1">
      <c r="A1108" s="238"/>
      <c r="B1108" s="235"/>
      <c r="C1108" s="235"/>
      <c r="D1108" s="236"/>
      <c r="E1108" s="235"/>
      <c r="F1108" s="235"/>
      <c r="G1108" s="237"/>
      <c r="H1108" s="235"/>
      <c r="I1108" s="235"/>
      <c r="J1108" s="235"/>
      <c r="K1108" s="66"/>
      <c r="L1108" s="238"/>
      <c r="M1108" s="238"/>
    </row>
    <row r="1109" ht="12.75" customHeight="1">
      <c r="A1109" s="238"/>
      <c r="B1109" s="235"/>
      <c r="C1109" s="235"/>
      <c r="D1109" s="236"/>
      <c r="E1109" s="235"/>
      <c r="F1109" s="235"/>
      <c r="G1109" s="237"/>
      <c r="H1109" s="235"/>
      <c r="I1109" s="235"/>
      <c r="J1109" s="235"/>
      <c r="K1109" s="66"/>
      <c r="L1109" s="238"/>
      <c r="M1109" s="238"/>
    </row>
    <row r="1110" ht="12.75" customHeight="1">
      <c r="A1110" s="238"/>
      <c r="B1110" s="235"/>
      <c r="C1110" s="235"/>
      <c r="D1110" s="236"/>
      <c r="E1110" s="235"/>
      <c r="F1110" s="235"/>
      <c r="G1110" s="237"/>
      <c r="H1110" s="235"/>
      <c r="I1110" s="235"/>
      <c r="J1110" s="235"/>
      <c r="K1110" s="66"/>
      <c r="L1110" s="238"/>
      <c r="M1110" s="238"/>
    </row>
    <row r="1111" ht="12.75" customHeight="1">
      <c r="A1111" s="238"/>
      <c r="B1111" s="235"/>
      <c r="C1111" s="235"/>
      <c r="D1111" s="236"/>
      <c r="E1111" s="235"/>
      <c r="F1111" s="235"/>
      <c r="G1111" s="237"/>
      <c r="H1111" s="235"/>
      <c r="I1111" s="235"/>
      <c r="J1111" s="235"/>
      <c r="K1111" s="66"/>
      <c r="L1111" s="238"/>
      <c r="M1111" s="238"/>
    </row>
    <row r="1112" ht="12.75" customHeight="1">
      <c r="A1112" s="238"/>
      <c r="B1112" s="235"/>
      <c r="C1112" s="235"/>
      <c r="D1112" s="236"/>
      <c r="E1112" s="235"/>
      <c r="F1112" s="235"/>
      <c r="G1112" s="237"/>
      <c r="H1112" s="235"/>
      <c r="I1112" s="235"/>
      <c r="J1112" s="235"/>
      <c r="K1112" s="66"/>
      <c r="L1112" s="238"/>
      <c r="M1112" s="238"/>
    </row>
    <row r="1113" ht="12.75" customHeight="1">
      <c r="A1113" s="238"/>
      <c r="B1113" s="235"/>
      <c r="C1113" s="235"/>
      <c r="D1113" s="236"/>
      <c r="E1113" s="235"/>
      <c r="F1113" s="235"/>
      <c r="G1113" s="237"/>
      <c r="H1113" s="235"/>
      <c r="I1113" s="235"/>
      <c r="J1113" s="235"/>
      <c r="K1113" s="66"/>
      <c r="L1113" s="238"/>
      <c r="M1113" s="238"/>
    </row>
    <row r="1114" ht="12.75" customHeight="1">
      <c r="A1114" s="238"/>
      <c r="B1114" s="235"/>
      <c r="C1114" s="235"/>
      <c r="D1114" s="236"/>
      <c r="E1114" s="235"/>
      <c r="F1114" s="235"/>
      <c r="G1114" s="237"/>
      <c r="H1114" s="235"/>
      <c r="I1114" s="235"/>
      <c r="J1114" s="235"/>
      <c r="K1114" s="66"/>
      <c r="L1114" s="238"/>
      <c r="M1114" s="238"/>
    </row>
    <row r="1115" ht="12.75" customHeight="1">
      <c r="A1115" s="238"/>
      <c r="B1115" s="235"/>
      <c r="C1115" s="235"/>
      <c r="D1115" s="236"/>
      <c r="E1115" s="235"/>
      <c r="F1115" s="235"/>
      <c r="G1115" s="237"/>
      <c r="H1115" s="235"/>
      <c r="I1115" s="235"/>
      <c r="J1115" s="235"/>
      <c r="K1115" s="66"/>
      <c r="L1115" s="238"/>
      <c r="M1115" s="238"/>
    </row>
    <row r="1116" ht="12.75" customHeight="1">
      <c r="A1116" s="238"/>
      <c r="B1116" s="235"/>
      <c r="C1116" s="235"/>
      <c r="D1116" s="236"/>
      <c r="E1116" s="235"/>
      <c r="F1116" s="235"/>
      <c r="G1116" s="237"/>
      <c r="H1116" s="235"/>
      <c r="I1116" s="235"/>
      <c r="J1116" s="235"/>
      <c r="K1116" s="66"/>
      <c r="L1116" s="238"/>
      <c r="M1116" s="238"/>
    </row>
    <row r="1117" ht="12.75" customHeight="1">
      <c r="A1117" s="238"/>
      <c r="B1117" s="235"/>
      <c r="C1117" s="235"/>
      <c r="D1117" s="236"/>
      <c r="E1117" s="235"/>
      <c r="F1117" s="235"/>
      <c r="G1117" s="237"/>
      <c r="H1117" s="235"/>
      <c r="I1117" s="235"/>
      <c r="J1117" s="235"/>
      <c r="K1117" s="66"/>
      <c r="L1117" s="238"/>
      <c r="M1117" s="238"/>
    </row>
    <row r="1118" ht="12.75" customHeight="1">
      <c r="A1118" s="238"/>
      <c r="B1118" s="235"/>
      <c r="C1118" s="235"/>
      <c r="D1118" s="236"/>
      <c r="E1118" s="235"/>
      <c r="F1118" s="235"/>
      <c r="G1118" s="237"/>
      <c r="H1118" s="235"/>
      <c r="I1118" s="235"/>
      <c r="J1118" s="235"/>
      <c r="K1118" s="66"/>
      <c r="L1118" s="238"/>
      <c r="M1118" s="238"/>
    </row>
    <row r="1119" ht="12.75" customHeight="1">
      <c r="A1119" s="238"/>
      <c r="B1119" s="235"/>
      <c r="C1119" s="235"/>
      <c r="D1119" s="236"/>
      <c r="E1119" s="235"/>
      <c r="F1119" s="235"/>
      <c r="G1119" s="237"/>
      <c r="H1119" s="235"/>
      <c r="I1119" s="235"/>
      <c r="J1119" s="235"/>
      <c r="K1119" s="66"/>
      <c r="L1119" s="238"/>
      <c r="M1119" s="238"/>
    </row>
    <row r="1120" ht="12.75" customHeight="1">
      <c r="A1120" s="238"/>
      <c r="B1120" s="235"/>
      <c r="C1120" s="235"/>
      <c r="D1120" s="236"/>
      <c r="E1120" s="235"/>
      <c r="F1120" s="235"/>
      <c r="G1120" s="237"/>
      <c r="H1120" s="235"/>
      <c r="I1120" s="235"/>
      <c r="J1120" s="235"/>
      <c r="K1120" s="66"/>
      <c r="L1120" s="238"/>
      <c r="M1120" s="238"/>
    </row>
    <row r="1121" ht="12.75" customHeight="1">
      <c r="A1121" s="238"/>
      <c r="B1121" s="235"/>
      <c r="C1121" s="235"/>
      <c r="D1121" s="236"/>
      <c r="E1121" s="235"/>
      <c r="F1121" s="235"/>
      <c r="G1121" s="237"/>
      <c r="H1121" s="235"/>
      <c r="I1121" s="235"/>
      <c r="J1121" s="235"/>
      <c r="K1121" s="66"/>
      <c r="L1121" s="238"/>
      <c r="M1121" s="238"/>
    </row>
    <row r="1122" ht="12.75" customHeight="1">
      <c r="A1122" s="238"/>
      <c r="B1122" s="235"/>
      <c r="C1122" s="235"/>
      <c r="D1122" s="236"/>
      <c r="E1122" s="235"/>
      <c r="F1122" s="235"/>
      <c r="G1122" s="237"/>
      <c r="H1122" s="235"/>
      <c r="I1122" s="235"/>
      <c r="J1122" s="235"/>
      <c r="K1122" s="66"/>
      <c r="L1122" s="238"/>
      <c r="M1122" s="238"/>
    </row>
    <row r="1123" ht="12.75" customHeight="1">
      <c r="A1123" s="238"/>
      <c r="B1123" s="235"/>
      <c r="C1123" s="235"/>
      <c r="D1123" s="236"/>
      <c r="E1123" s="235"/>
      <c r="F1123" s="235"/>
      <c r="G1123" s="237"/>
      <c r="H1123" s="235"/>
      <c r="I1123" s="235"/>
      <c r="J1123" s="235"/>
      <c r="K1123" s="66"/>
      <c r="L1123" s="238"/>
      <c r="M1123" s="238"/>
    </row>
    <row r="1124" ht="12.75" customHeight="1">
      <c r="A1124" s="238"/>
      <c r="B1124" s="235"/>
      <c r="C1124" s="235"/>
      <c r="D1124" s="236"/>
      <c r="E1124" s="235"/>
      <c r="F1124" s="235"/>
      <c r="G1124" s="237"/>
      <c r="H1124" s="235"/>
      <c r="I1124" s="235"/>
      <c r="J1124" s="235"/>
      <c r="K1124" s="66"/>
      <c r="L1124" s="238"/>
      <c r="M1124" s="238"/>
    </row>
    <row r="1125" ht="12.75" customHeight="1">
      <c r="A1125" s="238"/>
      <c r="B1125" s="235"/>
      <c r="C1125" s="235"/>
      <c r="D1125" s="236"/>
      <c r="E1125" s="235"/>
      <c r="F1125" s="235"/>
      <c r="G1125" s="237"/>
      <c r="H1125" s="235"/>
      <c r="I1125" s="235"/>
      <c r="J1125" s="235"/>
      <c r="K1125" s="66"/>
      <c r="L1125" s="238"/>
      <c r="M1125" s="238"/>
    </row>
    <row r="1126" ht="12.75" customHeight="1">
      <c r="A1126" s="238"/>
      <c r="B1126" s="235"/>
      <c r="C1126" s="235"/>
      <c r="D1126" s="236"/>
      <c r="E1126" s="235"/>
      <c r="F1126" s="235"/>
      <c r="G1126" s="237"/>
      <c r="H1126" s="235"/>
      <c r="I1126" s="235"/>
      <c r="J1126" s="235"/>
      <c r="K1126" s="66"/>
      <c r="L1126" s="238"/>
      <c r="M1126" s="238"/>
    </row>
    <row r="1127" ht="12.75" customHeight="1">
      <c r="A1127" s="238"/>
      <c r="B1127" s="235"/>
      <c r="C1127" s="235"/>
      <c r="D1127" s="236"/>
      <c r="E1127" s="235"/>
      <c r="F1127" s="235"/>
      <c r="G1127" s="237"/>
      <c r="H1127" s="235"/>
      <c r="I1127" s="235"/>
      <c r="J1127" s="235"/>
      <c r="K1127" s="66"/>
      <c r="L1127" s="238"/>
      <c r="M1127" s="238"/>
    </row>
    <row r="1128" ht="12.75" customHeight="1">
      <c r="A1128" s="238"/>
      <c r="B1128" s="235"/>
      <c r="C1128" s="235"/>
      <c r="D1128" s="236"/>
      <c r="E1128" s="235"/>
      <c r="F1128" s="235"/>
      <c r="G1128" s="237"/>
      <c r="H1128" s="235"/>
      <c r="I1128" s="235"/>
      <c r="J1128" s="235"/>
      <c r="K1128" s="66"/>
      <c r="L1128" s="238"/>
      <c r="M1128" s="238"/>
    </row>
    <row r="1129" ht="12.75" customHeight="1">
      <c r="A1129" s="238"/>
      <c r="B1129" s="235"/>
      <c r="C1129" s="235"/>
      <c r="D1129" s="236"/>
      <c r="E1129" s="235"/>
      <c r="F1129" s="235"/>
      <c r="G1129" s="237"/>
      <c r="H1129" s="235"/>
      <c r="I1129" s="235"/>
      <c r="J1129" s="235"/>
      <c r="K1129" s="66"/>
      <c r="L1129" s="238"/>
      <c r="M1129" s="238"/>
    </row>
    <row r="1130" ht="12.75" customHeight="1">
      <c r="A1130" s="238"/>
      <c r="B1130" s="235"/>
      <c r="C1130" s="235"/>
      <c r="D1130" s="236"/>
      <c r="E1130" s="235"/>
      <c r="F1130" s="235"/>
      <c r="G1130" s="237"/>
      <c r="H1130" s="235"/>
      <c r="I1130" s="235"/>
      <c r="J1130" s="235"/>
      <c r="K1130" s="66"/>
      <c r="L1130" s="238"/>
      <c r="M1130" s="238"/>
    </row>
    <row r="1131" ht="12.75" customHeight="1">
      <c r="A1131" s="238"/>
      <c r="B1131" s="235"/>
      <c r="C1131" s="235"/>
      <c r="D1131" s="236"/>
      <c r="E1131" s="235"/>
      <c r="F1131" s="235"/>
      <c r="G1131" s="237"/>
      <c r="H1131" s="235"/>
      <c r="I1131" s="235"/>
      <c r="J1131" s="235"/>
      <c r="K1131" s="66"/>
      <c r="L1131" s="238"/>
      <c r="M1131" s="238"/>
    </row>
    <row r="1132" ht="12.75" customHeight="1">
      <c r="A1132" s="238"/>
      <c r="B1132" s="235"/>
      <c r="C1132" s="235"/>
      <c r="D1132" s="236"/>
      <c r="E1132" s="235"/>
      <c r="F1132" s="235"/>
      <c r="G1132" s="237"/>
      <c r="H1132" s="235"/>
      <c r="I1132" s="235"/>
      <c r="J1132" s="235"/>
      <c r="K1132" s="66"/>
      <c r="L1132" s="238"/>
      <c r="M1132" s="238"/>
    </row>
    <row r="1133" ht="12.75" customHeight="1">
      <c r="A1133" s="238"/>
      <c r="B1133" s="235"/>
      <c r="C1133" s="235"/>
      <c r="D1133" s="236"/>
      <c r="E1133" s="235"/>
      <c r="F1133" s="235"/>
      <c r="G1133" s="237"/>
      <c r="H1133" s="235"/>
      <c r="I1133" s="235"/>
      <c r="J1133" s="235"/>
      <c r="K1133" s="66"/>
      <c r="L1133" s="238"/>
      <c r="M1133" s="238"/>
    </row>
    <row r="1134" ht="12.75" customHeight="1">
      <c r="A1134" s="238"/>
      <c r="B1134" s="235"/>
      <c r="C1134" s="235"/>
      <c r="D1134" s="236"/>
      <c r="E1134" s="235"/>
      <c r="F1134" s="235"/>
      <c r="G1134" s="237"/>
      <c r="H1134" s="235"/>
      <c r="I1134" s="235"/>
      <c r="J1134" s="235"/>
      <c r="K1134" s="66"/>
      <c r="L1134" s="238"/>
      <c r="M1134" s="238"/>
    </row>
    <row r="1135" ht="12.75" customHeight="1">
      <c r="A1135" s="238"/>
      <c r="B1135" s="235"/>
      <c r="C1135" s="235"/>
      <c r="D1135" s="236"/>
      <c r="E1135" s="235"/>
      <c r="F1135" s="235"/>
      <c r="G1135" s="237"/>
      <c r="H1135" s="235"/>
      <c r="I1135" s="235"/>
      <c r="J1135" s="235"/>
      <c r="K1135" s="66"/>
      <c r="L1135" s="238"/>
      <c r="M1135" s="238"/>
    </row>
    <row r="1136" ht="12.75" customHeight="1">
      <c r="A1136" s="238"/>
      <c r="B1136" s="235"/>
      <c r="C1136" s="235"/>
      <c r="D1136" s="236"/>
      <c r="E1136" s="235"/>
      <c r="F1136" s="235"/>
      <c r="G1136" s="237"/>
      <c r="H1136" s="235"/>
      <c r="I1136" s="235"/>
      <c r="J1136" s="235"/>
      <c r="K1136" s="66"/>
      <c r="L1136" s="238"/>
      <c r="M1136" s="238"/>
    </row>
    <row r="1137" ht="12.75" customHeight="1">
      <c r="A1137" s="238"/>
      <c r="B1137" s="235"/>
      <c r="C1137" s="235"/>
      <c r="D1137" s="236"/>
      <c r="E1137" s="235"/>
      <c r="F1137" s="235"/>
      <c r="G1137" s="237"/>
      <c r="H1137" s="235"/>
      <c r="I1137" s="235"/>
      <c r="J1137" s="235"/>
      <c r="K1137" s="66"/>
      <c r="L1137" s="238"/>
      <c r="M1137" s="238"/>
    </row>
    <row r="1138" ht="12.75" customHeight="1">
      <c r="A1138" s="238"/>
      <c r="B1138" s="235"/>
      <c r="C1138" s="235"/>
      <c r="D1138" s="236"/>
      <c r="E1138" s="235"/>
      <c r="F1138" s="235"/>
      <c r="G1138" s="237"/>
      <c r="H1138" s="235"/>
      <c r="I1138" s="235"/>
      <c r="J1138" s="235"/>
      <c r="K1138" s="66"/>
      <c r="L1138" s="238"/>
      <c r="M1138" s="238"/>
    </row>
    <row r="1139" ht="12.75" customHeight="1">
      <c r="A1139" s="238"/>
      <c r="B1139" s="235"/>
      <c r="C1139" s="235"/>
      <c r="D1139" s="236"/>
      <c r="E1139" s="235"/>
      <c r="F1139" s="235"/>
      <c r="G1139" s="237"/>
      <c r="H1139" s="235"/>
      <c r="I1139" s="235"/>
      <c r="J1139" s="235"/>
      <c r="K1139" s="66"/>
      <c r="L1139" s="238"/>
      <c r="M1139" s="238"/>
    </row>
    <row r="1140" ht="12.75" customHeight="1">
      <c r="A1140" s="238"/>
      <c r="B1140" s="235"/>
      <c r="C1140" s="235"/>
      <c r="D1140" s="236"/>
      <c r="E1140" s="235"/>
      <c r="F1140" s="235"/>
      <c r="G1140" s="237"/>
      <c r="H1140" s="235"/>
      <c r="I1140" s="235"/>
      <c r="J1140" s="235"/>
      <c r="K1140" s="66"/>
      <c r="L1140" s="238"/>
      <c r="M1140" s="238"/>
    </row>
    <row r="1141" ht="12.75" customHeight="1">
      <c r="A1141" s="238"/>
      <c r="B1141" s="235"/>
      <c r="C1141" s="235"/>
      <c r="D1141" s="236"/>
      <c r="E1141" s="235"/>
      <c r="F1141" s="235"/>
      <c r="G1141" s="237"/>
      <c r="H1141" s="235"/>
      <c r="I1141" s="235"/>
      <c r="J1141" s="235"/>
      <c r="K1141" s="66"/>
      <c r="L1141" s="238"/>
      <c r="M1141" s="238"/>
    </row>
    <row r="1142" ht="12.75" customHeight="1">
      <c r="A1142" s="238"/>
      <c r="B1142" s="235"/>
      <c r="C1142" s="235"/>
      <c r="D1142" s="236"/>
      <c r="E1142" s="235"/>
      <c r="F1142" s="235"/>
      <c r="G1142" s="237"/>
      <c r="H1142" s="235"/>
      <c r="I1142" s="235"/>
      <c r="J1142" s="235"/>
      <c r="K1142" s="66"/>
      <c r="L1142" s="238"/>
      <c r="M1142" s="238"/>
    </row>
    <row r="1143" ht="12.75" customHeight="1">
      <c r="A1143" s="238"/>
      <c r="B1143" s="235"/>
      <c r="C1143" s="235"/>
      <c r="D1143" s="236"/>
      <c r="E1143" s="235"/>
      <c r="F1143" s="235"/>
      <c r="G1143" s="237"/>
      <c r="H1143" s="235"/>
      <c r="I1143" s="235"/>
      <c r="J1143" s="235"/>
      <c r="K1143" s="66"/>
      <c r="L1143" s="238"/>
      <c r="M1143" s="238"/>
    </row>
    <row r="1144" ht="12.75" customHeight="1">
      <c r="A1144" s="238"/>
      <c r="B1144" s="235"/>
      <c r="C1144" s="235"/>
      <c r="D1144" s="236"/>
      <c r="E1144" s="235"/>
      <c r="F1144" s="235"/>
      <c r="G1144" s="237"/>
      <c r="H1144" s="235"/>
      <c r="I1144" s="235"/>
      <c r="J1144" s="235"/>
      <c r="K1144" s="66"/>
      <c r="L1144" s="238"/>
      <c r="M1144" s="238"/>
    </row>
    <row r="1145" ht="12.75" customHeight="1">
      <c r="A1145" s="238"/>
      <c r="B1145" s="235"/>
      <c r="C1145" s="235"/>
      <c r="D1145" s="236"/>
      <c r="E1145" s="235"/>
      <c r="F1145" s="235"/>
      <c r="G1145" s="237"/>
      <c r="H1145" s="235"/>
      <c r="I1145" s="235"/>
      <c r="J1145" s="235"/>
      <c r="K1145" s="66"/>
      <c r="L1145" s="238"/>
      <c r="M1145" s="238"/>
    </row>
    <row r="1146" ht="12.75" customHeight="1">
      <c r="A1146" s="238"/>
      <c r="B1146" s="235"/>
      <c r="C1146" s="235"/>
      <c r="D1146" s="236"/>
      <c r="E1146" s="235"/>
      <c r="F1146" s="235"/>
      <c r="G1146" s="237"/>
      <c r="H1146" s="235"/>
      <c r="I1146" s="235"/>
      <c r="J1146" s="235"/>
      <c r="K1146" s="66"/>
      <c r="L1146" s="238"/>
      <c r="M1146" s="238"/>
    </row>
    <row r="1147" ht="12.75" customHeight="1">
      <c r="A1147" s="238"/>
      <c r="B1147" s="235"/>
      <c r="C1147" s="235"/>
      <c r="D1147" s="236"/>
      <c r="E1147" s="235"/>
      <c r="F1147" s="235"/>
      <c r="G1147" s="237"/>
      <c r="H1147" s="235"/>
      <c r="I1147" s="235"/>
      <c r="J1147" s="235"/>
      <c r="K1147" s="66"/>
      <c r="L1147" s="238"/>
      <c r="M1147" s="238"/>
    </row>
    <row r="1148" ht="12.75" customHeight="1">
      <c r="A1148" s="238"/>
      <c r="B1148" s="235"/>
      <c r="C1148" s="235"/>
      <c r="D1148" s="236"/>
      <c r="E1148" s="235"/>
      <c r="F1148" s="235"/>
      <c r="G1148" s="237"/>
      <c r="H1148" s="235"/>
      <c r="I1148" s="235"/>
      <c r="J1148" s="235"/>
      <c r="K1148" s="66"/>
      <c r="L1148" s="238"/>
      <c r="M1148" s="238"/>
    </row>
    <row r="1149" ht="12.75" customHeight="1">
      <c r="A1149" s="238"/>
      <c r="B1149" s="235"/>
      <c r="C1149" s="235"/>
      <c r="D1149" s="236"/>
      <c r="E1149" s="235"/>
      <c r="F1149" s="235"/>
      <c r="G1149" s="237"/>
      <c r="H1149" s="235"/>
      <c r="I1149" s="235"/>
      <c r="J1149" s="235"/>
      <c r="K1149" s="66"/>
      <c r="L1149" s="238"/>
      <c r="M1149" s="238"/>
    </row>
    <row r="1150" ht="12.75" customHeight="1">
      <c r="A1150" s="238"/>
      <c r="B1150" s="235"/>
      <c r="C1150" s="235"/>
      <c r="D1150" s="236"/>
      <c r="E1150" s="235"/>
      <c r="F1150" s="235"/>
      <c r="G1150" s="237"/>
      <c r="H1150" s="235"/>
      <c r="I1150" s="235"/>
      <c r="J1150" s="235"/>
      <c r="K1150" s="66"/>
      <c r="L1150" s="238"/>
      <c r="M1150" s="238"/>
    </row>
    <row r="1151" ht="12.75" customHeight="1">
      <c r="A1151" s="238"/>
      <c r="B1151" s="235"/>
      <c r="C1151" s="235"/>
      <c r="D1151" s="236"/>
      <c r="E1151" s="235"/>
      <c r="F1151" s="235"/>
      <c r="G1151" s="237"/>
      <c r="H1151" s="235"/>
      <c r="I1151" s="235"/>
      <c r="J1151" s="235"/>
      <c r="K1151" s="66"/>
      <c r="L1151" s="238"/>
      <c r="M1151" s="238"/>
    </row>
    <row r="1152" ht="12.75" customHeight="1">
      <c r="A1152" s="238"/>
      <c r="B1152" s="235"/>
      <c r="C1152" s="235"/>
      <c r="D1152" s="236"/>
      <c r="E1152" s="235"/>
      <c r="F1152" s="235"/>
      <c r="G1152" s="237"/>
      <c r="H1152" s="235"/>
      <c r="I1152" s="235"/>
      <c r="J1152" s="235"/>
      <c r="K1152" s="66"/>
      <c r="L1152" s="238"/>
      <c r="M1152" s="238"/>
    </row>
    <row r="1153" ht="12.75" customHeight="1">
      <c r="A1153" s="238"/>
      <c r="B1153" s="235"/>
      <c r="C1153" s="235"/>
      <c r="D1153" s="236"/>
      <c r="E1153" s="235"/>
      <c r="F1153" s="235"/>
      <c r="G1153" s="237"/>
      <c r="H1153" s="235"/>
      <c r="I1153" s="235"/>
      <c r="J1153" s="235"/>
      <c r="K1153" s="66"/>
      <c r="L1153" s="238"/>
      <c r="M1153" s="238"/>
    </row>
    <row r="1154" ht="12.75" customHeight="1">
      <c r="A1154" s="238"/>
      <c r="B1154" s="235"/>
      <c r="C1154" s="235"/>
      <c r="D1154" s="236"/>
      <c r="E1154" s="235"/>
      <c r="F1154" s="235"/>
      <c r="G1154" s="237"/>
      <c r="H1154" s="235"/>
      <c r="I1154" s="235"/>
      <c r="J1154" s="235"/>
      <c r="K1154" s="66"/>
      <c r="L1154" s="238"/>
      <c r="M1154" s="238"/>
    </row>
    <row r="1155" ht="12.75" customHeight="1">
      <c r="A1155" s="238"/>
      <c r="B1155" s="235"/>
      <c r="C1155" s="235"/>
      <c r="D1155" s="236"/>
      <c r="E1155" s="235"/>
      <c r="F1155" s="235"/>
      <c r="G1155" s="237"/>
      <c r="H1155" s="235"/>
      <c r="I1155" s="235"/>
      <c r="J1155" s="235"/>
      <c r="K1155" s="66"/>
      <c r="L1155" s="238"/>
      <c r="M1155" s="238"/>
    </row>
    <row r="1156" ht="12.75" customHeight="1">
      <c r="A1156" s="238"/>
      <c r="B1156" s="235"/>
      <c r="C1156" s="235"/>
      <c r="D1156" s="236"/>
      <c r="E1156" s="235"/>
      <c r="F1156" s="235"/>
      <c r="G1156" s="237"/>
      <c r="H1156" s="235"/>
      <c r="I1156" s="235"/>
      <c r="J1156" s="235"/>
      <c r="K1156" s="66"/>
      <c r="L1156" s="238"/>
      <c r="M1156" s="238"/>
    </row>
    <row r="1157" ht="12.75" customHeight="1">
      <c r="A1157" s="238"/>
      <c r="B1157" s="235"/>
      <c r="C1157" s="235"/>
      <c r="D1157" s="236"/>
      <c r="E1157" s="235"/>
      <c r="F1157" s="235"/>
      <c r="G1157" s="237"/>
      <c r="H1157" s="235"/>
      <c r="I1157" s="235"/>
      <c r="J1157" s="235"/>
      <c r="K1157" s="66"/>
      <c r="L1157" s="238"/>
      <c r="M1157" s="238"/>
    </row>
    <row r="1158" ht="12.75" customHeight="1">
      <c r="A1158" s="238"/>
      <c r="B1158" s="235"/>
      <c r="C1158" s="235"/>
      <c r="D1158" s="236"/>
      <c r="E1158" s="235"/>
      <c r="F1158" s="235"/>
      <c r="G1158" s="237"/>
      <c r="H1158" s="235"/>
      <c r="I1158" s="235"/>
      <c r="J1158" s="235"/>
      <c r="K1158" s="66"/>
      <c r="L1158" s="238"/>
      <c r="M1158" s="238"/>
    </row>
    <row r="1159" ht="12.75" customHeight="1">
      <c r="A1159" s="238"/>
      <c r="B1159" s="235"/>
      <c r="C1159" s="235"/>
      <c r="D1159" s="236"/>
      <c r="E1159" s="235"/>
      <c r="F1159" s="235"/>
      <c r="G1159" s="237"/>
      <c r="H1159" s="235"/>
      <c r="I1159" s="235"/>
      <c r="J1159" s="235"/>
      <c r="K1159" s="66"/>
      <c r="L1159" s="238"/>
      <c r="M1159" s="238"/>
    </row>
    <row r="1160" ht="12.75" customHeight="1">
      <c r="A1160" s="238"/>
      <c r="B1160" s="235"/>
      <c r="C1160" s="235"/>
      <c r="D1160" s="236"/>
      <c r="E1160" s="235"/>
      <c r="F1160" s="235"/>
      <c r="G1160" s="237"/>
      <c r="H1160" s="235"/>
      <c r="I1160" s="235"/>
      <c r="J1160" s="235"/>
      <c r="K1160" s="66"/>
      <c r="L1160" s="238"/>
      <c r="M1160" s="238"/>
    </row>
    <row r="1161" ht="12.75" customHeight="1">
      <c r="A1161" s="238"/>
      <c r="B1161" s="235"/>
      <c r="C1161" s="235"/>
      <c r="D1161" s="236"/>
      <c r="E1161" s="235"/>
      <c r="F1161" s="235"/>
      <c r="G1161" s="237"/>
      <c r="H1161" s="235"/>
      <c r="I1161" s="235"/>
      <c r="J1161" s="235"/>
      <c r="K1161" s="66"/>
      <c r="L1161" s="238"/>
      <c r="M1161" s="238"/>
    </row>
    <row r="1162" ht="12.75" customHeight="1">
      <c r="A1162" s="238"/>
      <c r="B1162" s="235"/>
      <c r="C1162" s="235"/>
      <c r="D1162" s="236"/>
      <c r="E1162" s="235"/>
      <c r="F1162" s="235"/>
      <c r="G1162" s="237"/>
      <c r="H1162" s="235"/>
      <c r="I1162" s="235"/>
      <c r="J1162" s="235"/>
      <c r="K1162" s="66"/>
      <c r="L1162" s="238"/>
      <c r="M1162" s="238"/>
    </row>
    <row r="1163" ht="12.75" customHeight="1">
      <c r="A1163" s="238"/>
      <c r="B1163" s="235"/>
      <c r="C1163" s="235"/>
      <c r="D1163" s="236"/>
      <c r="E1163" s="235"/>
      <c r="F1163" s="235"/>
      <c r="G1163" s="237"/>
      <c r="H1163" s="235"/>
      <c r="I1163" s="235"/>
      <c r="J1163" s="235"/>
      <c r="K1163" s="66"/>
      <c r="L1163" s="238"/>
      <c r="M1163" s="238"/>
    </row>
    <row r="1164" ht="12.75" customHeight="1">
      <c r="A1164" s="238"/>
      <c r="B1164" s="235"/>
      <c r="C1164" s="235"/>
      <c r="D1164" s="236"/>
      <c r="E1164" s="235"/>
      <c r="F1164" s="235"/>
      <c r="G1164" s="237"/>
      <c r="H1164" s="235"/>
      <c r="I1164" s="235"/>
      <c r="J1164" s="235"/>
      <c r="K1164" s="66"/>
      <c r="L1164" s="238"/>
      <c r="M1164" s="238"/>
    </row>
    <row r="1165" ht="12.75" customHeight="1">
      <c r="A1165" s="238"/>
      <c r="B1165" s="235"/>
      <c r="C1165" s="235"/>
      <c r="D1165" s="236"/>
      <c r="E1165" s="235"/>
      <c r="F1165" s="235"/>
      <c r="G1165" s="237"/>
      <c r="H1165" s="235"/>
      <c r="I1165" s="235"/>
      <c r="J1165" s="235"/>
      <c r="K1165" s="66"/>
      <c r="L1165" s="238"/>
      <c r="M1165" s="238"/>
    </row>
    <row r="1166" ht="12.75" customHeight="1">
      <c r="A1166" s="238"/>
      <c r="B1166" s="235"/>
      <c r="C1166" s="235"/>
      <c r="D1166" s="236"/>
      <c r="E1166" s="235"/>
      <c r="F1166" s="235"/>
      <c r="G1166" s="237"/>
      <c r="H1166" s="235"/>
      <c r="I1166" s="235"/>
      <c r="J1166" s="235"/>
      <c r="K1166" s="66"/>
      <c r="L1166" s="238"/>
      <c r="M1166" s="238"/>
    </row>
    <row r="1167" ht="12.75" customHeight="1">
      <c r="A1167" s="238"/>
      <c r="B1167" s="235"/>
      <c r="C1167" s="235"/>
      <c r="D1167" s="236"/>
      <c r="E1167" s="235"/>
      <c r="F1167" s="235"/>
      <c r="G1167" s="237"/>
      <c r="H1167" s="235"/>
      <c r="I1167" s="235"/>
      <c r="J1167" s="235"/>
      <c r="K1167" s="66"/>
      <c r="L1167" s="238"/>
      <c r="M1167" s="238"/>
    </row>
    <row r="1168" ht="12.75" customHeight="1">
      <c r="A1168" s="238"/>
      <c r="B1168" s="235"/>
      <c r="C1168" s="235"/>
      <c r="D1168" s="236"/>
      <c r="E1168" s="235"/>
      <c r="F1168" s="235"/>
      <c r="G1168" s="237"/>
      <c r="H1168" s="235"/>
      <c r="I1168" s="235"/>
      <c r="J1168" s="235"/>
      <c r="K1168" s="66"/>
      <c r="L1168" s="238"/>
      <c r="M1168" s="238"/>
    </row>
    <row r="1169" ht="12.75" customHeight="1">
      <c r="A1169" s="238"/>
      <c r="B1169" s="235"/>
      <c r="C1169" s="235"/>
      <c r="D1169" s="236"/>
      <c r="E1169" s="235"/>
      <c r="F1169" s="235"/>
      <c r="G1169" s="237"/>
      <c r="H1169" s="235"/>
      <c r="I1169" s="235"/>
      <c r="J1169" s="235"/>
      <c r="K1169" s="66"/>
      <c r="L1169" s="238"/>
      <c r="M1169" s="238"/>
    </row>
    <row r="1170" ht="12.75" customHeight="1">
      <c r="A1170" s="238"/>
      <c r="B1170" s="235"/>
      <c r="C1170" s="235"/>
      <c r="D1170" s="236"/>
      <c r="E1170" s="235"/>
      <c r="F1170" s="235"/>
      <c r="G1170" s="237"/>
      <c r="H1170" s="235"/>
      <c r="I1170" s="235"/>
      <c r="J1170" s="235"/>
      <c r="K1170" s="66"/>
      <c r="L1170" s="238"/>
      <c r="M1170" s="238"/>
    </row>
    <row r="1171" ht="12.75" customHeight="1">
      <c r="A1171" s="238"/>
      <c r="B1171" s="235"/>
      <c r="C1171" s="235"/>
      <c r="D1171" s="236"/>
      <c r="E1171" s="235"/>
      <c r="F1171" s="235"/>
      <c r="G1171" s="237"/>
      <c r="H1171" s="235"/>
      <c r="I1171" s="235"/>
      <c r="J1171" s="235"/>
      <c r="K1171" s="66"/>
      <c r="L1171" s="238"/>
      <c r="M1171" s="238"/>
    </row>
    <row r="1172" ht="12.75" customHeight="1">
      <c r="A1172" s="238"/>
      <c r="B1172" s="235"/>
      <c r="C1172" s="235"/>
      <c r="D1172" s="236"/>
      <c r="E1172" s="235"/>
      <c r="F1172" s="235"/>
      <c r="G1172" s="237"/>
      <c r="H1172" s="235"/>
      <c r="I1172" s="235"/>
      <c r="J1172" s="235"/>
      <c r="K1172" s="66"/>
      <c r="L1172" s="238"/>
      <c r="M1172" s="238"/>
    </row>
    <row r="1173" ht="12.75" customHeight="1">
      <c r="A1173" s="238"/>
      <c r="B1173" s="235"/>
      <c r="C1173" s="235"/>
      <c r="D1173" s="236"/>
      <c r="E1173" s="235"/>
      <c r="F1173" s="235"/>
      <c r="G1173" s="237"/>
      <c r="H1173" s="235"/>
      <c r="I1173" s="235"/>
      <c r="J1173" s="235"/>
      <c r="K1173" s="66"/>
      <c r="L1173" s="238"/>
      <c r="M1173" s="238"/>
    </row>
    <row r="1174" ht="12.75" customHeight="1">
      <c r="A1174" s="238"/>
      <c r="B1174" s="235"/>
      <c r="C1174" s="235"/>
      <c r="D1174" s="236"/>
      <c r="E1174" s="235"/>
      <c r="F1174" s="235"/>
      <c r="G1174" s="237"/>
      <c r="H1174" s="235"/>
      <c r="I1174" s="235"/>
      <c r="J1174" s="235"/>
      <c r="K1174" s="66"/>
      <c r="L1174" s="238"/>
      <c r="M1174" s="238"/>
    </row>
    <row r="1175" ht="12.75" customHeight="1">
      <c r="A1175" s="238"/>
      <c r="B1175" s="235"/>
      <c r="C1175" s="235"/>
      <c r="D1175" s="236"/>
      <c r="E1175" s="235"/>
      <c r="F1175" s="235"/>
      <c r="G1175" s="237"/>
      <c r="H1175" s="235"/>
      <c r="I1175" s="235"/>
      <c r="J1175" s="235"/>
      <c r="K1175" s="66"/>
      <c r="L1175" s="238"/>
      <c r="M1175" s="238"/>
    </row>
    <row r="1176" ht="12.75" customHeight="1">
      <c r="A1176" s="238"/>
      <c r="B1176" s="235"/>
      <c r="C1176" s="235"/>
      <c r="D1176" s="236"/>
      <c r="E1176" s="235"/>
      <c r="F1176" s="235"/>
      <c r="G1176" s="237"/>
      <c r="H1176" s="235"/>
      <c r="I1176" s="235"/>
      <c r="J1176" s="235"/>
      <c r="K1176" s="66"/>
      <c r="L1176" s="238"/>
      <c r="M1176" s="238"/>
    </row>
    <row r="1177" ht="12.75" customHeight="1">
      <c r="A1177" s="238"/>
      <c r="B1177" s="235"/>
      <c r="C1177" s="235"/>
      <c r="D1177" s="236"/>
      <c r="E1177" s="235"/>
      <c r="F1177" s="235"/>
      <c r="G1177" s="237"/>
      <c r="H1177" s="235"/>
      <c r="I1177" s="235"/>
      <c r="J1177" s="235"/>
      <c r="K1177" s="66"/>
      <c r="L1177" s="238"/>
      <c r="M1177" s="238"/>
    </row>
    <row r="1178" ht="12.75" customHeight="1">
      <c r="A1178" s="238"/>
      <c r="B1178" s="235"/>
      <c r="C1178" s="235"/>
      <c r="D1178" s="236"/>
      <c r="E1178" s="235"/>
      <c r="F1178" s="235"/>
      <c r="G1178" s="237"/>
      <c r="H1178" s="235"/>
      <c r="I1178" s="235"/>
      <c r="J1178" s="235"/>
      <c r="K1178" s="66"/>
      <c r="L1178" s="238"/>
      <c r="M1178" s="238"/>
    </row>
    <row r="1179" ht="12.75" customHeight="1">
      <c r="A1179" s="238"/>
      <c r="B1179" s="235"/>
      <c r="C1179" s="235"/>
      <c r="D1179" s="236"/>
      <c r="E1179" s="235"/>
      <c r="F1179" s="235"/>
      <c r="G1179" s="237"/>
      <c r="H1179" s="235"/>
      <c r="I1179" s="235"/>
      <c r="J1179" s="235"/>
      <c r="K1179" s="66"/>
      <c r="L1179" s="238"/>
      <c r="M1179" s="238"/>
    </row>
    <row r="1180" ht="12.75" customHeight="1">
      <c r="A1180" s="238"/>
      <c r="B1180" s="235"/>
      <c r="C1180" s="235"/>
      <c r="D1180" s="236"/>
      <c r="E1180" s="235"/>
      <c r="F1180" s="235"/>
      <c r="G1180" s="237"/>
      <c r="H1180" s="235"/>
      <c r="I1180" s="235"/>
      <c r="J1180" s="235"/>
      <c r="K1180" s="66"/>
      <c r="L1180" s="238"/>
      <c r="M1180" s="238"/>
    </row>
    <row r="1181" ht="12.75" customHeight="1">
      <c r="A1181" s="238"/>
      <c r="B1181" s="235"/>
      <c r="C1181" s="235"/>
      <c r="D1181" s="236"/>
      <c r="E1181" s="235"/>
      <c r="F1181" s="235"/>
      <c r="G1181" s="237"/>
      <c r="H1181" s="235"/>
      <c r="I1181" s="235"/>
      <c r="J1181" s="235"/>
      <c r="K1181" s="66"/>
      <c r="L1181" s="238"/>
      <c r="M1181" s="238"/>
    </row>
    <row r="1182" ht="12.75" customHeight="1">
      <c r="A1182" s="238"/>
      <c r="B1182" s="235"/>
      <c r="C1182" s="235"/>
      <c r="D1182" s="236"/>
      <c r="E1182" s="235"/>
      <c r="F1182" s="235"/>
      <c r="G1182" s="237"/>
      <c r="H1182" s="235"/>
      <c r="I1182" s="235"/>
      <c r="J1182" s="235"/>
      <c r="K1182" s="66"/>
      <c r="L1182" s="238"/>
      <c r="M1182" s="238"/>
    </row>
    <row r="1183" ht="12.75" customHeight="1">
      <c r="A1183" s="238"/>
      <c r="B1183" s="235"/>
      <c r="C1183" s="235"/>
      <c r="D1183" s="236"/>
      <c r="E1183" s="235"/>
      <c r="F1183" s="235"/>
      <c r="G1183" s="237"/>
      <c r="H1183" s="235"/>
      <c r="I1183" s="235"/>
      <c r="J1183" s="235"/>
      <c r="K1183" s="66"/>
      <c r="L1183" s="238"/>
      <c r="M1183" s="238"/>
    </row>
    <row r="1184" ht="12.75" customHeight="1">
      <c r="A1184" s="238"/>
      <c r="B1184" s="235"/>
      <c r="C1184" s="235"/>
      <c r="D1184" s="236"/>
      <c r="E1184" s="235"/>
      <c r="F1184" s="235"/>
      <c r="G1184" s="237"/>
      <c r="H1184" s="235"/>
      <c r="I1184" s="235"/>
      <c r="J1184" s="235"/>
      <c r="K1184" s="66"/>
      <c r="L1184" s="238"/>
      <c r="M1184" s="238"/>
    </row>
    <row r="1185" ht="12.75" customHeight="1">
      <c r="A1185" s="238"/>
      <c r="B1185" s="235"/>
      <c r="C1185" s="235"/>
      <c r="D1185" s="236"/>
      <c r="E1185" s="235"/>
      <c r="F1185" s="235"/>
      <c r="G1185" s="237"/>
      <c r="H1185" s="235"/>
      <c r="I1185" s="235"/>
      <c r="J1185" s="235"/>
      <c r="K1185" s="66"/>
      <c r="L1185" s="238"/>
      <c r="M1185" s="238"/>
    </row>
    <row r="1186" ht="12.75" customHeight="1">
      <c r="A1186" s="238"/>
      <c r="B1186" s="235"/>
      <c r="C1186" s="235"/>
      <c r="D1186" s="236"/>
      <c r="E1186" s="235"/>
      <c r="F1186" s="235"/>
      <c r="G1186" s="237"/>
      <c r="H1186" s="235"/>
      <c r="I1186" s="235"/>
      <c r="J1186" s="235"/>
      <c r="K1186" s="66"/>
      <c r="L1186" s="238"/>
      <c r="M1186" s="238"/>
    </row>
    <row r="1187" ht="12.75" customHeight="1">
      <c r="A1187" s="238"/>
      <c r="B1187" s="235"/>
      <c r="C1187" s="235"/>
      <c r="D1187" s="236"/>
      <c r="E1187" s="235"/>
      <c r="F1187" s="235"/>
      <c r="G1187" s="237"/>
      <c r="H1187" s="235"/>
      <c r="I1187" s="235"/>
      <c r="J1187" s="235"/>
      <c r="K1187" s="66"/>
      <c r="L1187" s="238"/>
      <c r="M1187" s="238"/>
    </row>
    <row r="1188" ht="12.75" customHeight="1">
      <c r="A1188" s="238"/>
      <c r="B1188" s="235"/>
      <c r="C1188" s="235"/>
      <c r="D1188" s="236"/>
      <c r="E1188" s="235"/>
      <c r="F1188" s="235"/>
      <c r="G1188" s="237"/>
      <c r="H1188" s="235"/>
      <c r="I1188" s="235"/>
      <c r="J1188" s="235"/>
      <c r="K1188" s="66"/>
      <c r="L1188" s="238"/>
      <c r="M1188" s="238"/>
    </row>
    <row r="1189" ht="12.75" customHeight="1">
      <c r="A1189" s="238"/>
      <c r="B1189" s="235"/>
      <c r="C1189" s="235"/>
      <c r="D1189" s="236"/>
      <c r="E1189" s="235"/>
      <c r="F1189" s="235"/>
      <c r="G1189" s="237"/>
      <c r="H1189" s="235"/>
      <c r="I1189" s="235"/>
      <c r="J1189" s="235"/>
      <c r="K1189" s="66"/>
      <c r="L1189" s="238"/>
      <c r="M1189" s="238"/>
    </row>
    <row r="1190" ht="12.75" customHeight="1">
      <c r="A1190" s="238"/>
      <c r="B1190" s="235"/>
      <c r="C1190" s="235"/>
      <c r="D1190" s="236"/>
      <c r="E1190" s="235"/>
      <c r="F1190" s="235"/>
      <c r="G1190" s="237"/>
      <c r="H1190" s="235"/>
      <c r="I1190" s="235"/>
      <c r="J1190" s="235"/>
      <c r="K1190" s="66"/>
      <c r="L1190" s="238"/>
      <c r="M1190" s="238"/>
    </row>
    <row r="1191" ht="12.75" customHeight="1">
      <c r="A1191" s="238"/>
      <c r="B1191" s="235"/>
      <c r="C1191" s="235"/>
      <c r="D1191" s="236"/>
      <c r="E1191" s="235"/>
      <c r="F1191" s="235"/>
      <c r="G1191" s="237"/>
      <c r="H1191" s="235"/>
      <c r="I1191" s="235"/>
      <c r="J1191" s="235"/>
      <c r="K1191" s="66"/>
      <c r="L1191" s="238"/>
      <c r="M1191" s="238"/>
    </row>
    <row r="1192" ht="12.75" customHeight="1">
      <c r="A1192" s="238"/>
      <c r="B1192" s="235"/>
      <c r="C1192" s="235"/>
      <c r="D1192" s="236"/>
      <c r="E1192" s="235"/>
      <c r="F1192" s="235"/>
      <c r="G1192" s="237"/>
      <c r="H1192" s="235"/>
      <c r="I1192" s="235"/>
      <c r="J1192" s="235"/>
      <c r="K1192" s="66"/>
      <c r="L1192" s="238"/>
      <c r="M1192" s="238"/>
    </row>
    <row r="1193" ht="12.75" customHeight="1">
      <c r="A1193" s="238"/>
      <c r="B1193" s="235"/>
      <c r="C1193" s="235"/>
      <c r="D1193" s="236"/>
      <c r="E1193" s="235"/>
      <c r="F1193" s="235"/>
      <c r="G1193" s="237"/>
      <c r="H1193" s="235"/>
      <c r="I1193" s="235"/>
      <c r="J1193" s="235"/>
      <c r="K1193" s="66"/>
      <c r="L1193" s="238"/>
      <c r="M1193" s="238"/>
    </row>
    <row r="1194" ht="12.75" customHeight="1">
      <c r="A1194" s="238"/>
      <c r="B1194" s="235"/>
      <c r="C1194" s="235"/>
      <c r="D1194" s="236"/>
      <c r="E1194" s="235"/>
      <c r="F1194" s="235"/>
      <c r="G1194" s="237"/>
      <c r="H1194" s="235"/>
      <c r="I1194" s="235"/>
      <c r="J1194" s="235"/>
      <c r="K1194" s="66"/>
      <c r="L1194" s="238"/>
      <c r="M1194" s="238"/>
    </row>
    <row r="1195" ht="12.75" customHeight="1">
      <c r="A1195" s="238"/>
      <c r="B1195" s="235"/>
      <c r="C1195" s="235"/>
      <c r="D1195" s="236"/>
      <c r="E1195" s="235"/>
      <c r="F1195" s="235"/>
      <c r="G1195" s="237"/>
      <c r="H1195" s="235"/>
      <c r="I1195" s="235"/>
      <c r="J1195" s="235"/>
      <c r="K1195" s="66"/>
      <c r="L1195" s="238"/>
      <c r="M1195" s="238"/>
    </row>
    <row r="1196" ht="12.75" customHeight="1">
      <c r="A1196" s="238"/>
      <c r="B1196" s="235"/>
      <c r="C1196" s="235"/>
      <c r="D1196" s="236"/>
      <c r="E1196" s="235"/>
      <c r="F1196" s="235"/>
      <c r="G1196" s="237"/>
      <c r="H1196" s="235"/>
      <c r="I1196" s="235"/>
      <c r="J1196" s="235"/>
      <c r="K1196" s="66"/>
      <c r="L1196" s="238"/>
      <c r="M1196" s="238"/>
    </row>
    <row r="1197" ht="12.75" customHeight="1">
      <c r="A1197" s="238"/>
      <c r="B1197" s="235"/>
      <c r="C1197" s="235"/>
      <c r="D1197" s="236"/>
      <c r="E1197" s="235"/>
      <c r="F1197" s="235"/>
      <c r="G1197" s="237"/>
      <c r="H1197" s="235"/>
      <c r="I1197" s="235"/>
      <c r="J1197" s="235"/>
      <c r="K1197" s="66"/>
      <c r="L1197" s="238"/>
      <c r="M1197" s="238"/>
    </row>
    <row r="1198" ht="12.75" customHeight="1">
      <c r="A1198" s="238"/>
      <c r="B1198" s="235"/>
      <c r="C1198" s="235"/>
      <c r="D1198" s="236"/>
      <c r="E1198" s="235"/>
      <c r="F1198" s="235"/>
      <c r="G1198" s="237"/>
      <c r="H1198" s="235"/>
      <c r="I1198" s="235"/>
      <c r="J1198" s="235"/>
      <c r="K1198" s="66"/>
      <c r="L1198" s="238"/>
      <c r="M1198" s="238"/>
    </row>
    <row r="1199" ht="12.75" customHeight="1">
      <c r="A1199" s="238"/>
      <c r="B1199" s="235"/>
      <c r="C1199" s="235"/>
      <c r="D1199" s="236"/>
      <c r="E1199" s="235"/>
      <c r="F1199" s="235"/>
      <c r="G1199" s="237"/>
      <c r="H1199" s="235"/>
      <c r="I1199" s="235"/>
      <c r="J1199" s="235"/>
      <c r="K1199" s="66"/>
      <c r="L1199" s="238"/>
      <c r="M1199" s="238"/>
    </row>
    <row r="1200" ht="12.75" customHeight="1">
      <c r="A1200" s="238"/>
      <c r="B1200" s="235"/>
      <c r="C1200" s="235"/>
      <c r="D1200" s="236"/>
      <c r="E1200" s="235"/>
      <c r="F1200" s="235"/>
      <c r="G1200" s="237"/>
      <c r="H1200" s="235"/>
      <c r="I1200" s="235"/>
      <c r="J1200" s="235"/>
      <c r="K1200" s="66"/>
      <c r="L1200" s="238"/>
      <c r="M1200" s="238"/>
    </row>
    <row r="1201" ht="12.75" customHeight="1">
      <c r="A1201" s="238"/>
      <c r="B1201" s="235"/>
      <c r="C1201" s="235"/>
      <c r="D1201" s="236"/>
      <c r="E1201" s="235"/>
      <c r="F1201" s="235"/>
      <c r="G1201" s="237"/>
      <c r="H1201" s="235"/>
      <c r="I1201" s="235"/>
      <c r="J1201" s="235"/>
      <c r="K1201" s="66"/>
      <c r="L1201" s="238"/>
      <c r="M1201" s="238"/>
    </row>
    <row r="1202" ht="12.75" customHeight="1">
      <c r="A1202" s="238"/>
      <c r="B1202" s="235"/>
      <c r="C1202" s="235"/>
      <c r="D1202" s="236"/>
      <c r="E1202" s="235"/>
      <c r="F1202" s="235"/>
      <c r="G1202" s="237"/>
      <c r="H1202" s="235"/>
      <c r="I1202" s="235"/>
      <c r="J1202" s="235"/>
      <c r="K1202" s="66"/>
      <c r="L1202" s="238"/>
      <c r="M1202" s="238"/>
    </row>
    <row r="1203" ht="12.75" customHeight="1">
      <c r="A1203" s="238"/>
      <c r="B1203" s="235"/>
      <c r="C1203" s="235"/>
      <c r="D1203" s="236"/>
      <c r="E1203" s="235"/>
      <c r="F1203" s="235"/>
      <c r="G1203" s="237"/>
      <c r="H1203" s="235"/>
      <c r="I1203" s="235"/>
      <c r="J1203" s="235"/>
      <c r="K1203" s="66"/>
      <c r="L1203" s="238"/>
      <c r="M1203" s="238"/>
    </row>
    <row r="1204" ht="12.75" customHeight="1">
      <c r="A1204" s="238"/>
      <c r="B1204" s="235"/>
      <c r="C1204" s="235"/>
      <c r="D1204" s="236"/>
      <c r="E1204" s="235"/>
      <c r="F1204" s="235"/>
      <c r="G1204" s="237"/>
      <c r="H1204" s="235"/>
      <c r="I1204" s="235"/>
      <c r="J1204" s="235"/>
      <c r="K1204" s="66"/>
      <c r="L1204" s="238"/>
      <c r="M1204" s="238"/>
    </row>
    <row r="1205" ht="12.75" customHeight="1">
      <c r="A1205" s="238"/>
      <c r="B1205" s="235"/>
      <c r="C1205" s="235"/>
      <c r="D1205" s="236"/>
      <c r="E1205" s="235"/>
      <c r="F1205" s="235"/>
      <c r="G1205" s="237"/>
      <c r="H1205" s="235"/>
      <c r="I1205" s="235"/>
      <c r="J1205" s="235"/>
      <c r="K1205" s="66"/>
      <c r="L1205" s="238"/>
      <c r="M1205" s="238"/>
    </row>
    <row r="1206" ht="12.75" customHeight="1">
      <c r="A1206" s="238"/>
      <c r="B1206" s="235"/>
      <c r="C1206" s="235"/>
      <c r="D1206" s="236"/>
      <c r="E1206" s="235"/>
      <c r="F1206" s="235"/>
      <c r="G1206" s="237"/>
      <c r="H1206" s="235"/>
      <c r="I1206" s="235"/>
      <c r="J1206" s="235"/>
      <c r="K1206" s="66"/>
      <c r="L1206" s="238"/>
      <c r="M1206" s="238"/>
    </row>
    <row r="1207" ht="12.75" customHeight="1">
      <c r="A1207" s="238"/>
      <c r="B1207" s="235"/>
      <c r="C1207" s="235"/>
      <c r="D1207" s="236"/>
      <c r="E1207" s="235"/>
      <c r="F1207" s="235"/>
      <c r="G1207" s="237"/>
      <c r="H1207" s="235"/>
      <c r="I1207" s="235"/>
      <c r="J1207" s="235"/>
      <c r="K1207" s="66"/>
      <c r="L1207" s="238"/>
      <c r="M1207" s="238"/>
    </row>
    <row r="1208" ht="12.75" customHeight="1">
      <c r="A1208" s="238"/>
      <c r="B1208" s="235"/>
      <c r="C1208" s="235"/>
      <c r="D1208" s="236"/>
      <c r="E1208" s="235"/>
      <c r="F1208" s="235"/>
      <c r="G1208" s="237"/>
      <c r="H1208" s="235"/>
      <c r="I1208" s="235"/>
      <c r="J1208" s="235"/>
      <c r="K1208" s="66"/>
      <c r="L1208" s="238"/>
      <c r="M1208" s="238"/>
    </row>
    <row r="1209" ht="12.75" customHeight="1">
      <c r="A1209" s="238"/>
      <c r="B1209" s="235"/>
      <c r="C1209" s="235"/>
      <c r="D1209" s="236"/>
      <c r="E1209" s="235"/>
      <c r="F1209" s="235"/>
      <c r="G1209" s="237"/>
      <c r="H1209" s="235"/>
      <c r="I1209" s="235"/>
      <c r="J1209" s="235"/>
      <c r="K1209" s="66"/>
      <c r="L1209" s="238"/>
      <c r="M1209" s="238"/>
    </row>
    <row r="1210" ht="12.75" customHeight="1">
      <c r="A1210" s="238"/>
      <c r="B1210" s="235"/>
      <c r="C1210" s="235"/>
      <c r="D1210" s="236"/>
      <c r="E1210" s="235"/>
      <c r="F1210" s="235"/>
      <c r="G1210" s="237"/>
      <c r="H1210" s="235"/>
      <c r="I1210" s="235"/>
      <c r="J1210" s="235"/>
      <c r="K1210" s="66"/>
      <c r="L1210" s="238"/>
      <c r="M1210" s="238"/>
    </row>
    <row r="1211" ht="12.75" customHeight="1">
      <c r="A1211" s="238"/>
      <c r="B1211" s="235"/>
      <c r="C1211" s="235"/>
      <c r="D1211" s="236"/>
      <c r="E1211" s="235"/>
      <c r="F1211" s="235"/>
      <c r="G1211" s="237"/>
      <c r="H1211" s="235"/>
      <c r="I1211" s="235"/>
      <c r="J1211" s="235"/>
      <c r="K1211" s="66"/>
      <c r="L1211" s="238"/>
      <c r="M1211" s="238"/>
    </row>
    <row r="1212" ht="12.75" customHeight="1">
      <c r="A1212" s="238"/>
      <c r="B1212" s="235"/>
      <c r="C1212" s="235"/>
      <c r="D1212" s="236"/>
      <c r="E1212" s="235"/>
      <c r="F1212" s="235"/>
      <c r="G1212" s="237"/>
      <c r="H1212" s="235"/>
      <c r="I1212" s="235"/>
      <c r="J1212" s="235"/>
      <c r="K1212" s="66"/>
      <c r="L1212" s="238"/>
      <c r="M1212" s="238"/>
    </row>
    <row r="1213" ht="12.75" customHeight="1">
      <c r="A1213" s="238"/>
      <c r="B1213" s="235"/>
      <c r="C1213" s="235"/>
      <c r="D1213" s="236"/>
      <c r="E1213" s="235"/>
      <c r="F1213" s="235"/>
      <c r="G1213" s="237"/>
      <c r="H1213" s="235"/>
      <c r="I1213" s="235"/>
      <c r="J1213" s="235"/>
      <c r="K1213" s="66"/>
      <c r="L1213" s="238"/>
      <c r="M1213" s="238"/>
    </row>
    <row r="1214" ht="12.75" customHeight="1">
      <c r="A1214" s="238"/>
      <c r="B1214" s="235"/>
      <c r="C1214" s="235"/>
      <c r="D1214" s="236"/>
      <c r="E1214" s="235"/>
      <c r="F1214" s="235"/>
      <c r="G1214" s="237"/>
      <c r="H1214" s="235"/>
      <c r="I1214" s="235"/>
      <c r="J1214" s="235"/>
      <c r="K1214" s="66"/>
      <c r="L1214" s="238"/>
      <c r="M1214" s="238"/>
    </row>
    <row r="1215" ht="12.75" customHeight="1">
      <c r="A1215" s="238"/>
      <c r="B1215" s="235"/>
      <c r="C1215" s="235"/>
      <c r="D1215" s="236"/>
      <c r="E1215" s="235"/>
      <c r="F1215" s="235"/>
      <c r="G1215" s="237"/>
      <c r="H1215" s="235"/>
      <c r="I1215" s="235"/>
      <c r="J1215" s="235"/>
      <c r="K1215" s="66"/>
      <c r="L1215" s="238"/>
      <c r="M1215" s="238"/>
    </row>
    <row r="1216" ht="12.75" customHeight="1">
      <c r="A1216" s="238"/>
      <c r="B1216" s="235"/>
      <c r="C1216" s="235"/>
      <c r="D1216" s="236"/>
      <c r="E1216" s="235"/>
      <c r="F1216" s="235"/>
      <c r="G1216" s="237"/>
      <c r="H1216" s="235"/>
      <c r="I1216" s="235"/>
      <c r="J1216" s="235"/>
      <c r="K1216" s="66"/>
      <c r="L1216" s="238"/>
      <c r="M1216" s="238"/>
    </row>
    <row r="1217" ht="12.75" customHeight="1">
      <c r="A1217" s="238"/>
      <c r="B1217" s="235"/>
      <c r="C1217" s="235"/>
      <c r="D1217" s="236"/>
      <c r="E1217" s="235"/>
      <c r="F1217" s="235"/>
      <c r="G1217" s="237"/>
      <c r="H1217" s="235"/>
      <c r="I1217" s="235"/>
      <c r="J1217" s="235"/>
      <c r="K1217" s="66"/>
      <c r="L1217" s="238"/>
      <c r="M1217" s="238"/>
    </row>
    <row r="1218" ht="12.75" customHeight="1">
      <c r="A1218" s="238"/>
      <c r="B1218" s="235"/>
      <c r="C1218" s="235"/>
      <c r="D1218" s="236"/>
      <c r="E1218" s="235"/>
      <c r="F1218" s="235"/>
      <c r="G1218" s="237"/>
      <c r="H1218" s="235"/>
      <c r="I1218" s="235"/>
      <c r="J1218" s="235"/>
      <c r="K1218" s="66"/>
      <c r="L1218" s="238"/>
      <c r="M1218" s="238"/>
    </row>
    <row r="1219" ht="12.75" customHeight="1">
      <c r="A1219" s="238"/>
      <c r="B1219" s="235"/>
      <c r="C1219" s="235"/>
      <c r="D1219" s="236"/>
      <c r="E1219" s="235"/>
      <c r="F1219" s="235"/>
      <c r="G1219" s="237"/>
      <c r="H1219" s="235"/>
      <c r="I1219" s="235"/>
      <c r="J1219" s="235"/>
      <c r="K1219" s="66"/>
      <c r="L1219" s="238"/>
      <c r="M1219" s="238"/>
    </row>
    <row r="1220" ht="12.75" customHeight="1">
      <c r="A1220" s="238"/>
      <c r="B1220" s="235"/>
      <c r="C1220" s="235"/>
      <c r="D1220" s="236"/>
      <c r="E1220" s="235"/>
      <c r="F1220" s="235"/>
      <c r="G1220" s="237"/>
      <c r="H1220" s="235"/>
      <c r="I1220" s="235"/>
      <c r="J1220" s="235"/>
      <c r="K1220" s="66"/>
      <c r="L1220" s="238"/>
      <c r="M1220" s="238"/>
    </row>
    <row r="1221" ht="12.75" customHeight="1">
      <c r="A1221" s="238"/>
      <c r="B1221" s="235"/>
      <c r="C1221" s="235"/>
      <c r="D1221" s="236"/>
      <c r="E1221" s="235"/>
      <c r="F1221" s="235"/>
      <c r="G1221" s="237"/>
      <c r="H1221" s="235"/>
      <c r="I1221" s="235"/>
      <c r="J1221" s="235"/>
      <c r="K1221" s="66"/>
      <c r="L1221" s="238"/>
      <c r="M1221" s="238"/>
    </row>
    <row r="1222" ht="12.75" customHeight="1">
      <c r="A1222" s="238"/>
      <c r="B1222" s="235"/>
      <c r="C1222" s="235"/>
      <c r="D1222" s="236"/>
      <c r="E1222" s="235"/>
      <c r="F1222" s="235"/>
      <c r="G1222" s="237"/>
      <c r="H1222" s="235"/>
      <c r="I1222" s="235"/>
      <c r="J1222" s="235"/>
      <c r="K1222" s="66"/>
      <c r="L1222" s="238"/>
      <c r="M1222" s="238"/>
    </row>
    <row r="1223" ht="12.75" customHeight="1">
      <c r="A1223" s="238"/>
      <c r="B1223" s="235"/>
      <c r="C1223" s="235"/>
      <c r="D1223" s="236"/>
      <c r="E1223" s="235"/>
      <c r="F1223" s="235"/>
      <c r="G1223" s="237"/>
      <c r="H1223" s="235"/>
      <c r="I1223" s="235"/>
      <c r="J1223" s="235"/>
      <c r="K1223" s="66"/>
      <c r="L1223" s="238"/>
      <c r="M1223" s="238"/>
    </row>
    <row r="1224" ht="12.75" customHeight="1">
      <c r="A1224" s="238"/>
      <c r="B1224" s="235"/>
      <c r="C1224" s="235"/>
      <c r="D1224" s="236"/>
      <c r="E1224" s="235"/>
      <c r="F1224" s="235"/>
      <c r="G1224" s="237"/>
      <c r="H1224" s="235"/>
      <c r="I1224" s="235"/>
      <c r="J1224" s="235"/>
      <c r="K1224" s="66"/>
      <c r="L1224" s="238"/>
      <c r="M1224" s="238"/>
    </row>
    <row r="1225" ht="12.75" customHeight="1">
      <c r="A1225" s="238"/>
      <c r="B1225" s="235"/>
      <c r="C1225" s="235"/>
      <c r="D1225" s="236"/>
      <c r="E1225" s="235"/>
      <c r="F1225" s="235"/>
      <c r="G1225" s="237"/>
      <c r="H1225" s="235"/>
      <c r="I1225" s="235"/>
      <c r="J1225" s="235"/>
      <c r="K1225" s="66"/>
      <c r="L1225" s="238"/>
      <c r="M1225" s="238"/>
    </row>
    <row r="1226" ht="12.75" customHeight="1">
      <c r="A1226" s="238"/>
      <c r="B1226" s="235"/>
      <c r="C1226" s="235"/>
      <c r="D1226" s="236"/>
      <c r="E1226" s="235"/>
      <c r="F1226" s="235"/>
      <c r="G1226" s="237"/>
      <c r="H1226" s="235"/>
      <c r="I1226" s="235"/>
      <c r="J1226" s="235"/>
      <c r="K1226" s="66"/>
      <c r="L1226" s="238"/>
      <c r="M1226" s="238"/>
    </row>
    <row r="1227" ht="12.75" customHeight="1">
      <c r="A1227" s="238"/>
      <c r="B1227" s="235"/>
      <c r="C1227" s="235"/>
      <c r="D1227" s="236"/>
      <c r="E1227" s="235"/>
      <c r="F1227" s="235"/>
      <c r="G1227" s="237"/>
      <c r="H1227" s="235"/>
      <c r="I1227" s="235"/>
      <c r="J1227" s="235"/>
      <c r="K1227" s="66"/>
      <c r="L1227" s="238"/>
      <c r="M1227" s="238"/>
    </row>
    <row r="1228" ht="12.75" customHeight="1">
      <c r="A1228" s="238"/>
      <c r="B1228" s="235"/>
      <c r="C1228" s="235"/>
      <c r="D1228" s="236"/>
      <c r="E1228" s="235"/>
      <c r="F1228" s="235"/>
      <c r="G1228" s="237"/>
      <c r="H1228" s="235"/>
      <c r="I1228" s="235"/>
      <c r="J1228" s="235"/>
      <c r="K1228" s="66"/>
      <c r="L1228" s="238"/>
      <c r="M1228" s="238"/>
    </row>
    <row r="1229" ht="12.75" customHeight="1">
      <c r="A1229" s="238"/>
      <c r="B1229" s="235"/>
      <c r="C1229" s="235"/>
      <c r="D1229" s="236"/>
      <c r="E1229" s="235"/>
      <c r="F1229" s="235"/>
      <c r="G1229" s="237"/>
      <c r="H1229" s="235"/>
      <c r="I1229" s="235"/>
      <c r="J1229" s="235"/>
      <c r="K1229" s="66"/>
      <c r="L1229" s="238"/>
      <c r="M1229" s="238"/>
    </row>
    <row r="1230" ht="12.75" customHeight="1">
      <c r="A1230" s="238"/>
      <c r="B1230" s="235"/>
      <c r="C1230" s="235"/>
      <c r="D1230" s="236"/>
      <c r="E1230" s="235"/>
      <c r="F1230" s="235"/>
      <c r="G1230" s="237"/>
      <c r="H1230" s="235"/>
      <c r="I1230" s="235"/>
      <c r="J1230" s="235"/>
      <c r="K1230" s="66"/>
      <c r="L1230" s="238"/>
      <c r="M1230" s="238"/>
    </row>
    <row r="1231" ht="12.75" customHeight="1">
      <c r="A1231" s="238"/>
      <c r="B1231" s="235"/>
      <c r="C1231" s="235"/>
      <c r="D1231" s="236"/>
      <c r="E1231" s="235"/>
      <c r="F1231" s="235"/>
      <c r="G1231" s="237"/>
      <c r="H1231" s="235"/>
      <c r="I1231" s="235"/>
      <c r="J1231" s="235"/>
      <c r="K1231" s="66"/>
      <c r="L1231" s="238"/>
      <c r="M1231" s="238"/>
    </row>
    <row r="1232" ht="12.75" customHeight="1">
      <c r="A1232" s="238"/>
      <c r="B1232" s="235"/>
      <c r="C1232" s="235"/>
      <c r="D1232" s="236"/>
      <c r="E1232" s="235"/>
      <c r="F1232" s="235"/>
      <c r="G1232" s="237"/>
      <c r="H1232" s="235"/>
      <c r="I1232" s="235"/>
      <c r="J1232" s="235"/>
      <c r="K1232" s="66"/>
      <c r="L1232" s="238"/>
      <c r="M1232" s="238"/>
    </row>
    <row r="1233" ht="12.75" customHeight="1">
      <c r="A1233" s="238"/>
      <c r="B1233" s="235"/>
      <c r="C1233" s="235"/>
      <c r="D1233" s="236"/>
      <c r="E1233" s="235"/>
      <c r="F1233" s="235"/>
      <c r="G1233" s="237"/>
      <c r="H1233" s="235"/>
      <c r="I1233" s="235"/>
      <c r="J1233" s="235"/>
      <c r="K1233" s="66"/>
      <c r="L1233" s="238"/>
      <c r="M1233" s="238"/>
    </row>
    <row r="1234" ht="12.75" customHeight="1">
      <c r="A1234" s="238"/>
      <c r="B1234" s="235"/>
      <c r="C1234" s="235"/>
      <c r="D1234" s="236"/>
      <c r="E1234" s="235"/>
      <c r="F1234" s="235"/>
      <c r="G1234" s="237"/>
      <c r="H1234" s="235"/>
      <c r="I1234" s="235"/>
      <c r="J1234" s="235"/>
      <c r="K1234" s="66"/>
      <c r="L1234" s="238"/>
      <c r="M1234" s="238"/>
    </row>
    <row r="1235" ht="12.75" customHeight="1">
      <c r="A1235" s="238"/>
      <c r="B1235" s="235"/>
      <c r="C1235" s="235"/>
      <c r="D1235" s="236"/>
      <c r="E1235" s="235"/>
      <c r="F1235" s="235"/>
      <c r="G1235" s="237"/>
      <c r="H1235" s="235"/>
      <c r="I1235" s="235"/>
      <c r="J1235" s="235"/>
      <c r="K1235" s="66"/>
      <c r="L1235" s="238"/>
      <c r="M1235" s="238"/>
    </row>
    <row r="1236" ht="12.75" customHeight="1">
      <c r="A1236" s="238"/>
      <c r="B1236" s="235"/>
      <c r="C1236" s="235"/>
      <c r="D1236" s="236"/>
      <c r="E1236" s="235"/>
      <c r="F1236" s="235"/>
      <c r="G1236" s="237"/>
      <c r="H1236" s="235"/>
      <c r="I1236" s="235"/>
      <c r="J1236" s="235"/>
      <c r="K1236" s="66"/>
      <c r="L1236" s="238"/>
      <c r="M1236" s="238"/>
    </row>
    <row r="1237" ht="12.75" customHeight="1">
      <c r="A1237" s="238"/>
      <c r="B1237" s="235"/>
      <c r="C1237" s="235"/>
      <c r="D1237" s="236"/>
      <c r="E1237" s="235"/>
      <c r="F1237" s="235"/>
      <c r="G1237" s="237"/>
      <c r="H1237" s="235"/>
      <c r="I1237" s="235"/>
      <c r="J1237" s="235"/>
      <c r="K1237" s="66"/>
      <c r="L1237" s="238"/>
      <c r="M1237" s="238"/>
    </row>
    <row r="1238" ht="12.75" customHeight="1">
      <c r="A1238" s="238"/>
      <c r="B1238" s="235"/>
      <c r="C1238" s="235"/>
      <c r="D1238" s="236"/>
      <c r="E1238" s="235"/>
      <c r="F1238" s="235"/>
      <c r="G1238" s="237"/>
      <c r="H1238" s="235"/>
      <c r="I1238" s="235"/>
      <c r="J1238" s="235"/>
      <c r="K1238" s="66"/>
      <c r="L1238" s="238"/>
      <c r="M1238" s="238"/>
    </row>
    <row r="1239" ht="12.75" customHeight="1">
      <c r="A1239" s="238"/>
      <c r="B1239" s="235"/>
      <c r="C1239" s="235"/>
      <c r="D1239" s="236"/>
      <c r="E1239" s="235"/>
      <c r="F1239" s="235"/>
      <c r="G1239" s="237"/>
      <c r="H1239" s="235"/>
      <c r="I1239" s="235"/>
      <c r="J1239" s="235"/>
      <c r="K1239" s="66"/>
      <c r="L1239" s="238"/>
      <c r="M1239" s="238"/>
    </row>
    <row r="1240" ht="12.75" customHeight="1">
      <c r="A1240" s="238"/>
      <c r="B1240" s="235"/>
      <c r="C1240" s="235"/>
      <c r="D1240" s="236"/>
      <c r="E1240" s="235"/>
      <c r="F1240" s="235"/>
      <c r="G1240" s="237"/>
      <c r="H1240" s="235"/>
      <c r="I1240" s="235"/>
      <c r="J1240" s="235"/>
      <c r="K1240" s="66"/>
      <c r="L1240" s="238"/>
      <c r="M1240" s="238"/>
    </row>
    <row r="1241" ht="12.75" customHeight="1">
      <c r="A1241" s="238"/>
      <c r="B1241" s="235"/>
      <c r="C1241" s="235"/>
      <c r="D1241" s="236"/>
      <c r="E1241" s="235"/>
      <c r="F1241" s="235"/>
      <c r="G1241" s="237"/>
      <c r="H1241" s="235"/>
      <c r="I1241" s="235"/>
      <c r="J1241" s="235"/>
      <c r="K1241" s="66"/>
      <c r="L1241" s="238"/>
      <c r="M1241" s="238"/>
    </row>
    <row r="1242" ht="12.75" customHeight="1">
      <c r="A1242" s="238"/>
      <c r="B1242" s="235"/>
      <c r="C1242" s="235"/>
      <c r="D1242" s="236"/>
      <c r="E1242" s="235"/>
      <c r="F1242" s="235"/>
      <c r="G1242" s="237"/>
      <c r="H1242" s="235"/>
      <c r="I1242" s="235"/>
      <c r="J1242" s="235"/>
      <c r="K1242" s="66"/>
      <c r="L1242" s="238"/>
      <c r="M1242" s="238"/>
    </row>
    <row r="1243" ht="12.75" customHeight="1">
      <c r="A1243" s="238"/>
      <c r="B1243" s="235"/>
      <c r="C1243" s="235"/>
      <c r="D1243" s="236"/>
      <c r="E1243" s="235"/>
      <c r="F1243" s="235"/>
      <c r="G1243" s="237"/>
      <c r="H1243" s="235"/>
      <c r="I1243" s="235"/>
      <c r="J1243" s="235"/>
      <c r="K1243" s="66"/>
      <c r="L1243" s="238"/>
      <c r="M1243" s="238"/>
    </row>
    <row r="1244" ht="12.75" customHeight="1">
      <c r="A1244" s="238"/>
      <c r="B1244" s="235"/>
      <c r="C1244" s="235"/>
      <c r="D1244" s="236"/>
      <c r="E1244" s="235"/>
      <c r="F1244" s="235"/>
      <c r="G1244" s="237"/>
      <c r="H1244" s="235"/>
      <c r="I1244" s="235"/>
      <c r="J1244" s="235"/>
      <c r="K1244" s="66"/>
      <c r="L1244" s="238"/>
      <c r="M1244" s="238"/>
    </row>
    <row r="1245" ht="12.75" customHeight="1">
      <c r="A1245" s="238"/>
      <c r="B1245" s="235"/>
      <c r="C1245" s="235"/>
      <c r="D1245" s="236"/>
      <c r="E1245" s="235"/>
      <c r="F1245" s="235"/>
      <c r="G1245" s="237"/>
      <c r="H1245" s="235"/>
      <c r="I1245" s="235"/>
      <c r="J1245" s="235"/>
      <c r="K1245" s="66"/>
      <c r="L1245" s="238"/>
      <c r="M1245" s="238"/>
    </row>
    <row r="1246" ht="12.75" customHeight="1">
      <c r="A1246" s="238"/>
      <c r="B1246" s="235"/>
      <c r="C1246" s="235"/>
      <c r="D1246" s="236"/>
      <c r="E1246" s="235"/>
      <c r="F1246" s="235"/>
      <c r="G1246" s="237"/>
      <c r="H1246" s="235"/>
      <c r="I1246" s="235"/>
      <c r="J1246" s="235"/>
      <c r="K1246" s="66"/>
      <c r="L1246" s="238"/>
      <c r="M1246" s="238"/>
    </row>
    <row r="1247" ht="12.75" customHeight="1">
      <c r="A1247" s="238"/>
      <c r="B1247" s="235"/>
      <c r="C1247" s="235"/>
      <c r="D1247" s="236"/>
      <c r="E1247" s="235"/>
      <c r="F1247" s="235"/>
      <c r="G1247" s="237"/>
      <c r="H1247" s="235"/>
      <c r="I1247" s="235"/>
      <c r="J1247" s="235"/>
      <c r="K1247" s="66"/>
      <c r="L1247" s="238"/>
      <c r="M1247" s="238"/>
    </row>
    <row r="1248" ht="12.75" customHeight="1">
      <c r="A1248" s="238"/>
      <c r="B1248" s="235"/>
      <c r="C1248" s="235"/>
      <c r="D1248" s="236"/>
      <c r="E1248" s="235"/>
      <c r="F1248" s="235"/>
      <c r="G1248" s="237"/>
      <c r="H1248" s="235"/>
      <c r="I1248" s="235"/>
      <c r="J1248" s="235"/>
      <c r="K1248" s="66"/>
      <c r="L1248" s="238"/>
      <c r="M1248" s="238"/>
    </row>
    <row r="1249" ht="12.75" customHeight="1">
      <c r="A1249" s="238"/>
      <c r="B1249" s="235"/>
      <c r="C1249" s="235"/>
      <c r="D1249" s="236"/>
      <c r="E1249" s="235"/>
      <c r="F1249" s="235"/>
      <c r="G1249" s="237"/>
      <c r="H1249" s="235"/>
      <c r="I1249" s="235"/>
      <c r="J1249" s="235"/>
      <c r="K1249" s="66"/>
      <c r="L1249" s="238"/>
      <c r="M1249" s="238"/>
    </row>
    <row r="1250" ht="12.75" customHeight="1">
      <c r="A1250" s="238"/>
      <c r="B1250" s="235"/>
      <c r="C1250" s="235"/>
      <c r="D1250" s="236"/>
      <c r="E1250" s="235"/>
      <c r="F1250" s="235"/>
      <c r="G1250" s="237"/>
      <c r="H1250" s="235"/>
      <c r="I1250" s="235"/>
      <c r="J1250" s="235"/>
      <c r="K1250" s="66"/>
      <c r="L1250" s="238"/>
      <c r="M1250" s="238"/>
    </row>
    <row r="1251" ht="12.75" customHeight="1">
      <c r="A1251" s="238"/>
      <c r="B1251" s="235"/>
      <c r="C1251" s="235"/>
      <c r="D1251" s="236"/>
      <c r="E1251" s="235"/>
      <c r="F1251" s="235"/>
      <c r="G1251" s="237"/>
      <c r="H1251" s="235"/>
      <c r="I1251" s="235"/>
      <c r="J1251" s="235"/>
      <c r="K1251" s="66"/>
      <c r="L1251" s="238"/>
      <c r="M1251" s="238"/>
    </row>
    <row r="1252" ht="12.75" customHeight="1">
      <c r="A1252" s="238"/>
      <c r="B1252" s="235"/>
      <c r="C1252" s="235"/>
      <c r="D1252" s="236"/>
      <c r="E1252" s="235"/>
      <c r="F1252" s="235"/>
      <c r="G1252" s="237"/>
      <c r="H1252" s="235"/>
      <c r="I1252" s="235"/>
      <c r="J1252" s="235"/>
      <c r="K1252" s="66"/>
      <c r="L1252" s="238"/>
      <c r="M1252" s="238"/>
    </row>
    <row r="1253" ht="12.75" customHeight="1">
      <c r="A1253" s="238"/>
      <c r="B1253" s="235"/>
      <c r="C1253" s="235"/>
      <c r="D1253" s="236"/>
      <c r="E1253" s="235"/>
      <c r="F1253" s="235"/>
      <c r="G1253" s="237"/>
      <c r="H1253" s="235"/>
      <c r="I1253" s="235"/>
      <c r="J1253" s="235"/>
      <c r="K1253" s="66"/>
      <c r="L1253" s="238"/>
      <c r="M1253" s="238"/>
    </row>
    <row r="1254" ht="12.75" customHeight="1">
      <c r="A1254" s="238"/>
      <c r="B1254" s="235"/>
      <c r="C1254" s="235"/>
      <c r="D1254" s="236"/>
      <c r="E1254" s="235"/>
      <c r="F1254" s="235"/>
      <c r="G1254" s="237"/>
      <c r="H1254" s="235"/>
      <c r="I1254" s="235"/>
      <c r="J1254" s="235"/>
      <c r="K1254" s="66"/>
      <c r="L1254" s="238"/>
      <c r="M1254" s="238"/>
    </row>
    <row r="1255" ht="12.75" customHeight="1">
      <c r="A1255" s="238"/>
      <c r="B1255" s="235"/>
      <c r="C1255" s="235"/>
      <c r="D1255" s="236"/>
      <c r="E1255" s="235"/>
      <c r="F1255" s="235"/>
      <c r="G1255" s="237"/>
      <c r="H1255" s="235"/>
      <c r="I1255" s="235"/>
      <c r="J1255" s="235"/>
      <c r="K1255" s="66"/>
      <c r="L1255" s="238"/>
      <c r="M1255" s="238"/>
    </row>
    <row r="1256" ht="12.75" customHeight="1">
      <c r="A1256" s="238"/>
      <c r="B1256" s="235"/>
      <c r="C1256" s="235"/>
      <c r="D1256" s="236"/>
      <c r="E1256" s="235"/>
      <c r="F1256" s="235"/>
      <c r="G1256" s="237"/>
      <c r="H1256" s="235"/>
      <c r="I1256" s="235"/>
      <c r="J1256" s="235"/>
      <c r="K1256" s="66"/>
      <c r="L1256" s="238"/>
      <c r="M1256" s="238"/>
    </row>
    <row r="1257" ht="12.75" customHeight="1">
      <c r="A1257" s="238"/>
      <c r="B1257" s="235"/>
      <c r="C1257" s="235"/>
      <c r="D1257" s="236"/>
      <c r="E1257" s="235"/>
      <c r="F1257" s="235"/>
      <c r="G1257" s="237"/>
      <c r="H1257" s="235"/>
      <c r="I1257" s="235"/>
      <c r="J1257" s="235"/>
      <c r="K1257" s="66"/>
      <c r="L1257" s="238"/>
      <c r="M1257" s="238"/>
    </row>
    <row r="1258" ht="12.75" customHeight="1">
      <c r="A1258" s="238"/>
      <c r="B1258" s="235"/>
      <c r="C1258" s="235"/>
      <c r="D1258" s="236"/>
      <c r="E1258" s="235"/>
      <c r="F1258" s="235"/>
      <c r="G1258" s="237"/>
      <c r="H1258" s="235"/>
      <c r="I1258" s="235"/>
      <c r="J1258" s="235"/>
      <c r="K1258" s="66"/>
      <c r="L1258" s="238"/>
      <c r="M1258" s="238"/>
    </row>
    <row r="1259" ht="12.75" customHeight="1">
      <c r="A1259" s="238"/>
      <c r="B1259" s="235"/>
      <c r="C1259" s="235"/>
      <c r="D1259" s="236"/>
      <c r="E1259" s="235"/>
      <c r="F1259" s="235"/>
      <c r="G1259" s="237"/>
      <c r="H1259" s="235"/>
      <c r="I1259" s="235"/>
      <c r="J1259" s="235"/>
      <c r="K1259" s="66"/>
      <c r="L1259" s="238"/>
      <c r="M1259" s="238"/>
    </row>
    <row r="1260" ht="12.75" customHeight="1">
      <c r="A1260" s="238"/>
      <c r="B1260" s="235"/>
      <c r="C1260" s="235"/>
      <c r="D1260" s="236"/>
      <c r="E1260" s="235"/>
      <c r="F1260" s="235"/>
      <c r="G1260" s="237"/>
      <c r="H1260" s="235"/>
      <c r="I1260" s="235"/>
      <c r="J1260" s="235"/>
      <c r="K1260" s="66"/>
      <c r="L1260" s="238"/>
      <c r="M1260" s="238"/>
    </row>
    <row r="1261" ht="12.75" customHeight="1">
      <c r="A1261" s="238"/>
      <c r="B1261" s="235"/>
      <c r="C1261" s="235"/>
      <c r="D1261" s="236"/>
      <c r="E1261" s="235"/>
      <c r="F1261" s="235"/>
      <c r="G1261" s="237"/>
      <c r="H1261" s="235"/>
      <c r="I1261" s="235"/>
      <c r="J1261" s="235"/>
      <c r="K1261" s="66"/>
      <c r="L1261" s="238"/>
      <c r="M1261" s="238"/>
    </row>
    <row r="1262" ht="12.75" customHeight="1">
      <c r="A1262" s="238"/>
      <c r="B1262" s="235"/>
      <c r="C1262" s="235"/>
      <c r="D1262" s="236"/>
      <c r="E1262" s="235"/>
      <c r="F1262" s="235"/>
      <c r="G1262" s="237"/>
      <c r="H1262" s="235"/>
      <c r="I1262" s="235"/>
      <c r="J1262" s="235"/>
      <c r="K1262" s="66"/>
      <c r="L1262" s="238"/>
      <c r="M1262" s="238"/>
    </row>
    <row r="1263" ht="12.75" customHeight="1">
      <c r="A1263" s="238"/>
      <c r="B1263" s="235"/>
      <c r="C1263" s="235"/>
      <c r="D1263" s="236"/>
      <c r="E1263" s="235"/>
      <c r="F1263" s="235"/>
      <c r="G1263" s="237"/>
      <c r="H1263" s="235"/>
      <c r="I1263" s="235"/>
      <c r="J1263" s="235"/>
      <c r="K1263" s="66"/>
      <c r="L1263" s="238"/>
      <c r="M1263" s="238"/>
    </row>
    <row r="1264" ht="12.75" customHeight="1">
      <c r="A1264" s="238"/>
      <c r="B1264" s="235"/>
      <c r="C1264" s="235"/>
      <c r="D1264" s="236"/>
      <c r="E1264" s="235"/>
      <c r="F1264" s="235"/>
      <c r="G1264" s="237"/>
      <c r="H1264" s="235"/>
      <c r="I1264" s="235"/>
      <c r="J1264" s="235"/>
      <c r="K1264" s="66"/>
      <c r="L1264" s="238"/>
      <c r="M1264" s="238"/>
    </row>
    <row r="1265" ht="12.75" customHeight="1">
      <c r="A1265" s="238"/>
      <c r="B1265" s="235"/>
      <c r="C1265" s="235"/>
      <c r="D1265" s="236"/>
      <c r="E1265" s="235"/>
      <c r="F1265" s="235"/>
      <c r="G1265" s="237"/>
      <c r="H1265" s="235"/>
      <c r="I1265" s="235"/>
      <c r="J1265" s="235"/>
      <c r="K1265" s="66"/>
      <c r="L1265" s="238"/>
      <c r="M1265" s="238"/>
    </row>
    <row r="1266" ht="12.75" customHeight="1">
      <c r="A1266" s="238"/>
      <c r="B1266" s="235"/>
      <c r="C1266" s="235"/>
      <c r="D1266" s="236"/>
      <c r="E1266" s="235"/>
      <c r="F1266" s="235"/>
      <c r="G1266" s="237"/>
      <c r="H1266" s="235"/>
      <c r="I1266" s="235"/>
      <c r="J1266" s="235"/>
      <c r="K1266" s="66"/>
      <c r="L1266" s="238"/>
      <c r="M1266" s="238"/>
    </row>
    <row r="1267" ht="12.75" customHeight="1">
      <c r="A1267" s="238"/>
      <c r="B1267" s="235"/>
      <c r="C1267" s="235"/>
      <c r="D1267" s="236"/>
      <c r="E1267" s="235"/>
      <c r="F1267" s="235"/>
      <c r="G1267" s="237"/>
      <c r="H1267" s="235"/>
      <c r="I1267" s="235"/>
      <c r="J1267" s="235"/>
      <c r="K1267" s="66"/>
      <c r="L1267" s="238"/>
      <c r="M1267" s="238"/>
    </row>
    <row r="1268" ht="12.75" customHeight="1">
      <c r="A1268" s="238"/>
      <c r="B1268" s="235"/>
      <c r="C1268" s="235"/>
      <c r="D1268" s="236"/>
      <c r="E1268" s="235"/>
      <c r="F1268" s="235"/>
      <c r="G1268" s="237"/>
      <c r="H1268" s="235"/>
      <c r="I1268" s="235"/>
      <c r="J1268" s="235"/>
      <c r="K1268" s="66"/>
      <c r="L1268" s="238"/>
      <c r="M1268" s="238"/>
    </row>
    <row r="1269" ht="12.75" customHeight="1">
      <c r="A1269" s="238"/>
      <c r="B1269" s="235"/>
      <c r="C1269" s="235"/>
      <c r="D1269" s="236"/>
      <c r="E1269" s="235"/>
      <c r="F1269" s="235"/>
      <c r="G1269" s="237"/>
      <c r="H1269" s="235"/>
      <c r="I1269" s="235"/>
      <c r="J1269" s="235"/>
      <c r="K1269" s="66"/>
      <c r="L1269" s="238"/>
      <c r="M1269" s="238"/>
    </row>
    <row r="1270" ht="12.75" customHeight="1">
      <c r="A1270" s="238"/>
      <c r="B1270" s="235"/>
      <c r="C1270" s="235"/>
      <c r="D1270" s="236"/>
      <c r="E1270" s="235"/>
      <c r="F1270" s="235"/>
      <c r="G1270" s="237"/>
      <c r="H1270" s="235"/>
      <c r="I1270" s="235"/>
      <c r="J1270" s="235"/>
      <c r="K1270" s="66"/>
      <c r="L1270" s="238"/>
      <c r="M1270" s="238"/>
    </row>
    <row r="1271" ht="12.75" customHeight="1">
      <c r="A1271" s="238"/>
      <c r="B1271" s="235"/>
      <c r="C1271" s="235"/>
      <c r="D1271" s="236"/>
      <c r="E1271" s="235"/>
      <c r="F1271" s="235"/>
      <c r="G1271" s="237"/>
      <c r="H1271" s="235"/>
      <c r="I1271" s="235"/>
      <c r="J1271" s="235"/>
      <c r="K1271" s="66"/>
      <c r="L1271" s="238"/>
      <c r="M1271" s="238"/>
    </row>
    <row r="1272" ht="12.75" customHeight="1">
      <c r="A1272" s="238"/>
      <c r="B1272" s="235"/>
      <c r="C1272" s="235"/>
      <c r="D1272" s="236"/>
      <c r="E1272" s="235"/>
      <c r="F1272" s="235"/>
      <c r="G1272" s="237"/>
      <c r="H1272" s="235"/>
      <c r="I1272" s="235"/>
      <c r="J1272" s="235"/>
      <c r="K1272" s="66"/>
      <c r="L1272" s="238"/>
      <c r="M1272" s="238"/>
    </row>
    <row r="1273" ht="12.75" customHeight="1">
      <c r="A1273" s="238"/>
      <c r="B1273" s="235"/>
      <c r="C1273" s="235"/>
      <c r="D1273" s="236"/>
      <c r="E1273" s="235"/>
      <c r="F1273" s="235"/>
      <c r="G1273" s="237"/>
      <c r="H1273" s="235"/>
      <c r="I1273" s="235"/>
      <c r="J1273" s="235"/>
      <c r="K1273" s="66"/>
      <c r="L1273" s="238"/>
      <c r="M1273" s="238"/>
    </row>
    <row r="1274" ht="12.75" customHeight="1">
      <c r="A1274" s="238"/>
      <c r="B1274" s="235"/>
      <c r="C1274" s="235"/>
      <c r="D1274" s="236"/>
      <c r="E1274" s="235"/>
      <c r="F1274" s="235"/>
      <c r="G1274" s="237"/>
      <c r="H1274" s="235"/>
      <c r="I1274" s="235"/>
      <c r="J1274" s="235"/>
      <c r="K1274" s="66"/>
      <c r="L1274" s="238"/>
      <c r="M1274" s="238"/>
    </row>
    <row r="1275" ht="12.75" customHeight="1">
      <c r="A1275" s="238"/>
      <c r="B1275" s="235"/>
      <c r="C1275" s="235"/>
      <c r="D1275" s="236"/>
      <c r="E1275" s="235"/>
      <c r="F1275" s="235"/>
      <c r="G1275" s="237"/>
      <c r="H1275" s="235"/>
      <c r="I1275" s="235"/>
      <c r="J1275" s="235"/>
      <c r="K1275" s="66"/>
      <c r="L1275" s="238"/>
      <c r="M1275" s="238"/>
    </row>
    <row r="1276" ht="12.75" customHeight="1">
      <c r="A1276" s="238"/>
      <c r="B1276" s="235"/>
      <c r="C1276" s="235"/>
      <c r="D1276" s="236"/>
      <c r="E1276" s="235"/>
      <c r="F1276" s="235"/>
      <c r="G1276" s="237"/>
      <c r="H1276" s="235"/>
      <c r="I1276" s="235"/>
      <c r="J1276" s="235"/>
      <c r="K1276" s="66"/>
      <c r="L1276" s="238"/>
      <c r="M1276" s="238"/>
    </row>
    <row r="1277" ht="12.75" customHeight="1">
      <c r="A1277" s="238"/>
      <c r="B1277" s="235"/>
      <c r="C1277" s="235"/>
      <c r="D1277" s="236"/>
      <c r="E1277" s="235"/>
      <c r="F1277" s="235"/>
      <c r="G1277" s="237"/>
      <c r="H1277" s="235"/>
      <c r="I1277" s="235"/>
      <c r="J1277" s="235"/>
      <c r="K1277" s="66"/>
      <c r="L1277" s="238"/>
      <c r="M1277" s="238"/>
    </row>
    <row r="1278" ht="12.75" customHeight="1">
      <c r="A1278" s="238"/>
      <c r="B1278" s="235"/>
      <c r="C1278" s="235"/>
      <c r="D1278" s="236"/>
      <c r="E1278" s="235"/>
      <c r="F1278" s="235"/>
      <c r="G1278" s="237"/>
      <c r="H1278" s="235"/>
      <c r="I1278" s="235"/>
      <c r="J1278" s="235"/>
      <c r="K1278" s="66"/>
      <c r="L1278" s="238"/>
      <c r="M1278" s="238"/>
    </row>
    <row r="1279" ht="12.75" customHeight="1">
      <c r="A1279" s="238"/>
      <c r="B1279" s="235"/>
      <c r="C1279" s="235"/>
      <c r="D1279" s="236"/>
      <c r="E1279" s="235"/>
      <c r="F1279" s="235"/>
      <c r="G1279" s="237"/>
      <c r="H1279" s="235"/>
      <c r="I1279" s="235"/>
      <c r="J1279" s="235"/>
      <c r="K1279" s="66"/>
      <c r="L1279" s="238"/>
      <c r="M1279" s="238"/>
    </row>
    <row r="1280" ht="12.75" customHeight="1">
      <c r="A1280" s="238"/>
      <c r="B1280" s="235"/>
      <c r="C1280" s="235"/>
      <c r="D1280" s="236"/>
      <c r="E1280" s="235"/>
      <c r="F1280" s="235"/>
      <c r="G1280" s="237"/>
      <c r="H1280" s="235"/>
      <c r="I1280" s="235"/>
      <c r="J1280" s="235"/>
      <c r="K1280" s="66"/>
      <c r="L1280" s="238"/>
      <c r="M1280" s="238"/>
    </row>
    <row r="1281" ht="12.75" customHeight="1">
      <c r="A1281" s="238"/>
      <c r="B1281" s="235"/>
      <c r="C1281" s="235"/>
      <c r="D1281" s="236"/>
      <c r="E1281" s="235"/>
      <c r="F1281" s="235"/>
      <c r="G1281" s="237"/>
      <c r="H1281" s="235"/>
      <c r="I1281" s="235"/>
      <c r="J1281" s="235"/>
      <c r="K1281" s="66"/>
      <c r="L1281" s="238"/>
      <c r="M1281" s="238"/>
    </row>
    <row r="1282" ht="12.75" customHeight="1">
      <c r="A1282" s="238"/>
      <c r="B1282" s="235"/>
      <c r="C1282" s="235"/>
      <c r="D1282" s="236"/>
      <c r="E1282" s="235"/>
      <c r="F1282" s="235"/>
      <c r="G1282" s="237"/>
      <c r="H1282" s="235"/>
      <c r="I1282" s="235"/>
      <c r="J1282" s="235"/>
      <c r="K1282" s="66"/>
      <c r="L1282" s="238"/>
      <c r="M1282" s="238"/>
    </row>
    <row r="1283" ht="12.75" customHeight="1">
      <c r="A1283" s="238"/>
      <c r="B1283" s="235"/>
      <c r="C1283" s="235"/>
      <c r="D1283" s="236"/>
      <c r="E1283" s="235"/>
      <c r="F1283" s="235"/>
      <c r="G1283" s="237"/>
      <c r="H1283" s="235"/>
      <c r="I1283" s="235"/>
      <c r="J1283" s="235"/>
      <c r="K1283" s="66"/>
      <c r="L1283" s="238"/>
      <c r="M1283" s="238"/>
    </row>
    <row r="1284" ht="12.75" customHeight="1">
      <c r="A1284" s="238"/>
      <c r="B1284" s="235"/>
      <c r="C1284" s="235"/>
      <c r="D1284" s="236"/>
      <c r="E1284" s="235"/>
      <c r="F1284" s="235"/>
      <c r="G1284" s="237"/>
      <c r="H1284" s="235"/>
      <c r="I1284" s="235"/>
      <c r="J1284" s="235"/>
      <c r="K1284" s="66"/>
      <c r="L1284" s="238"/>
      <c r="M1284" s="238"/>
    </row>
    <row r="1285" ht="12.75" customHeight="1">
      <c r="A1285" s="238"/>
      <c r="B1285" s="235"/>
      <c r="C1285" s="235"/>
      <c r="D1285" s="236"/>
      <c r="E1285" s="235"/>
      <c r="F1285" s="235"/>
      <c r="G1285" s="237"/>
      <c r="H1285" s="235"/>
      <c r="I1285" s="235"/>
      <c r="J1285" s="235"/>
      <c r="K1285" s="66"/>
      <c r="L1285" s="238"/>
      <c r="M1285" s="238"/>
    </row>
    <row r="1286" ht="12.75" customHeight="1">
      <c r="A1286" s="238"/>
      <c r="B1286" s="235"/>
      <c r="C1286" s="235"/>
      <c r="D1286" s="236"/>
      <c r="E1286" s="235"/>
      <c r="F1286" s="235"/>
      <c r="G1286" s="237"/>
      <c r="H1286" s="235"/>
      <c r="I1286" s="235"/>
      <c r="J1286" s="235"/>
      <c r="K1286" s="66"/>
      <c r="L1286" s="238"/>
      <c r="M1286" s="238"/>
    </row>
    <row r="1287" ht="12.75" customHeight="1">
      <c r="A1287" s="238"/>
      <c r="B1287" s="235"/>
      <c r="C1287" s="235"/>
      <c r="D1287" s="236"/>
      <c r="E1287" s="235"/>
      <c r="F1287" s="235"/>
      <c r="G1287" s="237"/>
      <c r="H1287" s="235"/>
      <c r="I1287" s="235"/>
      <c r="J1287" s="235"/>
      <c r="K1287" s="66"/>
      <c r="L1287" s="238"/>
      <c r="M1287" s="238"/>
    </row>
    <row r="1288" ht="12.75" customHeight="1">
      <c r="A1288" s="238"/>
      <c r="B1288" s="235"/>
      <c r="C1288" s="235"/>
      <c r="D1288" s="236"/>
      <c r="E1288" s="235"/>
      <c r="F1288" s="235"/>
      <c r="G1288" s="237"/>
      <c r="H1288" s="235"/>
      <c r="I1288" s="235"/>
      <c r="J1288" s="235"/>
      <c r="K1288" s="66"/>
      <c r="L1288" s="238"/>
      <c r="M1288" s="238"/>
    </row>
    <row r="1289" ht="12.75" customHeight="1">
      <c r="A1289" s="238"/>
      <c r="B1289" s="235"/>
      <c r="C1289" s="235"/>
      <c r="D1289" s="236"/>
      <c r="E1289" s="235"/>
      <c r="F1289" s="235"/>
      <c r="G1289" s="237"/>
      <c r="H1289" s="235"/>
      <c r="I1289" s="235"/>
      <c r="J1289" s="235"/>
      <c r="K1289" s="66"/>
      <c r="L1289" s="238"/>
      <c r="M1289" s="238"/>
    </row>
    <row r="1290" ht="12.75" customHeight="1">
      <c r="A1290" s="238"/>
      <c r="B1290" s="235"/>
      <c r="C1290" s="235"/>
      <c r="D1290" s="236"/>
      <c r="E1290" s="235"/>
      <c r="F1290" s="235"/>
      <c r="G1290" s="237"/>
      <c r="H1290" s="235"/>
      <c r="I1290" s="235"/>
      <c r="J1290" s="235"/>
      <c r="K1290" s="66"/>
      <c r="L1290" s="238"/>
      <c r="M1290" s="238"/>
    </row>
    <row r="1291" ht="12.75" customHeight="1">
      <c r="A1291" s="238"/>
      <c r="B1291" s="235"/>
      <c r="C1291" s="235"/>
      <c r="D1291" s="236"/>
      <c r="E1291" s="235"/>
      <c r="F1291" s="235"/>
      <c r="G1291" s="237"/>
      <c r="H1291" s="235"/>
      <c r="I1291" s="235"/>
      <c r="J1291" s="235"/>
      <c r="K1291" s="66"/>
      <c r="L1291" s="238"/>
      <c r="M1291" s="238"/>
    </row>
    <row r="1292" ht="12.75" customHeight="1">
      <c r="A1292" s="238"/>
      <c r="B1292" s="235"/>
      <c r="C1292" s="235"/>
      <c r="D1292" s="236"/>
      <c r="E1292" s="235"/>
      <c r="F1292" s="235"/>
      <c r="G1292" s="237"/>
      <c r="H1292" s="235"/>
      <c r="I1292" s="235"/>
      <c r="J1292" s="235"/>
      <c r="K1292" s="66"/>
      <c r="L1292" s="238"/>
      <c r="M1292" s="238"/>
    </row>
    <row r="1293" ht="12.75" customHeight="1">
      <c r="A1293" s="238"/>
      <c r="B1293" s="235"/>
      <c r="C1293" s="235"/>
      <c r="D1293" s="236"/>
      <c r="E1293" s="235"/>
      <c r="F1293" s="235"/>
      <c r="G1293" s="237"/>
      <c r="H1293" s="235"/>
      <c r="I1293" s="235"/>
      <c r="J1293" s="235"/>
      <c r="K1293" s="66"/>
      <c r="L1293" s="238"/>
      <c r="M1293" s="238"/>
    </row>
    <row r="1294" ht="12.75" customHeight="1">
      <c r="A1294" s="238"/>
      <c r="B1294" s="235"/>
      <c r="C1294" s="235"/>
      <c r="D1294" s="236"/>
      <c r="E1294" s="235"/>
      <c r="F1294" s="235"/>
      <c r="G1294" s="237"/>
      <c r="H1294" s="235"/>
      <c r="I1294" s="235"/>
      <c r="J1294" s="235"/>
      <c r="K1294" s="66"/>
      <c r="L1294" s="238"/>
      <c r="M1294" s="238"/>
    </row>
    <row r="1295" ht="12.75" customHeight="1">
      <c r="A1295" s="238"/>
      <c r="B1295" s="235"/>
      <c r="C1295" s="235"/>
      <c r="D1295" s="236"/>
      <c r="E1295" s="235"/>
      <c r="F1295" s="235"/>
      <c r="G1295" s="237"/>
      <c r="H1295" s="235"/>
      <c r="I1295" s="235"/>
      <c r="J1295" s="235"/>
      <c r="K1295" s="66"/>
      <c r="L1295" s="238"/>
      <c r="M1295" s="238"/>
    </row>
    <row r="1296" ht="12.75" customHeight="1">
      <c r="A1296" s="238"/>
      <c r="B1296" s="235"/>
      <c r="C1296" s="235"/>
      <c r="D1296" s="236"/>
      <c r="E1296" s="235"/>
      <c r="F1296" s="235"/>
      <c r="G1296" s="237"/>
      <c r="H1296" s="235"/>
      <c r="I1296" s="235"/>
      <c r="J1296" s="235"/>
      <c r="K1296" s="66"/>
      <c r="L1296" s="238"/>
      <c r="M1296" s="238"/>
    </row>
    <row r="1297" ht="12.75" customHeight="1">
      <c r="A1297" s="238"/>
      <c r="B1297" s="235"/>
      <c r="C1297" s="235"/>
      <c r="D1297" s="236"/>
      <c r="E1297" s="235"/>
      <c r="F1297" s="235"/>
      <c r="G1297" s="237"/>
      <c r="H1297" s="235"/>
      <c r="I1297" s="235"/>
      <c r="J1297" s="235"/>
      <c r="K1297" s="66"/>
      <c r="L1297" s="238"/>
      <c r="M1297" s="238"/>
    </row>
    <row r="1298" ht="12.75" customHeight="1">
      <c r="A1298" s="238"/>
      <c r="B1298" s="235"/>
      <c r="C1298" s="235"/>
      <c r="D1298" s="236"/>
      <c r="E1298" s="235"/>
      <c r="F1298" s="235"/>
      <c r="G1298" s="237"/>
      <c r="H1298" s="235"/>
      <c r="I1298" s="235"/>
      <c r="J1298" s="235"/>
      <c r="K1298" s="66"/>
      <c r="L1298" s="238"/>
      <c r="M1298" s="238"/>
    </row>
    <row r="1299" ht="12.75" customHeight="1">
      <c r="A1299" s="238"/>
      <c r="B1299" s="235"/>
      <c r="C1299" s="235"/>
      <c r="D1299" s="236"/>
      <c r="E1299" s="235"/>
      <c r="F1299" s="235"/>
      <c r="G1299" s="237"/>
      <c r="H1299" s="235"/>
      <c r="I1299" s="235"/>
      <c r="J1299" s="235"/>
      <c r="K1299" s="66"/>
      <c r="L1299" s="238"/>
      <c r="M1299" s="238"/>
    </row>
    <row r="1300" ht="12.75" customHeight="1">
      <c r="A1300" s="238"/>
      <c r="B1300" s="235"/>
      <c r="C1300" s="235"/>
      <c r="D1300" s="236"/>
      <c r="E1300" s="235"/>
      <c r="F1300" s="235"/>
      <c r="G1300" s="237"/>
      <c r="H1300" s="235"/>
      <c r="I1300" s="235"/>
      <c r="J1300" s="235"/>
      <c r="K1300" s="66"/>
      <c r="L1300" s="238"/>
      <c r="M1300" s="238"/>
    </row>
    <row r="1301" ht="12.75" customHeight="1">
      <c r="A1301" s="238"/>
      <c r="B1301" s="235"/>
      <c r="C1301" s="235"/>
      <c r="D1301" s="236"/>
      <c r="E1301" s="235"/>
      <c r="F1301" s="235"/>
      <c r="G1301" s="237"/>
      <c r="H1301" s="235"/>
      <c r="I1301" s="235"/>
      <c r="J1301" s="235"/>
      <c r="K1301" s="66"/>
      <c r="L1301" s="238"/>
      <c r="M1301" s="238"/>
    </row>
    <row r="1302" ht="12.75" customHeight="1">
      <c r="A1302" s="238"/>
      <c r="B1302" s="235"/>
      <c r="C1302" s="235"/>
      <c r="D1302" s="236"/>
      <c r="E1302" s="235"/>
      <c r="F1302" s="235"/>
      <c r="G1302" s="237"/>
      <c r="H1302" s="235"/>
      <c r="I1302" s="235"/>
      <c r="J1302" s="235"/>
      <c r="K1302" s="66"/>
      <c r="L1302" s="238"/>
      <c r="M1302" s="238"/>
    </row>
    <row r="1303" ht="12.75" customHeight="1">
      <c r="A1303" s="238"/>
      <c r="B1303" s="235"/>
      <c r="C1303" s="235"/>
      <c r="D1303" s="236"/>
      <c r="E1303" s="235"/>
      <c r="F1303" s="235"/>
      <c r="G1303" s="237"/>
      <c r="H1303" s="235"/>
      <c r="I1303" s="235"/>
      <c r="J1303" s="235"/>
      <c r="K1303" s="66"/>
      <c r="L1303" s="238"/>
      <c r="M1303" s="238"/>
    </row>
    <row r="1304" ht="12.75" customHeight="1">
      <c r="A1304" s="238"/>
      <c r="B1304" s="235"/>
      <c r="C1304" s="235"/>
      <c r="D1304" s="236"/>
      <c r="E1304" s="235"/>
      <c r="F1304" s="235"/>
      <c r="G1304" s="237"/>
      <c r="H1304" s="235"/>
      <c r="I1304" s="235"/>
      <c r="J1304" s="235"/>
      <c r="K1304" s="66"/>
      <c r="L1304" s="238"/>
      <c r="M1304" s="238"/>
    </row>
    <row r="1305" ht="12.75" customHeight="1">
      <c r="A1305" s="238"/>
      <c r="B1305" s="235"/>
      <c r="C1305" s="235"/>
      <c r="D1305" s="236"/>
      <c r="E1305" s="235"/>
      <c r="F1305" s="235"/>
      <c r="G1305" s="237"/>
      <c r="H1305" s="235"/>
      <c r="I1305" s="235"/>
      <c r="J1305" s="235"/>
      <c r="K1305" s="66"/>
      <c r="L1305" s="238"/>
      <c r="M1305" s="238"/>
    </row>
    <row r="1306" ht="12.75" customHeight="1">
      <c r="A1306" s="238"/>
      <c r="B1306" s="235"/>
      <c r="C1306" s="235"/>
      <c r="D1306" s="236"/>
      <c r="E1306" s="235"/>
      <c r="F1306" s="235"/>
      <c r="G1306" s="237"/>
      <c r="H1306" s="235"/>
      <c r="I1306" s="235"/>
      <c r="J1306" s="235"/>
      <c r="K1306" s="66"/>
      <c r="L1306" s="238"/>
      <c r="M1306" s="238"/>
    </row>
    <row r="1307" ht="12.75" customHeight="1">
      <c r="A1307" s="238"/>
      <c r="B1307" s="235"/>
      <c r="C1307" s="235"/>
      <c r="D1307" s="236"/>
      <c r="E1307" s="235"/>
      <c r="F1307" s="235"/>
      <c r="G1307" s="237"/>
      <c r="H1307" s="235"/>
      <c r="I1307" s="235"/>
      <c r="J1307" s="235"/>
      <c r="K1307" s="66"/>
      <c r="L1307" s="238"/>
      <c r="M1307" s="238"/>
    </row>
    <row r="1308" ht="12.75" customHeight="1">
      <c r="A1308" s="238"/>
      <c r="B1308" s="235"/>
      <c r="C1308" s="235"/>
      <c r="D1308" s="236"/>
      <c r="E1308" s="235"/>
      <c r="F1308" s="235"/>
      <c r="G1308" s="237"/>
      <c r="H1308" s="235"/>
      <c r="I1308" s="235"/>
      <c r="J1308" s="235"/>
      <c r="K1308" s="66"/>
      <c r="L1308" s="238"/>
      <c r="M1308" s="238"/>
    </row>
    <row r="1309" ht="12.75" customHeight="1">
      <c r="A1309" s="238"/>
      <c r="B1309" s="235"/>
      <c r="C1309" s="235"/>
      <c r="D1309" s="236"/>
      <c r="E1309" s="235"/>
      <c r="F1309" s="235"/>
      <c r="G1309" s="237"/>
      <c r="H1309" s="235"/>
      <c r="I1309" s="235"/>
      <c r="J1309" s="235"/>
      <c r="K1309" s="66"/>
      <c r="L1309" s="238"/>
      <c r="M1309" s="238"/>
    </row>
    <row r="1310" ht="12.75" customHeight="1">
      <c r="A1310" s="238"/>
      <c r="B1310" s="235"/>
      <c r="C1310" s="235"/>
      <c r="D1310" s="236"/>
      <c r="E1310" s="235"/>
      <c r="F1310" s="235"/>
      <c r="G1310" s="237"/>
      <c r="H1310" s="235"/>
      <c r="I1310" s="235"/>
      <c r="J1310" s="235"/>
      <c r="K1310" s="66"/>
      <c r="L1310" s="238"/>
      <c r="M1310" s="238"/>
    </row>
    <row r="1311" ht="12.75" customHeight="1">
      <c r="A1311" s="238"/>
      <c r="B1311" s="235"/>
      <c r="C1311" s="235"/>
      <c r="D1311" s="236"/>
      <c r="E1311" s="235"/>
      <c r="F1311" s="235"/>
      <c r="G1311" s="237"/>
      <c r="H1311" s="235"/>
      <c r="I1311" s="235"/>
      <c r="J1311" s="235"/>
      <c r="K1311" s="66"/>
      <c r="L1311" s="238"/>
      <c r="M1311" s="238"/>
    </row>
    <row r="1312" ht="12.75" customHeight="1">
      <c r="A1312" s="238"/>
      <c r="B1312" s="235"/>
      <c r="C1312" s="235"/>
      <c r="D1312" s="236"/>
      <c r="E1312" s="235"/>
      <c r="F1312" s="235"/>
      <c r="G1312" s="237"/>
      <c r="H1312" s="235"/>
      <c r="I1312" s="235"/>
      <c r="J1312" s="235"/>
      <c r="K1312" s="66"/>
      <c r="L1312" s="238"/>
      <c r="M1312" s="238"/>
    </row>
    <row r="1313" ht="12.75" customHeight="1">
      <c r="A1313" s="238"/>
      <c r="B1313" s="235"/>
      <c r="C1313" s="235"/>
      <c r="D1313" s="236"/>
      <c r="E1313" s="235"/>
      <c r="F1313" s="235"/>
      <c r="G1313" s="237"/>
      <c r="H1313" s="235"/>
      <c r="I1313" s="235"/>
      <c r="J1313" s="235"/>
      <c r="K1313" s="66"/>
      <c r="L1313" s="238"/>
      <c r="M1313" s="238"/>
    </row>
    <row r="1314" ht="12.75" customHeight="1">
      <c r="A1314" s="238"/>
      <c r="B1314" s="235"/>
      <c r="C1314" s="235"/>
      <c r="D1314" s="236"/>
      <c r="E1314" s="235"/>
      <c r="F1314" s="235"/>
      <c r="G1314" s="237"/>
      <c r="H1314" s="235"/>
      <c r="I1314" s="235"/>
      <c r="J1314" s="235"/>
      <c r="K1314" s="66"/>
      <c r="L1314" s="238"/>
      <c r="M1314" s="238"/>
    </row>
    <row r="1315" ht="12.75" customHeight="1">
      <c r="A1315" s="238"/>
      <c r="B1315" s="235"/>
      <c r="C1315" s="235"/>
      <c r="D1315" s="236"/>
      <c r="E1315" s="235"/>
      <c r="F1315" s="235"/>
      <c r="G1315" s="237"/>
      <c r="H1315" s="235"/>
      <c r="I1315" s="235"/>
      <c r="J1315" s="235"/>
      <c r="K1315" s="66"/>
      <c r="L1315" s="238"/>
      <c r="M1315" s="238"/>
    </row>
    <row r="1316" ht="12.75" customHeight="1">
      <c r="A1316" s="238"/>
      <c r="B1316" s="235"/>
      <c r="C1316" s="235"/>
      <c r="D1316" s="236"/>
      <c r="E1316" s="235"/>
      <c r="F1316" s="235"/>
      <c r="G1316" s="237"/>
      <c r="H1316" s="235"/>
      <c r="I1316" s="235"/>
      <c r="J1316" s="235"/>
      <c r="K1316" s="66"/>
      <c r="L1316" s="238"/>
      <c r="M1316" s="238"/>
    </row>
    <row r="1317" ht="12.75" customHeight="1">
      <c r="A1317" s="238"/>
      <c r="B1317" s="235"/>
      <c r="C1317" s="235"/>
      <c r="D1317" s="236"/>
      <c r="E1317" s="235"/>
      <c r="F1317" s="235"/>
      <c r="G1317" s="237"/>
      <c r="H1317" s="235"/>
      <c r="I1317" s="235"/>
      <c r="J1317" s="235"/>
      <c r="K1317" s="66"/>
      <c r="L1317" s="238"/>
      <c r="M1317" s="238"/>
    </row>
    <row r="1318" ht="12.75" customHeight="1">
      <c r="A1318" s="238"/>
      <c r="B1318" s="235"/>
      <c r="C1318" s="235"/>
      <c r="D1318" s="236"/>
      <c r="E1318" s="235"/>
      <c r="F1318" s="235"/>
      <c r="G1318" s="237"/>
      <c r="H1318" s="235"/>
      <c r="I1318" s="235"/>
      <c r="J1318" s="235"/>
      <c r="K1318" s="66"/>
      <c r="L1318" s="238"/>
      <c r="M1318" s="238"/>
    </row>
    <row r="1319" ht="12.75" customHeight="1">
      <c r="A1319" s="238"/>
      <c r="B1319" s="235"/>
      <c r="C1319" s="235"/>
      <c r="D1319" s="236"/>
      <c r="E1319" s="235"/>
      <c r="F1319" s="235"/>
      <c r="G1319" s="237"/>
      <c r="H1319" s="235"/>
      <c r="I1319" s="235"/>
      <c r="J1319" s="235"/>
      <c r="K1319" s="66"/>
      <c r="L1319" s="238"/>
      <c r="M1319" s="238"/>
    </row>
    <row r="1320" ht="12.75" customHeight="1">
      <c r="A1320" s="238"/>
      <c r="B1320" s="235"/>
      <c r="C1320" s="235"/>
      <c r="D1320" s="236"/>
      <c r="E1320" s="235"/>
      <c r="F1320" s="235"/>
      <c r="G1320" s="237"/>
      <c r="H1320" s="235"/>
      <c r="I1320" s="235"/>
      <c r="J1320" s="235"/>
      <c r="K1320" s="66"/>
      <c r="L1320" s="238"/>
      <c r="M1320" s="238"/>
    </row>
    <row r="1321" ht="12.75" customHeight="1">
      <c r="A1321" s="238"/>
      <c r="B1321" s="235"/>
      <c r="C1321" s="235"/>
      <c r="D1321" s="236"/>
      <c r="E1321" s="235"/>
      <c r="F1321" s="235"/>
      <c r="G1321" s="237"/>
      <c r="H1321" s="235"/>
      <c r="I1321" s="235"/>
      <c r="J1321" s="235"/>
      <c r="K1321" s="66"/>
      <c r="L1321" s="238"/>
      <c r="M1321" s="238"/>
    </row>
    <row r="1322" ht="12.75" customHeight="1">
      <c r="A1322" s="238"/>
      <c r="B1322" s="235"/>
      <c r="C1322" s="235"/>
      <c r="D1322" s="236"/>
      <c r="E1322" s="235"/>
      <c r="F1322" s="235"/>
      <c r="G1322" s="237"/>
      <c r="H1322" s="235"/>
      <c r="I1322" s="235"/>
      <c r="J1322" s="235"/>
      <c r="K1322" s="66"/>
      <c r="L1322" s="238"/>
      <c r="M1322" s="238"/>
    </row>
    <row r="1323" ht="12.75" customHeight="1">
      <c r="A1323" s="238"/>
      <c r="B1323" s="235"/>
      <c r="C1323" s="235"/>
      <c r="D1323" s="236"/>
      <c r="E1323" s="235"/>
      <c r="F1323" s="235"/>
      <c r="G1323" s="237"/>
      <c r="H1323" s="235"/>
      <c r="I1323" s="235"/>
      <c r="J1323" s="235"/>
      <c r="K1323" s="66"/>
      <c r="L1323" s="238"/>
      <c r="M1323" s="238"/>
    </row>
    <row r="1324" ht="12.75" customHeight="1">
      <c r="A1324" s="238"/>
      <c r="B1324" s="235"/>
      <c r="C1324" s="235"/>
      <c r="D1324" s="236"/>
      <c r="E1324" s="235"/>
      <c r="F1324" s="235"/>
      <c r="G1324" s="237"/>
      <c r="H1324" s="235"/>
      <c r="I1324" s="235"/>
      <c r="J1324" s="235"/>
      <c r="K1324" s="66"/>
      <c r="L1324" s="238"/>
      <c r="M1324" s="238"/>
    </row>
    <row r="1325" ht="12.75" customHeight="1">
      <c r="A1325" s="238"/>
      <c r="B1325" s="235"/>
      <c r="C1325" s="235"/>
      <c r="D1325" s="236"/>
      <c r="E1325" s="235"/>
      <c r="F1325" s="235"/>
      <c r="G1325" s="237"/>
      <c r="H1325" s="235"/>
      <c r="I1325" s="235"/>
      <c r="J1325" s="235"/>
      <c r="K1325" s="66"/>
      <c r="L1325" s="238"/>
      <c r="M1325" s="238"/>
    </row>
    <row r="1326" ht="12.75" customHeight="1">
      <c r="A1326" s="238"/>
      <c r="B1326" s="235"/>
      <c r="C1326" s="235"/>
      <c r="D1326" s="236"/>
      <c r="E1326" s="235"/>
      <c r="F1326" s="235"/>
      <c r="G1326" s="237"/>
      <c r="H1326" s="235"/>
      <c r="I1326" s="235"/>
      <c r="J1326" s="235"/>
      <c r="K1326" s="66"/>
      <c r="L1326" s="238"/>
      <c r="M1326" s="238"/>
    </row>
    <row r="1327" ht="12.75" customHeight="1">
      <c r="A1327" s="238"/>
      <c r="B1327" s="235"/>
      <c r="C1327" s="235"/>
      <c r="D1327" s="236"/>
      <c r="E1327" s="235"/>
      <c r="F1327" s="235"/>
      <c r="G1327" s="237"/>
      <c r="H1327" s="235"/>
      <c r="I1327" s="235"/>
      <c r="J1327" s="235"/>
      <c r="K1327" s="66"/>
      <c r="L1327" s="238"/>
      <c r="M1327" s="238"/>
    </row>
    <row r="1328" ht="12.75" customHeight="1">
      <c r="A1328" s="238"/>
      <c r="B1328" s="235"/>
      <c r="C1328" s="235"/>
      <c r="D1328" s="236"/>
      <c r="E1328" s="235"/>
      <c r="F1328" s="235"/>
      <c r="G1328" s="237"/>
      <c r="H1328" s="235"/>
      <c r="I1328" s="235"/>
      <c r="J1328" s="235"/>
      <c r="K1328" s="66"/>
      <c r="L1328" s="238"/>
      <c r="M1328" s="238"/>
    </row>
    <row r="1329" ht="12.75" customHeight="1">
      <c r="A1329" s="238"/>
      <c r="B1329" s="235"/>
      <c r="C1329" s="235"/>
      <c r="D1329" s="236"/>
      <c r="E1329" s="235"/>
      <c r="F1329" s="235"/>
      <c r="G1329" s="237"/>
      <c r="H1329" s="235"/>
      <c r="I1329" s="235"/>
      <c r="J1329" s="235"/>
      <c r="K1329" s="66"/>
      <c r="L1329" s="238"/>
      <c r="M1329" s="238"/>
    </row>
    <row r="1330" ht="12.75" customHeight="1">
      <c r="A1330" s="238"/>
      <c r="B1330" s="235"/>
      <c r="C1330" s="235"/>
      <c r="D1330" s="236"/>
      <c r="E1330" s="235"/>
      <c r="F1330" s="235"/>
      <c r="G1330" s="237"/>
      <c r="H1330" s="235"/>
      <c r="I1330" s="235"/>
      <c r="J1330" s="235"/>
      <c r="K1330" s="66"/>
      <c r="L1330" s="238"/>
      <c r="M1330" s="238"/>
    </row>
    <row r="1331" ht="12.75" customHeight="1">
      <c r="A1331" s="238"/>
      <c r="B1331" s="235"/>
      <c r="C1331" s="235"/>
      <c r="D1331" s="236"/>
      <c r="E1331" s="235"/>
      <c r="F1331" s="235"/>
      <c r="G1331" s="237"/>
      <c r="H1331" s="235"/>
      <c r="I1331" s="235"/>
      <c r="J1331" s="235"/>
      <c r="K1331" s="66"/>
      <c r="L1331" s="238"/>
      <c r="M1331" s="238"/>
    </row>
    <row r="1332" ht="12.75" customHeight="1">
      <c r="A1332" s="238"/>
      <c r="B1332" s="235"/>
      <c r="C1332" s="235"/>
      <c r="D1332" s="236"/>
      <c r="E1332" s="235"/>
      <c r="F1332" s="235"/>
      <c r="G1332" s="237"/>
      <c r="H1332" s="235"/>
      <c r="I1332" s="235"/>
      <c r="J1332" s="235"/>
      <c r="K1332" s="66"/>
      <c r="L1332" s="238"/>
      <c r="M1332" s="238"/>
    </row>
    <row r="1333" ht="12.75" customHeight="1">
      <c r="A1333" s="238"/>
      <c r="B1333" s="235"/>
      <c r="C1333" s="235"/>
      <c r="D1333" s="236"/>
      <c r="E1333" s="235"/>
      <c r="F1333" s="235"/>
      <c r="G1333" s="237"/>
      <c r="H1333" s="235"/>
      <c r="I1333" s="235"/>
      <c r="J1333" s="235"/>
      <c r="K1333" s="66"/>
      <c r="L1333" s="238"/>
      <c r="M1333" s="238"/>
    </row>
    <row r="1334" ht="12.75" customHeight="1">
      <c r="A1334" s="238"/>
      <c r="B1334" s="235"/>
      <c r="C1334" s="235"/>
      <c r="D1334" s="236"/>
      <c r="E1334" s="235"/>
      <c r="F1334" s="235"/>
      <c r="G1334" s="237"/>
      <c r="H1334" s="235"/>
      <c r="I1334" s="235"/>
      <c r="J1334" s="235"/>
      <c r="K1334" s="66"/>
      <c r="L1334" s="238"/>
      <c r="M1334" s="238"/>
    </row>
    <row r="1335" ht="12.75" customHeight="1">
      <c r="A1335" s="238"/>
      <c r="B1335" s="235"/>
      <c r="C1335" s="235"/>
      <c r="D1335" s="236"/>
      <c r="E1335" s="235"/>
      <c r="F1335" s="235"/>
      <c r="G1335" s="237"/>
      <c r="H1335" s="235"/>
      <c r="I1335" s="235"/>
      <c r="J1335" s="235"/>
      <c r="K1335" s="66"/>
      <c r="L1335" s="238"/>
      <c r="M1335" s="238"/>
    </row>
    <row r="1336" ht="12.75" customHeight="1">
      <c r="A1336" s="238"/>
      <c r="B1336" s="235"/>
      <c r="C1336" s="235"/>
      <c r="D1336" s="236"/>
      <c r="E1336" s="235"/>
      <c r="F1336" s="235"/>
      <c r="G1336" s="237"/>
      <c r="H1336" s="235"/>
      <c r="I1336" s="235"/>
      <c r="J1336" s="235"/>
      <c r="K1336" s="66"/>
      <c r="L1336" s="238"/>
      <c r="M1336" s="238"/>
    </row>
    <row r="1337" ht="12.75" customHeight="1">
      <c r="A1337" s="238"/>
      <c r="B1337" s="235"/>
      <c r="C1337" s="235"/>
      <c r="D1337" s="236"/>
      <c r="E1337" s="235"/>
      <c r="F1337" s="235"/>
      <c r="G1337" s="237"/>
      <c r="H1337" s="235"/>
      <c r="I1337" s="235"/>
      <c r="J1337" s="235"/>
      <c r="K1337" s="66"/>
      <c r="L1337" s="238"/>
      <c r="M1337" s="238"/>
    </row>
    <row r="1338" ht="12.75" customHeight="1">
      <c r="A1338" s="238"/>
      <c r="B1338" s="235"/>
      <c r="C1338" s="235"/>
      <c r="D1338" s="236"/>
      <c r="E1338" s="235"/>
      <c r="F1338" s="235"/>
      <c r="G1338" s="237"/>
      <c r="H1338" s="235"/>
      <c r="I1338" s="235"/>
      <c r="J1338" s="235"/>
      <c r="K1338" s="66"/>
      <c r="L1338" s="238"/>
      <c r="M1338" s="238"/>
    </row>
    <row r="1339" ht="12.75" customHeight="1">
      <c r="A1339" s="238"/>
      <c r="B1339" s="235"/>
      <c r="C1339" s="235"/>
      <c r="D1339" s="236"/>
      <c r="E1339" s="235"/>
      <c r="F1339" s="235"/>
      <c r="G1339" s="237"/>
      <c r="H1339" s="235"/>
      <c r="I1339" s="235"/>
      <c r="J1339" s="235"/>
      <c r="K1339" s="66"/>
      <c r="L1339" s="238"/>
      <c r="M1339" s="238"/>
    </row>
    <row r="1340" ht="12.75" customHeight="1">
      <c r="A1340" s="238"/>
      <c r="B1340" s="235"/>
      <c r="C1340" s="235"/>
      <c r="D1340" s="236"/>
      <c r="E1340" s="235"/>
      <c r="F1340" s="235"/>
      <c r="G1340" s="237"/>
      <c r="H1340" s="235"/>
      <c r="I1340" s="235"/>
      <c r="J1340" s="235"/>
      <c r="K1340" s="66"/>
      <c r="L1340" s="238"/>
      <c r="M1340" s="238"/>
    </row>
    <row r="1341" ht="12.75" customHeight="1">
      <c r="A1341" s="238"/>
      <c r="B1341" s="235"/>
      <c r="C1341" s="235"/>
      <c r="D1341" s="236"/>
      <c r="E1341" s="235"/>
      <c r="F1341" s="235"/>
      <c r="G1341" s="237"/>
      <c r="H1341" s="235"/>
      <c r="I1341" s="235"/>
      <c r="J1341" s="235"/>
      <c r="K1341" s="66"/>
      <c r="L1341" s="238"/>
      <c r="M1341" s="238"/>
    </row>
    <row r="1342" ht="12.75" customHeight="1">
      <c r="A1342" s="238"/>
      <c r="B1342" s="235"/>
      <c r="C1342" s="235"/>
      <c r="D1342" s="236"/>
      <c r="E1342" s="235"/>
      <c r="F1342" s="235"/>
      <c r="G1342" s="237"/>
      <c r="H1342" s="235"/>
      <c r="I1342" s="235"/>
      <c r="J1342" s="235"/>
      <c r="K1342" s="66"/>
      <c r="L1342" s="238"/>
      <c r="M1342" s="238"/>
    </row>
    <row r="1343" ht="12.75" customHeight="1">
      <c r="A1343" s="238"/>
      <c r="B1343" s="235"/>
      <c r="C1343" s="235"/>
      <c r="D1343" s="236"/>
      <c r="E1343" s="235"/>
      <c r="F1343" s="235"/>
      <c r="G1343" s="237"/>
      <c r="H1343" s="235"/>
      <c r="I1343" s="235"/>
      <c r="J1343" s="235"/>
      <c r="K1343" s="66"/>
      <c r="L1343" s="238"/>
      <c r="M1343" s="238"/>
    </row>
    <row r="1344" ht="12.75" customHeight="1">
      <c r="A1344" s="238"/>
      <c r="B1344" s="235"/>
      <c r="C1344" s="235"/>
      <c r="D1344" s="236"/>
      <c r="E1344" s="235"/>
      <c r="F1344" s="235"/>
      <c r="G1344" s="237"/>
      <c r="H1344" s="235"/>
      <c r="I1344" s="235"/>
      <c r="J1344" s="235"/>
      <c r="K1344" s="66"/>
      <c r="L1344" s="238"/>
      <c r="M1344" s="238"/>
    </row>
    <row r="1345" ht="12.75" customHeight="1">
      <c r="A1345" s="238"/>
      <c r="B1345" s="235"/>
      <c r="C1345" s="235"/>
      <c r="D1345" s="236"/>
      <c r="E1345" s="235"/>
      <c r="F1345" s="235"/>
      <c r="G1345" s="237"/>
      <c r="H1345" s="235"/>
      <c r="I1345" s="235"/>
      <c r="J1345" s="235"/>
      <c r="K1345" s="66"/>
      <c r="L1345" s="238"/>
      <c r="M1345" s="238"/>
    </row>
    <row r="1346" ht="12.75" customHeight="1">
      <c r="A1346" s="238"/>
      <c r="B1346" s="235"/>
      <c r="C1346" s="235"/>
      <c r="D1346" s="236"/>
      <c r="E1346" s="235"/>
      <c r="F1346" s="235"/>
      <c r="G1346" s="237"/>
      <c r="H1346" s="235"/>
      <c r="I1346" s="235"/>
      <c r="J1346" s="235"/>
      <c r="K1346" s="66"/>
      <c r="L1346" s="238"/>
      <c r="M1346" s="238"/>
    </row>
    <row r="1347" ht="12.75" customHeight="1">
      <c r="A1347" s="238"/>
      <c r="B1347" s="235"/>
      <c r="C1347" s="235"/>
      <c r="D1347" s="236"/>
      <c r="E1347" s="235"/>
      <c r="F1347" s="235"/>
      <c r="G1347" s="237"/>
      <c r="H1347" s="235"/>
      <c r="I1347" s="235"/>
      <c r="J1347" s="235"/>
      <c r="K1347" s="66"/>
      <c r="L1347" s="238"/>
      <c r="M1347" s="238"/>
    </row>
    <row r="1348" ht="12.75" customHeight="1">
      <c r="A1348" s="238"/>
      <c r="B1348" s="235"/>
      <c r="C1348" s="235"/>
      <c r="D1348" s="236"/>
      <c r="E1348" s="235"/>
      <c r="F1348" s="235"/>
      <c r="G1348" s="237"/>
      <c r="H1348" s="235"/>
      <c r="I1348" s="235"/>
      <c r="J1348" s="235"/>
      <c r="K1348" s="66"/>
      <c r="L1348" s="238"/>
      <c r="M1348" s="238"/>
    </row>
    <row r="1349" ht="12.75" customHeight="1">
      <c r="A1349" s="238"/>
      <c r="B1349" s="235"/>
      <c r="C1349" s="235"/>
      <c r="D1349" s="236"/>
      <c r="E1349" s="235"/>
      <c r="F1349" s="235"/>
      <c r="G1349" s="237"/>
      <c r="H1349" s="235"/>
      <c r="I1349" s="235"/>
      <c r="J1349" s="235"/>
      <c r="K1349" s="66"/>
      <c r="L1349" s="238"/>
      <c r="M1349" s="238"/>
    </row>
    <row r="1350" ht="12.75" customHeight="1">
      <c r="A1350" s="238"/>
      <c r="B1350" s="235"/>
      <c r="C1350" s="235"/>
      <c r="D1350" s="236"/>
      <c r="E1350" s="235"/>
      <c r="F1350" s="235"/>
      <c r="G1350" s="237"/>
      <c r="H1350" s="235"/>
      <c r="I1350" s="235"/>
      <c r="J1350" s="235"/>
      <c r="K1350" s="66"/>
      <c r="L1350" s="238"/>
      <c r="M1350" s="238"/>
    </row>
    <row r="1351" ht="12.75" customHeight="1">
      <c r="A1351" s="238"/>
      <c r="B1351" s="235"/>
      <c r="C1351" s="235"/>
      <c r="D1351" s="236"/>
      <c r="E1351" s="235"/>
      <c r="F1351" s="235"/>
      <c r="G1351" s="237"/>
      <c r="H1351" s="235"/>
      <c r="I1351" s="235"/>
      <c r="J1351" s="235"/>
      <c r="K1351" s="66"/>
      <c r="L1351" s="238"/>
      <c r="M1351" s="238"/>
    </row>
    <row r="1352" ht="12.75" customHeight="1">
      <c r="A1352" s="238"/>
      <c r="B1352" s="235"/>
      <c r="C1352" s="235"/>
      <c r="D1352" s="236"/>
      <c r="E1352" s="235"/>
      <c r="F1352" s="235"/>
      <c r="G1352" s="237"/>
      <c r="H1352" s="235"/>
      <c r="I1352" s="235"/>
      <c r="J1352" s="235"/>
      <c r="K1352" s="66"/>
      <c r="L1352" s="238"/>
      <c r="M1352" s="238"/>
    </row>
    <row r="1353" ht="12.75" customHeight="1">
      <c r="A1353" s="238"/>
      <c r="B1353" s="235"/>
      <c r="C1353" s="235"/>
      <c r="D1353" s="236"/>
      <c r="E1353" s="235"/>
      <c r="F1353" s="235"/>
      <c r="G1353" s="237"/>
      <c r="H1353" s="235"/>
      <c r="I1353" s="235"/>
      <c r="J1353" s="235"/>
      <c r="K1353" s="66"/>
      <c r="L1353" s="238"/>
      <c r="M1353" s="238"/>
    </row>
    <row r="1354" ht="12.75" customHeight="1">
      <c r="A1354" s="238"/>
      <c r="B1354" s="235"/>
      <c r="C1354" s="235"/>
      <c r="D1354" s="236"/>
      <c r="E1354" s="235"/>
      <c r="F1354" s="235"/>
      <c r="G1354" s="237"/>
      <c r="H1354" s="235"/>
      <c r="I1354" s="235"/>
      <c r="J1354" s="235"/>
      <c r="K1354" s="66"/>
      <c r="L1354" s="238"/>
      <c r="M1354" s="238"/>
    </row>
    <row r="1355" ht="12.75" customHeight="1">
      <c r="A1355" s="238"/>
      <c r="B1355" s="235"/>
      <c r="C1355" s="235"/>
      <c r="D1355" s="236"/>
      <c r="E1355" s="235"/>
      <c r="F1355" s="235"/>
      <c r="G1355" s="237"/>
      <c r="H1355" s="235"/>
      <c r="I1355" s="235"/>
      <c r="J1355" s="235"/>
      <c r="K1355" s="66"/>
      <c r="L1355" s="238"/>
      <c r="M1355" s="238"/>
    </row>
    <row r="1356" ht="12.75" customHeight="1">
      <c r="A1356" s="238"/>
      <c r="B1356" s="235"/>
      <c r="C1356" s="235"/>
      <c r="D1356" s="236"/>
      <c r="E1356" s="235"/>
      <c r="F1356" s="235"/>
      <c r="G1356" s="237"/>
      <c r="H1356" s="235"/>
      <c r="I1356" s="235"/>
      <c r="J1356" s="235"/>
      <c r="K1356" s="66"/>
      <c r="L1356" s="238"/>
      <c r="M1356" s="238"/>
    </row>
    <row r="1357" ht="12.75" customHeight="1">
      <c r="A1357" s="238"/>
      <c r="B1357" s="235"/>
      <c r="C1357" s="235"/>
      <c r="D1357" s="236"/>
      <c r="E1357" s="235"/>
      <c r="F1357" s="235"/>
      <c r="G1357" s="237"/>
      <c r="H1357" s="235"/>
      <c r="I1357" s="235"/>
      <c r="J1357" s="235"/>
      <c r="K1357" s="66"/>
      <c r="L1357" s="238"/>
      <c r="M1357" s="238"/>
    </row>
    <row r="1358" ht="12.75" customHeight="1">
      <c r="A1358" s="238"/>
      <c r="B1358" s="235"/>
      <c r="C1358" s="235"/>
      <c r="D1358" s="236"/>
      <c r="E1358" s="235"/>
      <c r="F1358" s="235"/>
      <c r="G1358" s="237"/>
      <c r="H1358" s="235"/>
      <c r="I1358" s="235"/>
      <c r="J1358" s="235"/>
      <c r="K1358" s="66"/>
      <c r="L1358" s="238"/>
      <c r="M1358" s="238"/>
    </row>
    <row r="1359" ht="12.75" customHeight="1">
      <c r="A1359" s="238"/>
      <c r="B1359" s="235"/>
      <c r="C1359" s="235"/>
      <c r="D1359" s="236"/>
      <c r="E1359" s="235"/>
      <c r="F1359" s="235"/>
      <c r="G1359" s="237"/>
      <c r="H1359" s="235"/>
      <c r="I1359" s="235"/>
      <c r="J1359" s="235"/>
      <c r="K1359" s="66"/>
      <c r="L1359" s="238"/>
      <c r="M1359" s="238"/>
    </row>
    <row r="1360" ht="12.75" customHeight="1">
      <c r="A1360" s="238"/>
      <c r="B1360" s="235"/>
      <c r="C1360" s="235"/>
      <c r="D1360" s="236"/>
      <c r="E1360" s="235"/>
      <c r="F1360" s="235"/>
      <c r="G1360" s="237"/>
      <c r="H1360" s="235"/>
      <c r="I1360" s="235"/>
      <c r="J1360" s="235"/>
      <c r="K1360" s="66"/>
      <c r="L1360" s="238"/>
      <c r="M1360" s="238"/>
    </row>
    <row r="1361" ht="12.75" customHeight="1">
      <c r="A1361" s="238"/>
      <c r="B1361" s="235"/>
      <c r="C1361" s="235"/>
      <c r="D1361" s="236"/>
      <c r="E1361" s="235"/>
      <c r="F1361" s="235"/>
      <c r="G1361" s="237"/>
      <c r="H1361" s="235"/>
      <c r="I1361" s="235"/>
      <c r="J1361" s="235"/>
      <c r="K1361" s="66"/>
      <c r="L1361" s="238"/>
      <c r="M1361" s="238"/>
    </row>
    <row r="1362" ht="12.75" customHeight="1">
      <c r="A1362" s="238"/>
      <c r="B1362" s="235"/>
      <c r="C1362" s="235"/>
      <c r="D1362" s="236"/>
      <c r="E1362" s="235"/>
      <c r="F1362" s="235"/>
      <c r="G1362" s="237"/>
      <c r="H1362" s="235"/>
      <c r="I1362" s="235"/>
      <c r="J1362" s="235"/>
      <c r="K1362" s="66"/>
      <c r="L1362" s="238"/>
      <c r="M1362" s="238"/>
    </row>
    <row r="1363" ht="12.75" customHeight="1">
      <c r="A1363" s="238"/>
      <c r="B1363" s="235"/>
      <c r="C1363" s="235"/>
      <c r="D1363" s="236"/>
      <c r="E1363" s="235"/>
      <c r="F1363" s="235"/>
      <c r="G1363" s="237"/>
      <c r="H1363" s="235"/>
      <c r="I1363" s="235"/>
      <c r="J1363" s="235"/>
      <c r="K1363" s="66"/>
      <c r="L1363" s="238"/>
      <c r="M1363" s="238"/>
    </row>
    <row r="1364" ht="12.75" customHeight="1">
      <c r="A1364" s="238"/>
      <c r="B1364" s="235"/>
      <c r="C1364" s="235"/>
      <c r="D1364" s="236"/>
      <c r="E1364" s="235"/>
      <c r="F1364" s="235"/>
      <c r="G1364" s="237"/>
      <c r="H1364" s="235"/>
      <c r="I1364" s="235"/>
      <c r="J1364" s="235"/>
      <c r="K1364" s="66"/>
      <c r="L1364" s="238"/>
      <c r="M1364" s="238"/>
    </row>
    <row r="1365" ht="12.75" customHeight="1">
      <c r="A1365" s="238"/>
      <c r="B1365" s="235"/>
      <c r="C1365" s="235"/>
      <c r="D1365" s="236"/>
      <c r="E1365" s="235"/>
      <c r="F1365" s="235"/>
      <c r="G1365" s="237"/>
      <c r="H1365" s="235"/>
      <c r="I1365" s="235"/>
      <c r="J1365" s="235"/>
      <c r="K1365" s="66"/>
      <c r="L1365" s="238"/>
      <c r="M1365" s="238"/>
    </row>
    <row r="1366" ht="12.75" customHeight="1">
      <c r="A1366" s="238"/>
      <c r="B1366" s="235"/>
      <c r="C1366" s="235"/>
      <c r="D1366" s="236"/>
      <c r="E1366" s="235"/>
      <c r="F1366" s="235"/>
      <c r="G1366" s="237"/>
      <c r="H1366" s="235"/>
      <c r="I1366" s="235"/>
      <c r="J1366" s="235"/>
      <c r="K1366" s="66"/>
      <c r="L1366" s="238"/>
      <c r="M1366" s="238"/>
    </row>
    <row r="1367" ht="12.75" customHeight="1">
      <c r="A1367" s="238"/>
      <c r="B1367" s="235"/>
      <c r="C1367" s="235"/>
      <c r="D1367" s="236"/>
      <c r="E1367" s="235"/>
      <c r="F1367" s="235"/>
      <c r="G1367" s="237"/>
      <c r="H1367" s="235"/>
      <c r="I1367" s="235"/>
      <c r="J1367" s="235"/>
      <c r="K1367" s="66"/>
      <c r="L1367" s="238"/>
      <c r="M1367" s="238"/>
    </row>
    <row r="1368" ht="12.75" customHeight="1">
      <c r="A1368" s="238"/>
      <c r="B1368" s="235"/>
      <c r="C1368" s="235"/>
      <c r="D1368" s="236"/>
      <c r="E1368" s="235"/>
      <c r="F1368" s="235"/>
      <c r="G1368" s="237"/>
      <c r="H1368" s="235"/>
      <c r="I1368" s="235"/>
      <c r="J1368" s="235"/>
      <c r="K1368" s="66"/>
      <c r="L1368" s="238"/>
      <c r="M1368" s="238"/>
    </row>
    <row r="1369" ht="12.75" customHeight="1">
      <c r="A1369" s="238"/>
      <c r="B1369" s="235"/>
      <c r="C1369" s="235"/>
      <c r="D1369" s="236"/>
      <c r="E1369" s="235"/>
      <c r="F1369" s="235"/>
      <c r="G1369" s="237"/>
      <c r="H1369" s="235"/>
      <c r="I1369" s="235"/>
      <c r="J1369" s="235"/>
      <c r="K1369" s="66"/>
      <c r="L1369" s="238"/>
      <c r="M1369" s="238"/>
    </row>
    <row r="1370" ht="12.75" customHeight="1">
      <c r="A1370" s="238"/>
      <c r="B1370" s="235"/>
      <c r="C1370" s="235"/>
      <c r="D1370" s="236"/>
      <c r="E1370" s="235"/>
      <c r="F1370" s="235"/>
      <c r="G1370" s="237"/>
      <c r="H1370" s="235"/>
      <c r="I1370" s="235"/>
      <c r="J1370" s="235"/>
      <c r="K1370" s="66"/>
      <c r="L1370" s="238"/>
      <c r="M1370" s="238"/>
    </row>
    <row r="1371" ht="12.75" customHeight="1">
      <c r="A1371" s="238"/>
      <c r="B1371" s="235"/>
      <c r="C1371" s="235"/>
      <c r="D1371" s="236"/>
      <c r="E1371" s="235"/>
      <c r="F1371" s="235"/>
      <c r="G1371" s="237"/>
      <c r="H1371" s="235"/>
      <c r="I1371" s="235"/>
      <c r="J1371" s="235"/>
      <c r="K1371" s="66"/>
      <c r="L1371" s="238"/>
      <c r="M1371" s="238"/>
    </row>
    <row r="1372" ht="12.75" customHeight="1">
      <c r="A1372" s="238"/>
      <c r="B1372" s="235"/>
      <c r="C1372" s="235"/>
      <c r="D1372" s="236"/>
      <c r="E1372" s="235"/>
      <c r="F1372" s="235"/>
      <c r="G1372" s="237"/>
      <c r="H1372" s="235"/>
      <c r="I1372" s="235"/>
      <c r="J1372" s="235"/>
      <c r="K1372" s="66"/>
      <c r="L1372" s="238"/>
      <c r="M1372" s="238"/>
    </row>
    <row r="1373" ht="12.75" customHeight="1">
      <c r="A1373" s="238"/>
      <c r="B1373" s="235"/>
      <c r="C1373" s="235"/>
      <c r="D1373" s="236"/>
      <c r="E1373" s="235"/>
      <c r="F1373" s="235"/>
      <c r="G1373" s="237"/>
      <c r="H1373" s="235"/>
      <c r="I1373" s="235"/>
      <c r="J1373" s="235"/>
      <c r="K1373" s="66"/>
      <c r="L1373" s="238"/>
      <c r="M1373" s="238"/>
    </row>
    <row r="1374" ht="12.75" customHeight="1">
      <c r="A1374" s="238"/>
      <c r="B1374" s="235"/>
      <c r="C1374" s="235"/>
      <c r="D1374" s="236"/>
      <c r="E1374" s="235"/>
      <c r="F1374" s="235"/>
      <c r="G1374" s="237"/>
      <c r="H1374" s="235"/>
      <c r="I1374" s="235"/>
      <c r="J1374" s="235"/>
      <c r="K1374" s="66"/>
      <c r="L1374" s="238"/>
      <c r="M1374" s="238"/>
    </row>
    <row r="1375" ht="12.75" customHeight="1">
      <c r="A1375" s="238"/>
      <c r="B1375" s="235"/>
      <c r="C1375" s="235"/>
      <c r="D1375" s="236"/>
      <c r="E1375" s="235"/>
      <c r="F1375" s="235"/>
      <c r="G1375" s="237"/>
      <c r="H1375" s="235"/>
      <c r="I1375" s="235"/>
      <c r="J1375" s="235"/>
      <c r="K1375" s="66"/>
      <c r="L1375" s="238"/>
      <c r="M1375" s="238"/>
    </row>
    <row r="1376" ht="12.75" customHeight="1">
      <c r="A1376" s="238"/>
      <c r="B1376" s="235"/>
      <c r="C1376" s="235"/>
      <c r="D1376" s="236"/>
      <c r="E1376" s="235"/>
      <c r="F1376" s="235"/>
      <c r="G1376" s="237"/>
      <c r="H1376" s="235"/>
      <c r="I1376" s="235"/>
      <c r="J1376" s="235"/>
      <c r="K1376" s="66"/>
      <c r="L1376" s="238"/>
      <c r="M1376" s="238"/>
    </row>
    <row r="1377" ht="12.75" customHeight="1">
      <c r="A1377" s="238"/>
      <c r="B1377" s="235"/>
      <c r="C1377" s="235"/>
      <c r="D1377" s="236"/>
      <c r="E1377" s="235"/>
      <c r="F1377" s="235"/>
      <c r="G1377" s="237"/>
      <c r="H1377" s="235"/>
      <c r="I1377" s="235"/>
      <c r="J1377" s="235"/>
      <c r="K1377" s="66"/>
      <c r="L1377" s="238"/>
      <c r="M1377" s="238"/>
    </row>
    <row r="1378" ht="12.75" customHeight="1">
      <c r="A1378" s="238"/>
      <c r="B1378" s="235"/>
      <c r="C1378" s="235"/>
      <c r="D1378" s="236"/>
      <c r="E1378" s="235"/>
      <c r="F1378" s="235"/>
      <c r="G1378" s="237"/>
      <c r="H1378" s="235"/>
      <c r="I1378" s="235"/>
      <c r="J1378" s="235"/>
      <c r="K1378" s="66"/>
      <c r="L1378" s="238"/>
      <c r="M1378" s="238"/>
    </row>
    <row r="1379" ht="12.75" customHeight="1">
      <c r="A1379" s="238"/>
      <c r="B1379" s="235"/>
      <c r="C1379" s="235"/>
      <c r="D1379" s="236"/>
      <c r="E1379" s="235"/>
      <c r="F1379" s="235"/>
      <c r="G1379" s="237"/>
      <c r="H1379" s="235"/>
      <c r="I1379" s="235"/>
      <c r="J1379" s="235"/>
      <c r="K1379" s="66"/>
      <c r="L1379" s="238"/>
      <c r="M1379" s="238"/>
    </row>
    <row r="1380" ht="12.75" customHeight="1">
      <c r="A1380" s="238"/>
      <c r="B1380" s="235"/>
      <c r="C1380" s="235"/>
      <c r="D1380" s="236"/>
      <c r="E1380" s="235"/>
      <c r="F1380" s="235"/>
      <c r="G1380" s="237"/>
      <c r="H1380" s="235"/>
      <c r="I1380" s="235"/>
      <c r="J1380" s="235"/>
      <c r="K1380" s="66"/>
      <c r="L1380" s="238"/>
      <c r="M1380" s="238"/>
    </row>
    <row r="1381" ht="12.75" customHeight="1">
      <c r="A1381" s="238"/>
      <c r="B1381" s="235"/>
      <c r="C1381" s="235"/>
      <c r="D1381" s="236"/>
      <c r="E1381" s="235"/>
      <c r="F1381" s="235"/>
      <c r="G1381" s="237"/>
      <c r="H1381" s="235"/>
      <c r="I1381" s="235"/>
      <c r="J1381" s="235"/>
      <c r="K1381" s="66"/>
      <c r="L1381" s="238"/>
      <c r="M1381" s="238"/>
    </row>
    <row r="1382" ht="12.75" customHeight="1">
      <c r="A1382" s="238"/>
      <c r="B1382" s="235"/>
      <c r="C1382" s="235"/>
      <c r="D1382" s="236"/>
      <c r="E1382" s="235"/>
      <c r="F1382" s="235"/>
      <c r="G1382" s="237"/>
      <c r="H1382" s="235"/>
      <c r="I1382" s="235"/>
      <c r="J1382" s="235"/>
      <c r="K1382" s="66"/>
      <c r="L1382" s="238"/>
      <c r="M1382" s="238"/>
    </row>
    <row r="1383" ht="12.75" customHeight="1">
      <c r="A1383" s="238"/>
      <c r="B1383" s="235"/>
      <c r="C1383" s="235"/>
      <c r="D1383" s="236"/>
      <c r="E1383" s="235"/>
      <c r="F1383" s="235"/>
      <c r="G1383" s="237"/>
      <c r="H1383" s="235"/>
      <c r="I1383" s="235"/>
      <c r="J1383" s="235"/>
      <c r="K1383" s="66"/>
      <c r="L1383" s="238"/>
      <c r="M1383" s="238"/>
    </row>
    <row r="1384" ht="12.75" customHeight="1">
      <c r="A1384" s="238"/>
      <c r="B1384" s="235"/>
      <c r="C1384" s="235"/>
      <c r="D1384" s="236"/>
      <c r="E1384" s="235"/>
      <c r="F1384" s="235"/>
      <c r="G1384" s="237"/>
      <c r="H1384" s="235"/>
      <c r="I1384" s="235"/>
      <c r="J1384" s="235"/>
      <c r="K1384" s="66"/>
      <c r="L1384" s="238"/>
      <c r="M1384" s="238"/>
    </row>
  </sheetData>
  <mergeCells count="12">
    <mergeCell ref="I4:I5"/>
    <mergeCell ref="J4:J5"/>
    <mergeCell ref="K4:K5"/>
    <mergeCell ref="L4:L5"/>
    <mergeCell ref="M4:M5"/>
    <mergeCell ref="B4:B5"/>
    <mergeCell ref="C4:C5"/>
    <mergeCell ref="D4:D5"/>
    <mergeCell ref="E4:E5"/>
    <mergeCell ref="F4:F5"/>
    <mergeCell ref="G4:G5"/>
    <mergeCell ref="H4:H5"/>
  </mergeCells>
  <conditionalFormatting sqref="K14:K17 L17:M17 K26:K29 L29:M29 K38:K41 L41:M41 K50:K52">
    <cfRule type="cellIs" dxfId="3" priority="1" operator="lessThan">
      <formula>0</formula>
    </cfRule>
  </conditionalFormatting>
  <conditionalFormatting sqref="M7:M14 M19:M26 M31:M38 M43:M50">
    <cfRule type="cellIs" dxfId="6" priority="2" operator="lessThan">
      <formula>0</formula>
    </cfRule>
  </conditionalFormatting>
  <printOptions/>
  <pageMargins bottom="1.0" footer="0.0" header="0.0" left="0.75" right="0.75" top="1.0"/>
  <pageSetup orientation="landscape"/>
  <headerFooter>
    <oddFooter>&amp;L&amp;F&amp;R&amp;A</oddFooter>
  </headerFooter>
  <drawing r:id="rId1"/>
</worksheet>
</file>